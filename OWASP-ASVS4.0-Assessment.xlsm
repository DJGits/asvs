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5.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16.xml" ContentType="application/vnd.openxmlformats-officedocument.drawing+xml"/>
  <Override PartName="/xl/ctrlProps/ctrlProp27.xml" ContentType="application/vnd.ms-excel.controlproperties+xml"/>
  <Override PartName="/xl/ctrlProps/ctrlProp28.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jay.durga\OneDrive\Documents\owasp\"/>
    </mc:Choice>
  </mc:AlternateContent>
  <xr:revisionPtr revIDLastSave="18762" documentId="13_ncr:1_{BDCC676B-137E-4D5C-8B63-A680FC2D4CC0}" xr6:coauthVersionLast="41" xr6:coauthVersionMax="41" xr10:uidLastSave="{8CB1F94C-5835-4F21-97A4-FF34FD6A412B}"/>
  <workbookProtection workbookAlgorithmName="SHA-512" workbookHashValue="VB3UxkezYr7IwEN8PENBKFBOtPz8Fq/iEPA9fRu9/Udtyq4X9znSEmxX1B36JSdTvb60S3+YUxsM4R6az2RNZA==" workbookSaltValue="exCeH8pTOCK3gtCv5FgYSA==" workbookSpinCount="100000" lockStructure="1"/>
  <bookViews>
    <workbookView xWindow="-110" yWindow="-110" windowWidth="19420" windowHeight="10420" tabRatio="742" xr2:uid="{5C21B2B1-77F6-40CD-88DA-D6612911F92C}"/>
  </bookViews>
  <sheets>
    <sheet name="Intro" sheetId="3" r:id="rId1"/>
    <sheet name="Score Card 4.0" sheetId="7" r:id="rId2"/>
    <sheet name="V1" sheetId="8" r:id="rId3"/>
    <sheet name="V2" sheetId="9" r:id="rId4"/>
    <sheet name="V3" sheetId="10" r:id="rId5"/>
    <sheet name="V4" sheetId="11" r:id="rId6"/>
    <sheet name="V5" sheetId="12" r:id="rId7"/>
    <sheet name="V6" sheetId="13" r:id="rId8"/>
    <sheet name="V7" sheetId="14" r:id="rId9"/>
    <sheet name="V8" sheetId="15" r:id="rId10"/>
    <sheet name="V9" sheetId="16" r:id="rId11"/>
    <sheet name="V10" sheetId="18" r:id="rId12"/>
    <sheet name="V11" sheetId="19" r:id="rId13"/>
    <sheet name="V12" sheetId="17" r:id="rId14"/>
    <sheet name="V13" sheetId="20" r:id="rId15"/>
    <sheet name="V14" sheetId="21" r:id="rId16"/>
    <sheet name="EXPORT" sheetId="22" r:id="rId17"/>
    <sheet name="References" sheetId="2" r:id="rId18"/>
    <sheet name="Config" sheetId="4" state="hidden" r:id="rId19"/>
  </sheets>
  <definedNames>
    <definedName name="ASSESSMENT_LEVEL">Config!$A$8:$A$10</definedName>
    <definedName name="ASVS_ANSWERS_V1">'V1'!$G$7:$G$48</definedName>
    <definedName name="ASVS_ANSWERS_V10">'V10'!$G$7:$G$16</definedName>
    <definedName name="ASVS_ANSWERS_V11">'V11'!$G$7:$G$14</definedName>
    <definedName name="ASVS_ANSWERS_V12">'V12'!$G$7:$G$21</definedName>
    <definedName name="ASVS_ANSWERS_V13">'V13'!$G$7:$G$21</definedName>
    <definedName name="ASVS_ANSWERS_V14">'V14'!$G$7:$G$31</definedName>
    <definedName name="ASVS_ANSWERS_V2">'V2'!$G$7:$G$63</definedName>
    <definedName name="ASVS_ANSWERS_V3">'V3'!$G$7:$G$26</definedName>
    <definedName name="ASVS_ANSWERS_V4">'V4'!$G$7:$G$16</definedName>
    <definedName name="ASVS_ANSWERS_V5">'V5'!$G$7:$G$36</definedName>
    <definedName name="ASVS_ANSWERS_V6">'V6'!$G$7:$G$22</definedName>
    <definedName name="ASVS_ANSWERS_V7">'V7'!$G$7:$G$19</definedName>
    <definedName name="ASVS_ANSWERS_V8">'V8'!$G$7:$G$23</definedName>
    <definedName name="ASVS_ANSWERS_V9">'V9'!$G$7:$G$14</definedName>
    <definedName name="ASVS_CAT1">'V1'!$B$7</definedName>
    <definedName name="ASVS_CAT1.1">'V1'!$D$7</definedName>
    <definedName name="ASVS_CAT1.10">'V1'!$D$37</definedName>
    <definedName name="ASVS_CAT1.11">'V1'!$D$38</definedName>
    <definedName name="ASVS_CAT1.12">'V1'!$D$41</definedName>
    <definedName name="ASVS_CAT1.14">'V1'!$D$43</definedName>
    <definedName name="ASVS_CAT1.2">'V1'!$D$14</definedName>
    <definedName name="ASVS_CAT1.4">'V1'!$D$18</definedName>
    <definedName name="ASVS_CAT1.5">'V1'!$D$23</definedName>
    <definedName name="ASVS_CAT1.6">'V1'!$D$27</definedName>
    <definedName name="ASVS_CAT1.7">'V1'!$D$31</definedName>
    <definedName name="ASVS_CAT1.8">'V1'!$D$33</definedName>
    <definedName name="ASVS_CAT1.9">'V1'!$D$35</definedName>
    <definedName name="ASVS_CAT10">'V10'!$B$7</definedName>
    <definedName name="ASVS_CAT10.1">'V10'!$D$7</definedName>
    <definedName name="ASVS_CAT10.2">'V10'!$D$8</definedName>
    <definedName name="ASVS_CAT10.3">'V10'!$D$14</definedName>
    <definedName name="ASVS_CAT11">'V11'!$B$7</definedName>
    <definedName name="ASVS_CAT11.1">'V11'!$D$7</definedName>
    <definedName name="ASVS_CAT12">'V12'!$B$7</definedName>
    <definedName name="ASVS_CAT12.1">'V12'!$D$7</definedName>
    <definedName name="ASVS_CAT12.2">'V12'!$D$10</definedName>
    <definedName name="ASVS_CAT12.3">'V12'!$D$11</definedName>
    <definedName name="ASVS_CAT12.4">'V12'!$D$17</definedName>
    <definedName name="ASVS_CAT12.5">'V12'!$D$19</definedName>
    <definedName name="ASVS_CAT12.6">'V12'!$D$21</definedName>
    <definedName name="ASVS_CAT13">'V13'!$B$7</definedName>
    <definedName name="ASVS_CAT13.1">'V13'!$D$7</definedName>
    <definedName name="ASVS_CAT13.2">'V13'!$D$12</definedName>
    <definedName name="ASVS_CAT13.3">'V13'!$D$18</definedName>
    <definedName name="ASVS_CAT13.4">'V13'!$D$20</definedName>
    <definedName name="ASVS_CAT14">'V14'!$B$7</definedName>
    <definedName name="ASVS_CAT14.1">'V14'!$D$7</definedName>
    <definedName name="ASVS_CAT14.2">'V14'!$D$12</definedName>
    <definedName name="ASVS_CAT14.3">'V14'!$D$18</definedName>
    <definedName name="ASVS_CAT14.4">'V14'!$D$21</definedName>
    <definedName name="ASVS_CAT14.5">'V14'!$D$28</definedName>
    <definedName name="ASVS_CAT2">'V2'!$B$7</definedName>
    <definedName name="ASVS_CAT2.1">'V2'!$D$7</definedName>
    <definedName name="ASVS_CAT2.10">'V2'!$D$60</definedName>
    <definedName name="ASVS_CAT2.2">'V2'!$D$19</definedName>
    <definedName name="ASVS_CAT2.3">'V2'!$D$26</definedName>
    <definedName name="ASVS_CAT2.4">'V2'!$D$29</definedName>
    <definedName name="ASVS_CAT2.5">'V2'!$D$34</definedName>
    <definedName name="ASVS_CAT2.6">'V2'!$D$41</definedName>
    <definedName name="ASVS_CAT2.7">'V2'!$D$44</definedName>
    <definedName name="ASVS_CAT2.8">'V2'!$D$50</definedName>
    <definedName name="ASVS_CAT2.9">'V2'!$D$57</definedName>
    <definedName name="ASVS_CAT3">'V3'!$B$7</definedName>
    <definedName name="ASVS_CAT3.1">'V3'!$D$7</definedName>
    <definedName name="ASVS_CAT3.2">'V3'!$D$8</definedName>
    <definedName name="ASVS_CAT3.3">'V3'!$D$12</definedName>
    <definedName name="ASVS_CAT3.4">'V3'!$D$16</definedName>
    <definedName name="ASVS_CAT3.5">'V3'!$D$21</definedName>
    <definedName name="ASVS_CAT3.6">'V3'!$D$24</definedName>
    <definedName name="ASVS_CAT3.7">'V3'!$D$26</definedName>
    <definedName name="ASVS_CAT4">'V4'!$B$7</definedName>
    <definedName name="ASVS_CAT4.1">'V4'!$D$7</definedName>
    <definedName name="ASVS_CAT4.2">'V4'!$D$12</definedName>
    <definedName name="ASVS_CAT4.3">'V4'!$D$14</definedName>
    <definedName name="ASVS_CAT5">'V5'!$B$7</definedName>
    <definedName name="ASVS_CAT5.1">'V5'!$D$7</definedName>
    <definedName name="ASVS_CAT5.2">'V5'!$D$12</definedName>
    <definedName name="ASVS_CAT5.3">'V5'!$D$20</definedName>
    <definedName name="ASVS_CAT5.4">'V5'!$D$30</definedName>
    <definedName name="ASVS_CAT5.5">'V5'!$D$33</definedName>
    <definedName name="ASVS_CAT6">'V6'!$B$7</definedName>
    <definedName name="ASVS_CAT6.1">'V6'!$D$7</definedName>
    <definedName name="ASVS_CAT6.2">'V6'!$D$10</definedName>
    <definedName name="ASVS_CAT6.3">'V6'!$D$18</definedName>
    <definedName name="ASVS_CAT6.4">'V6'!$D$21</definedName>
    <definedName name="ASVS_CAT7">'V7'!$B$7</definedName>
    <definedName name="ASVS_CAT7.1">'V7'!$D$7</definedName>
    <definedName name="ASVS_CAT7.2">'V7'!$D$11</definedName>
    <definedName name="ASVS_CAT7.3">'V7'!$D$13</definedName>
    <definedName name="ASVS_CAT7.4">'V7'!$D$17</definedName>
    <definedName name="ASVS_CAT8">'V8'!$B$7</definedName>
    <definedName name="ASVS_CAT8.1">'V8'!$D$7</definedName>
    <definedName name="ASVS_CAT8.2">'V8'!$D$13</definedName>
    <definedName name="ASVS_CAT8.3">'V8'!$D$16</definedName>
    <definedName name="ASVS_CAT9">'V9'!$B$7</definedName>
    <definedName name="ASVS_CAT9.1">'V9'!$D$7</definedName>
    <definedName name="ASVS_CAT9.2">'V9'!$D$10</definedName>
    <definedName name="EXPHEADER1">EXPORT!$A$1:$J$1</definedName>
    <definedName name="EXPHEADER2">Table1[#Headers]</definedName>
    <definedName name="formatGreen">Intro!$B$15</definedName>
    <definedName name="formatRed">Intro!$B$14</definedName>
    <definedName name="INCLUDE_NA">Config!$A$13:$A$14</definedName>
    <definedName name="INCLUDE_NA_ANSWER">Intro!$B$16</definedName>
    <definedName name="INTROHEADER1">Intro!$B$1:$P$4</definedName>
    <definedName name="INTROHEADER2">Intro!$B$13:$P$13</definedName>
    <definedName name="L1_V1">'V1'!$H$7:$H$48</definedName>
    <definedName name="L1_V10">'V10'!$H$7:$H$16</definedName>
    <definedName name="L1_V11">'V11'!$H$7:$H$14</definedName>
    <definedName name="L1_V12">'V12'!$H$7:$H$21</definedName>
    <definedName name="L1_V13">'V13'!$H$7:$H$21</definedName>
    <definedName name="L1_V14">'V14'!$H$7:$H$31</definedName>
    <definedName name="L1_V2">'V2'!$H$7:$H$63</definedName>
    <definedName name="L1_V3">'V3'!$H$7:$H$26</definedName>
    <definedName name="L1_V4">'V4'!$H$7:$H$16</definedName>
    <definedName name="L1_V5">'V5'!$H$7:$H$36</definedName>
    <definedName name="L1_V6">'V6'!$H$7:$H$22</definedName>
    <definedName name="L1_V7">'V7'!$H$7:$H$19</definedName>
    <definedName name="L1_V8">'V8'!$H$7:$H$23</definedName>
    <definedName name="L1_V9">'V9'!$H$7:$H$14</definedName>
    <definedName name="L2_V1">'V1'!$I$7:$I$48</definedName>
    <definedName name="L2_V10">'V10'!$I$7:$I$16</definedName>
    <definedName name="L2_V11">'V11'!$I$7:$I$14</definedName>
    <definedName name="L2_V12">'V12'!$I$7:$I$21</definedName>
    <definedName name="L2_V13">'V13'!$I$7:$I$21</definedName>
    <definedName name="L2_V14">'V14'!$I$7:$I$31</definedName>
    <definedName name="L2_V2">'V2'!$I$7:$I$63</definedName>
    <definedName name="L2_V3">'V3'!$I$7:$I$26</definedName>
    <definedName name="L2_V4">'V4'!$I$7:$I$16</definedName>
    <definedName name="L2_V5">'V5'!$I$7:$I$36</definedName>
    <definedName name="L2_V6">'V6'!$I$7:$I$22</definedName>
    <definedName name="L2_V7">'V7'!$I$7:$I$19</definedName>
    <definedName name="L2_V8">'V8'!$I$7:$I$23</definedName>
    <definedName name="L2_V9">'V9'!$I$7:$I$14</definedName>
    <definedName name="L3_V1">'V1'!$J$7:$J$48</definedName>
    <definedName name="L3_V10">'V10'!$J$7:$J$16</definedName>
    <definedName name="L3_V11">'V11'!$J$7:$J$14</definedName>
    <definedName name="L3_V12">'V12'!$J$7:$J$21</definedName>
    <definedName name="L3_V13">'V13'!$J$7:$J$21</definedName>
    <definedName name="L3_V14">'V14'!$J$7:$J$31</definedName>
    <definedName name="L3_V2">'V2'!$J$7:$J$63</definedName>
    <definedName name="L3_V3">'V3'!$J$7:$J$26</definedName>
    <definedName name="L3_V4">'V4'!$J$7:$J$16</definedName>
    <definedName name="L3_V5">'V5'!$J$7:$J$36</definedName>
    <definedName name="L3_V6">'V6'!$J$7:$J$22</definedName>
    <definedName name="L3_V7">'V7'!$J$7:$J$19</definedName>
    <definedName name="L3_V8">'V8'!$J$7:$J$23</definedName>
    <definedName name="L3_V9">'V9'!$J$7:$J$14</definedName>
    <definedName name="LEVEL1">Config!$A$8</definedName>
    <definedName name="LEVEL2">Config!$A$9</definedName>
    <definedName name="LEVEL3">Config!$A$10</definedName>
    <definedName name="NO">Config!$A$123</definedName>
    <definedName name="REFHEADER">References!$A$1:$C$1</definedName>
    <definedName name="SCORE_FAIL">Config!$A$3</definedName>
    <definedName name="SCORE_NA">Config!$A$4</definedName>
    <definedName name="SCORE_PASS">Config!$A$2</definedName>
    <definedName name="SCR_HEADER">'Score Card 4.0'!$A$1:$I$1</definedName>
    <definedName name="SELECTED_ASSESSMENT_LEVEL">Intro!$B$17</definedName>
    <definedName name="SELECTED_THEME">Intro!$B$18</definedName>
    <definedName name="testResult">Config!$A$2:$A$5</definedName>
    <definedName name="THEMES">Config!$A$126:$A$142</definedName>
    <definedName name="TOTAL_ASVS_CONTROLS">Config!$A$36:$A$118</definedName>
    <definedName name="TOTAL_ASVS_CONTROLS_L1">Config!$B$36:$B$118</definedName>
    <definedName name="TOTAL_ASVS_CONTROLS_L2">Config!$C$36:$C$118</definedName>
    <definedName name="TOTAL_ASVS_CONTROLS_L3">Config!$D$36:$D$118</definedName>
    <definedName name="TOTAL_ASVS_V1">Config!$A$36</definedName>
    <definedName name="TOTAL_ASVS_V1.1">Config!$A$37</definedName>
    <definedName name="TOTAL_ASVS_V1.10">Config!$A$45</definedName>
    <definedName name="TOTAL_ASVS_V1.11">Config!$A$46</definedName>
    <definedName name="TOTAL_ASVS_V1.12">Config!$A$47</definedName>
    <definedName name="TOTAL_ASVS_V1.14">Config!$A$48</definedName>
    <definedName name="TOTAL_ASVS_V1.2">Config!$A$38</definedName>
    <definedName name="TOTAL_ASVS_V1.4">Config!$A$39</definedName>
    <definedName name="TOTAL_ASVS_V1.5">Config!$A$40</definedName>
    <definedName name="TOTAL_ASVS_V1.6">Config!$A$41</definedName>
    <definedName name="TOTAL_ASVS_V1.7">Config!$A$42</definedName>
    <definedName name="TOTAL_ASVS_V1.8">Config!$A$43</definedName>
    <definedName name="TOTAL_ASVS_V1.9">Config!$A$44</definedName>
    <definedName name="TOTAL_ASVS_V10">Config!$A$95</definedName>
    <definedName name="TOTAL_ASVS_V10.1">Config!$A$96</definedName>
    <definedName name="TOTAL_ASVS_V10.2">Config!$A$97</definedName>
    <definedName name="TOTAL_ASVS_V10.3">Config!$A$98</definedName>
    <definedName name="TOTAL_ASVS_V11">Config!$A$99</definedName>
    <definedName name="TOTAL_ASVS_V11.1">Config!$A$100</definedName>
    <definedName name="TOTAL_ASVS_V12">Config!$A$101</definedName>
    <definedName name="TOTAL_ASVS_V12.1">Config!$A$102</definedName>
    <definedName name="TOTAL_ASVS_V12.2">Config!$A$103</definedName>
    <definedName name="TOTAL_ASVS_V12.3">Config!$A$104</definedName>
    <definedName name="TOTAL_ASVS_V12.4">Config!$A$105</definedName>
    <definedName name="TOTAL_ASVS_V12.5">Config!$A$106</definedName>
    <definedName name="TOTAL_ASVS_V12.6">Config!$A$107</definedName>
    <definedName name="TOTAL_ASVS_V13">Config!$A$108</definedName>
    <definedName name="TOTAL_ASVS_V13.1">Config!$A$109</definedName>
    <definedName name="TOTAL_ASVS_V13.2">Config!$A$110</definedName>
    <definedName name="TOTAL_ASVS_V13.3">Config!$A$111</definedName>
    <definedName name="TOTAL_ASVS_V13.4">Config!$A$112</definedName>
    <definedName name="TOTAL_ASVS_V14">Config!$A$113</definedName>
    <definedName name="TOTAL_ASVS_V14.1">Config!$A$114</definedName>
    <definedName name="TOTAL_ASVS_V14.2">Config!$A$115</definedName>
    <definedName name="TOTAL_ASVS_V14.3">Config!$A$116</definedName>
    <definedName name="TOTAL_ASVS_V14.4">Config!$A$117</definedName>
    <definedName name="TOTAL_ASVS_V14.5">Config!$A$118</definedName>
    <definedName name="TOTAL_ASVS_V2">Config!$A$49</definedName>
    <definedName name="TOTAL_ASVS_V2.1">Config!$A$50</definedName>
    <definedName name="TOTAL_ASVS_V2.10">Config!$A$59</definedName>
    <definedName name="TOTAL_ASVS_V2.2">Config!$A$51</definedName>
    <definedName name="TOTAL_ASVS_V2.3">Config!$A$52</definedName>
    <definedName name="TOTAL_ASVS_V2.4">Config!$A$53</definedName>
    <definedName name="TOTAL_ASVS_V2.5">Config!$A$54</definedName>
    <definedName name="TOTAL_ASVS_V2.6">Config!$A$55</definedName>
    <definedName name="TOTAL_ASVS_V2.7">Config!$A$56</definedName>
    <definedName name="TOTAL_ASVS_V2.8">Config!$A$57</definedName>
    <definedName name="TOTAL_ASVS_V2.9">Config!$A$58</definedName>
    <definedName name="TOTAL_ASVS_V3">Config!$A$60</definedName>
    <definedName name="TOTAL_ASVS_V3.1">Config!$A$61</definedName>
    <definedName name="TOTAL_ASVS_V3.2">Config!$A$62</definedName>
    <definedName name="TOTAL_ASVS_V3.3">Config!$A$63</definedName>
    <definedName name="TOTAL_ASVS_V3.4">Config!$A$64</definedName>
    <definedName name="TOTAL_ASVS_V3.5">Config!$A$65</definedName>
    <definedName name="TOTAL_ASVS_V3.6">Config!$A$66</definedName>
    <definedName name="TOTAL_ASVS_V3.7">Config!$A$67</definedName>
    <definedName name="TOTAL_ASVS_V4">Config!$A$68</definedName>
    <definedName name="TOTAL_ASVS_V4.1">Config!$A$69</definedName>
    <definedName name="TOTAL_ASVS_V4.2">Config!$A$70</definedName>
    <definedName name="TOTAL_ASVS_V4.3">Config!$A$71</definedName>
    <definedName name="TOTAL_ASVS_V5">Config!$A$72</definedName>
    <definedName name="TOTAL_ASVS_V5.1">Config!$A$73</definedName>
    <definedName name="TOTAL_ASVS_V5.2">Config!$A$74</definedName>
    <definedName name="TOTAL_ASVS_V5.3">Config!$A$75</definedName>
    <definedName name="TOTAL_ASVS_V5.4">Config!$A$76</definedName>
    <definedName name="TOTAL_ASVS_V5.5">Config!$A$77</definedName>
    <definedName name="TOTAL_ASVS_V6">Config!$A$78</definedName>
    <definedName name="TOTAL_ASVS_V6.1">Config!$A$79</definedName>
    <definedName name="TOTAL_ASVS_V6.2">Config!$A$80</definedName>
    <definedName name="TOTAL_ASVS_V6.3">Config!$A$81</definedName>
    <definedName name="TOTAL_ASVS_V6.4">Config!$A$82</definedName>
    <definedName name="TOTAL_ASVS_V7">Config!$A$83</definedName>
    <definedName name="TOTAL_ASVS_V7.1">Config!$A$84</definedName>
    <definedName name="TOTAL_ASVS_V7.2">Config!$A$85</definedName>
    <definedName name="TOTAL_ASVS_V7.3">Config!$A$86</definedName>
    <definedName name="TOTAL_ASVS_V7.4">Config!$A$87</definedName>
    <definedName name="TOTAL_ASVS_V8">Config!$A$88</definedName>
    <definedName name="TOTAL_ASVS_V8.1">Config!$A$89</definedName>
    <definedName name="TOTAL_ASVS_V8.2">Config!$A$90</definedName>
    <definedName name="TOTAL_ASVS_V8.3">Config!$A$91</definedName>
    <definedName name="TOTAL_ASVS_V9">Config!$A$92</definedName>
    <definedName name="TOTAL_ASVS_V9.1">Config!$A$93</definedName>
    <definedName name="TOTAL_ASVS_V9.2">Config!$A$94</definedName>
    <definedName name="TOTAL_V1">Config!$A$18</definedName>
    <definedName name="TOTAL_V10">Config!$A$26</definedName>
    <definedName name="TOTAL_V11">Config!$A$27</definedName>
    <definedName name="TOTAL_V13">Config!$A$28</definedName>
    <definedName name="TOTAL_V15">Config!$A$29</definedName>
    <definedName name="TOTAL_V16">Config!$A$30</definedName>
    <definedName name="TOTAL_V17">Config!$A$31</definedName>
    <definedName name="TOTAL_V18">Config!$A$32</definedName>
    <definedName name="TOTAL_V19">Config!$A$33</definedName>
    <definedName name="TOTAL_V2">Config!$A$19</definedName>
    <definedName name="TOTAL_V3">Config!$A$20</definedName>
    <definedName name="TOTAL_V4">Config!$A$21</definedName>
    <definedName name="TOTAL_V5">Config!$A$22</definedName>
    <definedName name="TOTAL_V7">Config!$A$23</definedName>
    <definedName name="TOTAL_V8">Config!$A$24</definedName>
    <definedName name="TOTAL_V9">Config!$A$25</definedName>
    <definedName name="V10HEADER1">'V10'!$A$1:$N$5</definedName>
    <definedName name="V10HEADER2">'V10'!$A$6:$N$6</definedName>
    <definedName name="V11HEADER1">'V11'!$A$1:$N$5</definedName>
    <definedName name="V11HEADER2">'V11'!$A$6:$N$6</definedName>
    <definedName name="V12HEADER1">'V12'!$A$1:$N$5</definedName>
    <definedName name="V12HEADER2">'V12'!$A$6:$N$6</definedName>
    <definedName name="V13HEADER1">'V13'!$A$1:$N$5</definedName>
    <definedName name="V13HEADER2">'V13'!$A$6:$N$6</definedName>
    <definedName name="V14HEADER1">'V14'!$A$1:$N$5</definedName>
    <definedName name="V14HEADER2">'V14'!$A$6:$N$6</definedName>
    <definedName name="V1HEADER1">'V1'!$A$1:$N$5</definedName>
    <definedName name="V1HEADER2">'V1'!$A$6:$N$6</definedName>
    <definedName name="V2HEADER1">'V2'!$A$1:$N$5</definedName>
    <definedName name="V2HEADER2">'V2'!$A$6:$N$6</definedName>
    <definedName name="V3HEADER1">'V3'!$A$1:$N$5</definedName>
    <definedName name="V3HEADER2">'V3'!$A$6:$N$6</definedName>
    <definedName name="V4HEADER1">'V4'!$A$1:$N$5</definedName>
    <definedName name="V4HEADER2">'V4'!$A$6:$N$6</definedName>
    <definedName name="V5HEADER1">'V5'!$A$1:$N$5</definedName>
    <definedName name="V5HEADER2">'V5'!$A$6:$N$6</definedName>
    <definedName name="V6HEADER1">'V6'!$A$1:$N$5</definedName>
    <definedName name="V6HEADER2">'V6'!$A$6:$N$6</definedName>
    <definedName name="V7HEADER1">'V7'!$A$1:$N$5</definedName>
    <definedName name="V7HEADER2">'V7'!$A$6:$N$6</definedName>
    <definedName name="V8HEADER1">'V8'!$A$1:$N$5</definedName>
    <definedName name="V8HEADER2">'V8'!$A$6:$N$6</definedName>
    <definedName name="V9HEADER1">'V9'!$A$1:$N$5</definedName>
    <definedName name="V9HEADER2">'V9'!$A$6:$N$6</definedName>
    <definedName name="VERIFY1.1">'V1'!$G$7:$G$13</definedName>
    <definedName name="VERIFY1.10">'V1'!$G$37</definedName>
    <definedName name="VERIFY1.11">'V1'!$G$38:$G$40</definedName>
    <definedName name="VERIFY1.12">'V1'!$G$41:$G$42</definedName>
    <definedName name="VERIFY1.14">'V1'!$G$43:$G$48</definedName>
    <definedName name="VERIFY1.2">'V1'!$G$14:$G$17</definedName>
    <definedName name="VERIFY1.4">'V1'!$G$18:$G$22</definedName>
    <definedName name="VERIFY1.5">'V1'!$G$23:$G$26</definedName>
    <definedName name="VERIFY1.6">'V1'!$G$27:$G$30</definedName>
    <definedName name="VERIFY1.7">'V1'!$G$31:$G$32</definedName>
    <definedName name="VERIFY1.8">'V1'!$G$33:$G$34</definedName>
    <definedName name="VERIFY1.9">'V1'!$G$35:$G$36</definedName>
    <definedName name="VERIFY10.1">'V10'!$G$7</definedName>
    <definedName name="VERIFY10.2">'V10'!$G$8:$G$13</definedName>
    <definedName name="VERIFY10.3">'V10'!$G$14:$G$16</definedName>
    <definedName name="VERIFY11.1">'V11'!$G$7:$G$14</definedName>
    <definedName name="VERIFY12.1">'V12'!$G$7:$G$9</definedName>
    <definedName name="VERIFY12.2">'V12'!$G$10</definedName>
    <definedName name="VERIFY12.3">'V12'!$G$11:$G$16</definedName>
    <definedName name="VERIFY12.4">'V12'!$G$17:$G$18</definedName>
    <definedName name="VERIFY12.5">'V12'!$G$19:$G$20</definedName>
    <definedName name="VERIFY12.6">'V12'!$G$21</definedName>
    <definedName name="VERIFY13.1">'V13'!$G$7:$G$11</definedName>
    <definedName name="VERIFY13.2">'V13'!$G$12:$G$17</definedName>
    <definedName name="VERIFY13.3">'V13'!$G$18:$G$19</definedName>
    <definedName name="VERIFY13.4">'V13'!$G$20:$G$21</definedName>
    <definedName name="VERIFY14.1">'V14'!$G$7:$G$11</definedName>
    <definedName name="VERIFY14.2">'V14'!$G$12:$G$17</definedName>
    <definedName name="VERIFY14.3">'V14'!$G$18:$G$20</definedName>
    <definedName name="VERIFY14.4">'V14'!$G$21:$G$27</definedName>
    <definedName name="VERIFY14.5">'V14'!$G$28:$G$31</definedName>
    <definedName name="VERIFY2.1">'V2'!$G$7:$G$18</definedName>
    <definedName name="VERIFY2.10">'V2'!$G$60:$G$63</definedName>
    <definedName name="VERIFY2.2">'V2'!$G$19:$G$25</definedName>
    <definedName name="VERIFY2.3">'V2'!$G$26:$G$28</definedName>
    <definedName name="VERIFY2.4">'V2'!$G$29:$G$33</definedName>
    <definedName name="VERIFY2.5">'V2'!$G$34:$G$40</definedName>
    <definedName name="VERIFY2.6">'V2'!$G$41:$G$43</definedName>
    <definedName name="VERIFY2.7">'V2'!$G$44:$G$49</definedName>
    <definedName name="VERIFY2.8">'V2'!$G$50:$G$56</definedName>
    <definedName name="VERIFY2.9">'V2'!$G$57:$G$59</definedName>
    <definedName name="VERIFY3.1">'V3'!$G$7</definedName>
    <definedName name="VERIFY3.2">'V3'!$G$8:$G$11</definedName>
    <definedName name="VERIFY3.3">'V3'!$G$12:$G$15</definedName>
    <definedName name="VERIFY3.4">'V3'!$G$16:$G$20</definedName>
    <definedName name="VERIFY3.5">'V3'!$G$21:$G$23</definedName>
    <definedName name="VERIFY3.6">'V3'!$G$24:$G$25</definedName>
    <definedName name="VERIFY3.7">'V3'!$G$26</definedName>
    <definedName name="VERIFY4.1">'V4'!$G$7:$G$11</definedName>
    <definedName name="VERIFY4.2">'V4'!$G$12:$G$13</definedName>
    <definedName name="VERIFY4.3">'V4'!$G$14:$G$16</definedName>
    <definedName name="VERIFY5.1">'V5'!$G$7:$G$11</definedName>
    <definedName name="VERIFY5.2">'V5'!$G$12:$G$19</definedName>
    <definedName name="VERIFY5.3">'V5'!$G$20:$G$29</definedName>
    <definedName name="VERIFY5.4">'V5'!$G$30:$G$32</definedName>
    <definedName name="VERIFY5.5">'V5'!$G$33:$G$36</definedName>
    <definedName name="VERIFY6.1">'V6'!$G$7:$G$9</definedName>
    <definedName name="VERIFY6.2">'V6'!$G$10:$G$17</definedName>
    <definedName name="VERIFY6.3">'V6'!$G$18:$G$20</definedName>
    <definedName name="VERIFY6.4">'V6'!$G$21:$G$22</definedName>
    <definedName name="VERIFY7.1">'V7'!$G$7:$G$10</definedName>
    <definedName name="VERIFY7.2">'V7'!$G$11:$G$12</definedName>
    <definedName name="VERIFY7.3">'V7'!$G$13:$G$16</definedName>
    <definedName name="VERIFY7.4">'V7'!$G$17:$G$19</definedName>
    <definedName name="VERIFY8.1">'V8'!$G$7:$G$12</definedName>
    <definedName name="VERIFY8.2">'V8'!$G$13:$G$15</definedName>
    <definedName name="VERIFY8.3">'V8'!$G$16:$G$23</definedName>
    <definedName name="VERIFY9.1">'V9'!$G$7:$G$9</definedName>
    <definedName name="VERIFY9.2">'V9'!$G$10:$G$14</definedName>
    <definedName name="VERSION_NO">Intro!#REF!</definedName>
    <definedName name="YES">Config!$A$122</definedName>
    <definedName name="zANS1.1.1">'V1'!$G$7</definedName>
    <definedName name="zANS1.1.2">'V1'!$G$8</definedName>
    <definedName name="zANS1.1.3">'V1'!$G$9</definedName>
    <definedName name="zANS1.1.4">'V1'!$G$10</definedName>
    <definedName name="zANS1.1.5">'V1'!$G$11</definedName>
    <definedName name="zANS1.1.6">'V1'!$G$12</definedName>
    <definedName name="zANS1.1.7">'V1'!$G$13</definedName>
    <definedName name="zANS1.10.1">'V1'!$G$37</definedName>
    <definedName name="zANS1.11.1">'V1'!$G$38</definedName>
    <definedName name="zANS1.11.2">'V1'!$G$39</definedName>
    <definedName name="zANS1.11.3">'V1'!$G$40</definedName>
    <definedName name="zANS1.12.1">'V1'!$G$41</definedName>
    <definedName name="zANS1.12.2">'V1'!$G$42</definedName>
    <definedName name="zANS1.14.1">'V1'!$G$43</definedName>
    <definedName name="zANS1.14.2">'V1'!$G$44</definedName>
    <definedName name="zANS1.14.3">'V1'!$G$45</definedName>
    <definedName name="zANS1.14.4">'V1'!$G$46</definedName>
    <definedName name="zANS1.14.5">'V1'!$G$47</definedName>
    <definedName name="zANS1.14.6">'V1'!$G$48</definedName>
    <definedName name="zANS1.2.1">'V1'!$G$14</definedName>
    <definedName name="zANS1.2.2">'V1'!$G$15</definedName>
    <definedName name="zANS1.2.3">'V1'!$G$16</definedName>
    <definedName name="zANS1.2.4">'V1'!$G$17</definedName>
    <definedName name="zANS1.4.1">'V1'!$G$18</definedName>
    <definedName name="zANS1.4.2">'V1'!$G$19</definedName>
    <definedName name="zANS1.4.3">'V1'!$G$20</definedName>
    <definedName name="zANS1.4.4">'V1'!$G$21</definedName>
    <definedName name="zANS1.4.5">'V1'!$G$22</definedName>
    <definedName name="zANS1.5.1">'V1'!$G$23</definedName>
    <definedName name="zANS1.5.2">'V1'!$G$24</definedName>
    <definedName name="zANS1.5.3">'V1'!$G$25</definedName>
    <definedName name="zANS1.5.4">'V1'!$G$26</definedName>
    <definedName name="zANS1.6.1">'V1'!$G$27</definedName>
    <definedName name="zANS1.6.2">'V1'!$G$28</definedName>
    <definedName name="zANS1.6.3">'V1'!$G$29</definedName>
    <definedName name="zANS1.6.4">'V1'!$G$30</definedName>
    <definedName name="zANS1.7.1">'V1'!$G$31</definedName>
    <definedName name="zANS1.7.2">'V1'!$G$32</definedName>
    <definedName name="zANS1.8.1">'V1'!$G$33</definedName>
    <definedName name="zANS1.8.2">'V1'!$G$34</definedName>
    <definedName name="zANS1.9.1">'V1'!$G$35</definedName>
    <definedName name="zANS1.9.2">'V1'!$G$36</definedName>
    <definedName name="zANS10.1.1">'V10'!$G$7</definedName>
    <definedName name="zANS10.2.1">'V10'!$G$8</definedName>
    <definedName name="zANS10.2.2">'V10'!$G$9</definedName>
    <definedName name="zANS10.2.3">'V10'!$G$10</definedName>
    <definedName name="zANS10.2.4">'V10'!$G$11</definedName>
    <definedName name="zANS10.2.5">'V10'!$G$12</definedName>
    <definedName name="zANS10.2.6">'V10'!$G$13</definedName>
    <definedName name="zANS10.3.1">'V10'!$G$14</definedName>
    <definedName name="zANS10.3.2">'V10'!$G$15</definedName>
    <definedName name="zANS10.3.3">'V10'!$G$16</definedName>
    <definedName name="zANS11.1.1">'V11'!$G$7</definedName>
    <definedName name="zANS11.1.2">'V11'!$G$8</definedName>
    <definedName name="zANS11.1.3">'V11'!$G$9</definedName>
    <definedName name="zANS11.1.4">'V11'!$G$10</definedName>
    <definedName name="zANS11.1.5">'V11'!$G$11</definedName>
    <definedName name="zANS11.1.6">'V11'!$G$12</definedName>
    <definedName name="zANS11.1.7">'V11'!$G$13</definedName>
    <definedName name="zANS11.1.8">'V11'!$G$14</definedName>
    <definedName name="zANS12.1.1">'V12'!$G$7</definedName>
    <definedName name="zANS12.1.2">'V12'!$G$8</definedName>
    <definedName name="zANS12.1.3">'V12'!$G$9</definedName>
    <definedName name="zANS12.2.1">'V12'!$G$10</definedName>
    <definedName name="zANS12.3.1">'V12'!$G$11</definedName>
    <definedName name="zANS12.3.2">'V12'!$G$12</definedName>
    <definedName name="zANS12.3.3">'V12'!$G$13</definedName>
    <definedName name="zANS12.3.4">'V12'!$G$14</definedName>
    <definedName name="zANS12.3.5">'V12'!$G$15</definedName>
    <definedName name="zANS12.3.6">'V12'!$G$16</definedName>
    <definedName name="zANS12.4.1">'V12'!$G$17</definedName>
    <definedName name="zANS12.4.2">'V12'!$G$18</definedName>
    <definedName name="zANS12.5.1">'V12'!$G$19</definedName>
    <definedName name="zANS12.5.2">'V12'!$G$20</definedName>
    <definedName name="zANS12.6.1">'V12'!$G$21</definedName>
    <definedName name="zANS13.1.1">'V13'!$G$7</definedName>
    <definedName name="zANS13.1.2">'V13'!$G$8</definedName>
    <definedName name="zANS13.1.3">'V13'!$G$9</definedName>
    <definedName name="zANS13.1.4">'V13'!$G$10</definedName>
    <definedName name="zANS13.1.5">'V13'!$G$11</definedName>
    <definedName name="zANS13.2.1">'V13'!$G$12</definedName>
    <definedName name="zANS13.2.2">'V13'!$G$13</definedName>
    <definedName name="zANS13.2.3">'V13'!$G$14</definedName>
    <definedName name="zANS13.2.4">'V13'!$G$15</definedName>
    <definedName name="zANS13.2.5">'V13'!$G$16</definedName>
    <definedName name="zANS13.2.6">'V13'!$G$17</definedName>
    <definedName name="zANS13.3.1">'V13'!$G$18</definedName>
    <definedName name="zANS13.3.2">'V13'!$G$19</definedName>
    <definedName name="zANS13.4.1">'V13'!$G$20</definedName>
    <definedName name="zANS13.4.2">'V13'!$G$21</definedName>
    <definedName name="zANS14.1.1">'V14'!$G$7</definedName>
    <definedName name="zANS14.1.2">'V14'!$G$8</definedName>
    <definedName name="zANS14.1.3">'V14'!$G$9</definedName>
    <definedName name="zANS14.1.4">'V14'!$G$10</definedName>
    <definedName name="zANS14.1.5">'V14'!$G$11</definedName>
    <definedName name="zANS14.2.1">'V14'!$G$12</definedName>
    <definedName name="zANS14.2.2">'V14'!$G$13</definedName>
    <definedName name="zANS14.2.3">'V14'!$G$14</definedName>
    <definedName name="zANS14.2.4">'V14'!$G$15</definedName>
    <definedName name="zANS14.2.5">'V14'!$G$16</definedName>
    <definedName name="zANS14.2.6">'V14'!$G$17</definedName>
    <definedName name="zANS14.3.1">'V14'!$G$18</definedName>
    <definedName name="zANS14.3.2">'V14'!$G$19</definedName>
    <definedName name="zANS14.3.3">'V14'!$G$20</definedName>
    <definedName name="zANS14.4.1">'V14'!$G$21</definedName>
    <definedName name="zANS14.4.2">'V14'!$G$22</definedName>
    <definedName name="zANS14.4.3">'V14'!$G$23</definedName>
    <definedName name="zANS14.4.4">'V14'!$G$24</definedName>
    <definedName name="zANS14.4.5">'V14'!$G$25</definedName>
    <definedName name="zANS14.4.6">'V14'!$G$26</definedName>
    <definedName name="zANS14.4.7">'V14'!$G$27</definedName>
    <definedName name="zANS14.5.1">'V14'!$G$28</definedName>
    <definedName name="zANS14.5.2">'V14'!$G$29</definedName>
    <definedName name="zANS14.5.3">'V14'!$G$30</definedName>
    <definedName name="zANS14.5.4">'V14'!$G$31</definedName>
    <definedName name="zANS2.1.1">'V2'!$G$7</definedName>
    <definedName name="zANS2.1.10">'V2'!$G$16</definedName>
    <definedName name="zANS2.1.11">'V2'!$G$17</definedName>
    <definedName name="zANS2.1.12">'V2'!$G$18</definedName>
    <definedName name="zANS2.1.2">'V2'!$G$8</definedName>
    <definedName name="zANS2.1.3">'V2'!$G$9</definedName>
    <definedName name="zANS2.1.4">'V2'!$G$10</definedName>
    <definedName name="zANS2.1.5">'V2'!$G$11</definedName>
    <definedName name="zANS2.1.6">'V2'!$G$12</definedName>
    <definedName name="zANS2.1.7">'V2'!$G$13</definedName>
    <definedName name="zANS2.1.8">'V2'!$G$14</definedName>
    <definedName name="zANS2.1.9">'V2'!$G$15</definedName>
    <definedName name="zANS2.10.1">'V2'!$G$60</definedName>
    <definedName name="zANS2.10.2">'V2'!$G$61</definedName>
    <definedName name="zANS2.10.3">'V2'!$G$62</definedName>
    <definedName name="zANS2.10.4">'V2'!$G$63</definedName>
    <definedName name="zANS2.2.1">'V2'!$G$19</definedName>
    <definedName name="zANS2.2.2">'V2'!$G$20</definedName>
    <definedName name="zANS2.2.3">'V2'!$G$21</definedName>
    <definedName name="zANS2.2.4">'V2'!$G$22</definedName>
    <definedName name="zANS2.2.5">'V2'!$G$23</definedName>
    <definedName name="zANS2.2.6">'V2'!$G$24</definedName>
    <definedName name="zANS2.2.7">'V2'!$G$25</definedName>
    <definedName name="zANS2.3.1">'V2'!$G$26</definedName>
    <definedName name="zANS2.3.2">'V2'!$G$27</definedName>
    <definedName name="zANS2.3.3">'V2'!$G$28</definedName>
    <definedName name="zANS2.4.1">'V2'!$G$29</definedName>
    <definedName name="zANS2.4.2">'V2'!$G$30</definedName>
    <definedName name="zANS2.4.3">'V2'!$G$31</definedName>
    <definedName name="zANS2.4.4">'V2'!$G$32</definedName>
    <definedName name="zANS2.4.5">'V2'!$G$33</definedName>
    <definedName name="zANS2.5.1">'V2'!$G$34</definedName>
    <definedName name="zANS2.5.2">'V2'!$G$35</definedName>
    <definedName name="zANS2.5.3">'V2'!$G$36</definedName>
    <definedName name="zANS2.5.4">'V2'!$G$37</definedName>
    <definedName name="zANS2.5.5">'V2'!$G$38</definedName>
    <definedName name="zANS2.5.6">'V2'!$G$39</definedName>
    <definedName name="zANS2.5.7">'V2'!$G$40</definedName>
    <definedName name="zANS2.6.1">'V2'!$G$41</definedName>
    <definedName name="zANS2.6.2">'V2'!$G$42</definedName>
    <definedName name="zANS2.6.3">'V2'!$G$43</definedName>
    <definedName name="zANS2.7.1">'V2'!$G$44</definedName>
    <definedName name="zANS2.7.2">'V2'!$G$45</definedName>
    <definedName name="zANS2.7.3">'V2'!$G$46</definedName>
    <definedName name="zANS2.7.4">'V2'!$G$47</definedName>
    <definedName name="zANS2.7.5">'V2'!$G$48</definedName>
    <definedName name="zANS2.7.6">'V2'!$G$49</definedName>
    <definedName name="zANS2.8.1">'V2'!$G$50</definedName>
    <definedName name="zANS2.8.2">'V2'!$G$51</definedName>
    <definedName name="zANS2.8.3">'V2'!$G$52</definedName>
    <definedName name="zANS2.8.4">'V2'!$G$53</definedName>
    <definedName name="zANS2.8.5">'V2'!$G$54</definedName>
    <definedName name="zANS2.8.6">'V2'!$G$55</definedName>
    <definedName name="zANS2.8.7">'V2'!$G$56</definedName>
    <definedName name="zANS2.9.1">'V2'!$G$57</definedName>
    <definedName name="zANS2.9.2">'V2'!$G$58</definedName>
    <definedName name="zANS2.9.3">'V2'!$G$59</definedName>
    <definedName name="zANS3.1.1">'V3'!$G$7</definedName>
    <definedName name="zANS3.2.1">'V3'!$G$8</definedName>
    <definedName name="zANS3.2.2">'V3'!$G$9</definedName>
    <definedName name="zANS3.2.3">'V3'!$G$10</definedName>
    <definedName name="zANS3.2.4">'V3'!$G$11</definedName>
    <definedName name="zANS3.3.1">'V3'!$G$12</definedName>
    <definedName name="zANS3.3.2">'V3'!$G$13</definedName>
    <definedName name="zANS3.3.3">'V3'!$G$14</definedName>
    <definedName name="zANS3.3.4">'V3'!$G$15</definedName>
    <definedName name="zANS3.4.1">'V3'!$G$16</definedName>
    <definedName name="zANS3.4.2">'V3'!$G$17</definedName>
    <definedName name="zANS3.4.3">'V3'!$G$18</definedName>
    <definedName name="zANS3.4.4">'V3'!$G$19</definedName>
    <definedName name="zANS3.4.5">'V3'!$G$20</definedName>
    <definedName name="zANS3.5.1">'V3'!$G$21</definedName>
    <definedName name="zANS3.5.2">'V3'!$G$22</definedName>
    <definedName name="zANS3.5.3">'V3'!$G$23</definedName>
    <definedName name="zANS3.6.1">'V3'!$G$24</definedName>
    <definedName name="zANS3.6.2">'V3'!$G$25</definedName>
    <definedName name="zANS3.7.1">'V3'!$G$26</definedName>
    <definedName name="zANS4.1.1">'V4'!$G$7</definedName>
    <definedName name="zANS4.1.2">'V4'!$G$8</definedName>
    <definedName name="zANS4.1.3">'V4'!$G$9</definedName>
    <definedName name="zANS4.1.4">'V4'!$G$10</definedName>
    <definedName name="zANS4.1.5">'V4'!$G$11</definedName>
    <definedName name="zANS4.2.1">'V4'!$G$12</definedName>
    <definedName name="zANS4.2.2">'V4'!$G$13</definedName>
    <definedName name="zANS4.3.1">'V4'!$G$14</definedName>
    <definedName name="zANS4.3.2">'V4'!$G$15</definedName>
    <definedName name="zANS4.3.3">'V4'!$G$16</definedName>
    <definedName name="zANS5.1.1">'V5'!$G$7</definedName>
    <definedName name="zANS5.1.2">'V5'!$G$8</definedName>
    <definedName name="zANS5.1.3">'V5'!$G$9</definedName>
    <definedName name="zANS5.1.4">'V5'!$G$10</definedName>
    <definedName name="zANS5.1.5">'V5'!$G$11</definedName>
    <definedName name="zANS5.2.1">'V5'!$G$12</definedName>
    <definedName name="zANS5.2.2">'V5'!$G$13</definedName>
    <definedName name="zANS5.2.3">'V5'!$G$14</definedName>
    <definedName name="zANS5.2.4">'V5'!$G$15</definedName>
    <definedName name="zANS5.2.5">'V5'!$G$16</definedName>
    <definedName name="zANS5.2.6">'V5'!$G$17</definedName>
    <definedName name="zANS5.2.7">'V5'!$G$18</definedName>
    <definedName name="zANS5.2.8">'V5'!$G$19</definedName>
    <definedName name="zANS5.3.1">'V5'!$G$20</definedName>
    <definedName name="zANS5.3.10">'V5'!$G$29</definedName>
    <definedName name="zANS5.3.2">'V5'!$G$21</definedName>
    <definedName name="zANS5.3.3">'V5'!$G$22</definedName>
    <definedName name="zANS5.3.4">'V5'!$G$23</definedName>
    <definedName name="zANS5.3.5">'V5'!$G$24</definedName>
    <definedName name="zANS5.3.6">'V5'!$G$25</definedName>
    <definedName name="zANS5.3.7">'V5'!$G$26</definedName>
    <definedName name="zANS5.3.8">'V5'!$G$27</definedName>
    <definedName name="zANS5.3.9">'V5'!$G$28</definedName>
    <definedName name="zANS5.4.1">'V5'!$G$30</definedName>
    <definedName name="zANS5.4.2">'V5'!$G$31</definedName>
    <definedName name="zANS5.4.3">'V5'!$G$32</definedName>
    <definedName name="zANS5.5.1">'V5'!$G$33</definedName>
    <definedName name="zANS5.5.2">'V5'!$G$34</definedName>
    <definedName name="zANS5.5.3">'V5'!$G$35</definedName>
    <definedName name="zANS5.5.4">'V5'!$G$36</definedName>
    <definedName name="zANS6.1.1">'V6'!$G$7</definedName>
    <definedName name="zANS6.1.2">'V6'!$G$8</definedName>
    <definedName name="zANS6.1.3">'V6'!$G$9</definedName>
    <definedName name="zANS6.2.1">'V6'!$G$10</definedName>
    <definedName name="zANS6.2.2">'V6'!$G$11</definedName>
    <definedName name="zANS6.2.3">'V6'!$G$12</definedName>
    <definedName name="zANS6.2.4">'V6'!$G$13</definedName>
    <definedName name="zANS6.2.5">'V6'!$G$14</definedName>
    <definedName name="zANS6.2.6">'V6'!$G$15</definedName>
    <definedName name="zANS6.2.7">'V6'!$G$16</definedName>
    <definedName name="zANS6.2.8">'V6'!$G$17</definedName>
    <definedName name="zANS6.3.1">'V6'!$G$18</definedName>
    <definedName name="zANS6.3.2">'V6'!$G$19</definedName>
    <definedName name="zANS6.3.3">'V6'!$G$20</definedName>
    <definedName name="zANS6.3.4">'V6'!$G$21</definedName>
    <definedName name="zANS6.4.1">'V6'!$G$21</definedName>
    <definedName name="zANS6.4.2">'V6'!$G$22</definedName>
    <definedName name="zANS7.1.1">'V7'!$G$7</definedName>
    <definedName name="zANS7.1.2">'V7'!$G$8</definedName>
    <definedName name="zANS7.1.3">'V7'!$G$9</definedName>
    <definedName name="zANS7.1.4">'V7'!$G$10</definedName>
    <definedName name="zANS7.2.1">'V7'!$G$11</definedName>
    <definedName name="zANS7.2.2">'V7'!$G$12</definedName>
    <definedName name="zANS7.3.1">'V7'!$G$13</definedName>
    <definedName name="zANS7.3.2">'V7'!$G$14</definedName>
    <definedName name="zANS7.3.3">'V7'!$G$15</definedName>
    <definedName name="zANS7.3.4">'V7'!$G$16</definedName>
    <definedName name="zANS7.4.1">'V7'!$G$17</definedName>
    <definedName name="zANS7.4.2">'V7'!$G$18</definedName>
    <definedName name="zANS7.4.3">'V7'!$G$19</definedName>
    <definedName name="zANS8.1.1">'V8'!$G$7</definedName>
    <definedName name="zANS8.1.2">'V8'!$G$8</definedName>
    <definedName name="zANS8.1.3">'V8'!$G$9</definedName>
    <definedName name="zANS8.1.4">'V8'!$G$10</definedName>
    <definedName name="zANS8.1.5">'V8'!$G$11</definedName>
    <definedName name="zANS8.1.6">'V8'!$G$12</definedName>
    <definedName name="zANS8.2.1">'V8'!$G$13</definedName>
    <definedName name="zANS8.2.2">'V8'!$G$14</definedName>
    <definedName name="zANS8.2.3">'V8'!$G$15</definedName>
    <definedName name="zANS8.3.1">'V8'!$G$16</definedName>
    <definedName name="zANS8.3.2">'V8'!$G$17</definedName>
    <definedName name="zANS8.3.3">'V8'!$G$18</definedName>
    <definedName name="zANS8.3.4">'V8'!$G$19</definedName>
    <definedName name="zANS8.3.5">'V8'!$G$20</definedName>
    <definedName name="zANS8.3.6">'V8'!$G$21</definedName>
    <definedName name="zANS8.3.7">'V8'!$G$22</definedName>
    <definedName name="zANS8.3.8">'V8'!$G$23</definedName>
    <definedName name="zANS9.1.1">'V9'!$G$7</definedName>
    <definedName name="zANS9.1.2">'V9'!$G$8</definedName>
    <definedName name="zANS9.1.3">'V9'!$G$9</definedName>
    <definedName name="zANS9.2.1">'V9'!$G$10</definedName>
    <definedName name="zANS9.2.2">'V9'!$G$11</definedName>
    <definedName name="zANS9.2.3">'V9'!$G$12</definedName>
    <definedName name="zANS9.2.4">'V9'!$G$13</definedName>
    <definedName name="zANS9.2.5">'V9'!$G$14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2" i="3" l="1"/>
  <c r="M3" i="22" l="1"/>
  <c r="N3" i="22"/>
  <c r="L3" i="22"/>
  <c r="O3" i="22"/>
  <c r="Q3" i="22"/>
  <c r="R3" i="22"/>
  <c r="S3" i="22"/>
  <c r="M4" i="22"/>
  <c r="N4" i="22"/>
  <c r="L4" i="22"/>
  <c r="O4" i="22"/>
  <c r="Q4" i="22"/>
  <c r="R4" i="22"/>
  <c r="S4" i="22"/>
  <c r="M5" i="22"/>
  <c r="N5" i="22"/>
  <c r="L5" i="22"/>
  <c r="O5" i="22"/>
  <c r="Q5" i="22"/>
  <c r="R5" i="22"/>
  <c r="S5" i="22"/>
  <c r="M6" i="22"/>
  <c r="N6" i="22"/>
  <c r="L6" i="22"/>
  <c r="O6" i="22"/>
  <c r="Q6" i="22"/>
  <c r="R6" i="22"/>
  <c r="S6" i="22"/>
  <c r="M7" i="22"/>
  <c r="N7" i="22"/>
  <c r="L7" i="22"/>
  <c r="O7" i="22"/>
  <c r="Q7" i="22"/>
  <c r="R7" i="22"/>
  <c r="S7" i="22"/>
  <c r="M8" i="22"/>
  <c r="N8" i="22"/>
  <c r="L8" i="22"/>
  <c r="O8" i="22"/>
  <c r="Q8" i="22"/>
  <c r="R8" i="22"/>
  <c r="S8" i="22"/>
  <c r="M9" i="22"/>
  <c r="N9" i="22"/>
  <c r="L9" i="22"/>
  <c r="O9" i="22"/>
  <c r="Q9" i="22"/>
  <c r="R9" i="22"/>
  <c r="S9" i="22"/>
  <c r="M10" i="22"/>
  <c r="N10" i="22"/>
  <c r="L10" i="22"/>
  <c r="O10" i="22"/>
  <c r="Q10" i="22"/>
  <c r="R10" i="22"/>
  <c r="S10" i="22"/>
  <c r="M11" i="22"/>
  <c r="N11" i="22"/>
  <c r="L11" i="22"/>
  <c r="O11" i="22"/>
  <c r="Q11" i="22"/>
  <c r="R11" i="22"/>
  <c r="S11" i="22"/>
  <c r="M12" i="22"/>
  <c r="N12" i="22"/>
  <c r="L12" i="22"/>
  <c r="O12" i="22"/>
  <c r="Q12" i="22"/>
  <c r="R12" i="22"/>
  <c r="S12" i="22"/>
  <c r="M13" i="22"/>
  <c r="N13" i="22"/>
  <c r="L13" i="22"/>
  <c r="O13" i="22"/>
  <c r="Q13" i="22"/>
  <c r="R13" i="22"/>
  <c r="S13" i="22"/>
  <c r="M14" i="22"/>
  <c r="N14" i="22"/>
  <c r="L14" i="22"/>
  <c r="O14" i="22"/>
  <c r="Q14" i="22"/>
  <c r="R14" i="22"/>
  <c r="S14" i="22"/>
  <c r="M15" i="22"/>
  <c r="N15" i="22"/>
  <c r="L15" i="22"/>
  <c r="O15" i="22"/>
  <c r="Q15" i="22"/>
  <c r="R15" i="22"/>
  <c r="S15" i="22"/>
  <c r="M16" i="22"/>
  <c r="N16" i="22"/>
  <c r="L16" i="22"/>
  <c r="O16" i="22"/>
  <c r="Q16" i="22"/>
  <c r="R16" i="22"/>
  <c r="S16" i="22"/>
  <c r="M17" i="22"/>
  <c r="N17" i="22"/>
  <c r="L17" i="22"/>
  <c r="O17" i="22"/>
  <c r="Q17" i="22"/>
  <c r="R17" i="22"/>
  <c r="S17" i="22"/>
  <c r="M18" i="22"/>
  <c r="N18" i="22"/>
  <c r="L18" i="22"/>
  <c r="O18" i="22"/>
  <c r="Q18" i="22"/>
  <c r="R18" i="22"/>
  <c r="S18" i="22"/>
  <c r="M19" i="22"/>
  <c r="N19" i="22"/>
  <c r="L19" i="22"/>
  <c r="O19" i="22"/>
  <c r="Q19" i="22"/>
  <c r="R19" i="22"/>
  <c r="S19" i="22"/>
  <c r="M20" i="22"/>
  <c r="N20" i="22"/>
  <c r="L20" i="22"/>
  <c r="O20" i="22"/>
  <c r="Q20" i="22"/>
  <c r="R20" i="22"/>
  <c r="S20" i="22"/>
  <c r="M21" i="22"/>
  <c r="N21" i="22"/>
  <c r="L21" i="22"/>
  <c r="O21" i="22"/>
  <c r="Q21" i="22"/>
  <c r="R21" i="22"/>
  <c r="S21" i="22"/>
  <c r="M22" i="22"/>
  <c r="N22" i="22"/>
  <c r="L22" i="22"/>
  <c r="O22" i="22"/>
  <c r="Q22" i="22"/>
  <c r="R22" i="22"/>
  <c r="S22" i="22"/>
  <c r="M23" i="22"/>
  <c r="N23" i="22"/>
  <c r="L23" i="22"/>
  <c r="O23" i="22"/>
  <c r="Q23" i="22"/>
  <c r="R23" i="22"/>
  <c r="S23" i="22"/>
  <c r="M24" i="22"/>
  <c r="N24" i="22"/>
  <c r="L24" i="22"/>
  <c r="O24" i="22"/>
  <c r="Q24" i="22"/>
  <c r="R24" i="22"/>
  <c r="S24" i="22"/>
  <c r="M25" i="22"/>
  <c r="N25" i="22"/>
  <c r="L25" i="22"/>
  <c r="O25" i="22"/>
  <c r="Q25" i="22"/>
  <c r="R25" i="22"/>
  <c r="S25" i="22"/>
  <c r="M26" i="22"/>
  <c r="N26" i="22"/>
  <c r="L26" i="22"/>
  <c r="O26" i="22"/>
  <c r="Q26" i="22"/>
  <c r="R26" i="22"/>
  <c r="S26" i="22"/>
  <c r="M27" i="22"/>
  <c r="N27" i="22"/>
  <c r="L27" i="22"/>
  <c r="O27" i="22"/>
  <c r="Q27" i="22"/>
  <c r="R27" i="22"/>
  <c r="S27" i="22"/>
  <c r="M28" i="22"/>
  <c r="N28" i="22"/>
  <c r="L28" i="22"/>
  <c r="O28" i="22"/>
  <c r="Q28" i="22"/>
  <c r="R28" i="22"/>
  <c r="S28" i="22"/>
  <c r="M29" i="22"/>
  <c r="N29" i="22"/>
  <c r="L29" i="22"/>
  <c r="O29" i="22"/>
  <c r="Q29" i="22"/>
  <c r="R29" i="22"/>
  <c r="S29" i="22"/>
  <c r="M30" i="22"/>
  <c r="N30" i="22"/>
  <c r="L30" i="22"/>
  <c r="O30" i="22"/>
  <c r="Q30" i="22"/>
  <c r="R30" i="22"/>
  <c r="S30" i="22"/>
  <c r="M31" i="22"/>
  <c r="N31" i="22"/>
  <c r="L31" i="22"/>
  <c r="O31" i="22"/>
  <c r="Q31" i="22"/>
  <c r="R31" i="22"/>
  <c r="S31" i="22"/>
  <c r="M32" i="22"/>
  <c r="N32" i="22"/>
  <c r="L32" i="22"/>
  <c r="O32" i="22"/>
  <c r="Q32" i="22"/>
  <c r="R32" i="22"/>
  <c r="S32" i="22"/>
  <c r="M33" i="22"/>
  <c r="N33" i="22"/>
  <c r="L33" i="22"/>
  <c r="O33" i="22"/>
  <c r="Q33" i="22"/>
  <c r="R33" i="22"/>
  <c r="S33" i="22"/>
  <c r="M34" i="22"/>
  <c r="N34" i="22"/>
  <c r="L34" i="22"/>
  <c r="O34" i="22"/>
  <c r="Q34" i="22"/>
  <c r="R34" i="22"/>
  <c r="S34" i="22"/>
  <c r="M35" i="22"/>
  <c r="N35" i="22"/>
  <c r="L35" i="22"/>
  <c r="O35" i="22"/>
  <c r="Q35" i="22"/>
  <c r="R35" i="22"/>
  <c r="S35" i="22"/>
  <c r="M36" i="22"/>
  <c r="N36" i="22"/>
  <c r="L36" i="22"/>
  <c r="O36" i="22"/>
  <c r="Q36" i="22"/>
  <c r="R36" i="22"/>
  <c r="S36" i="22"/>
  <c r="M37" i="22"/>
  <c r="N37" i="22"/>
  <c r="L37" i="22"/>
  <c r="O37" i="22"/>
  <c r="Q37" i="22"/>
  <c r="R37" i="22"/>
  <c r="S37" i="22"/>
  <c r="M38" i="22"/>
  <c r="N38" i="22"/>
  <c r="L38" i="22"/>
  <c r="O38" i="22"/>
  <c r="Q38" i="22"/>
  <c r="R38" i="22"/>
  <c r="S38" i="22"/>
  <c r="M39" i="22"/>
  <c r="N39" i="22"/>
  <c r="L39" i="22"/>
  <c r="O39" i="22"/>
  <c r="Q39" i="22"/>
  <c r="R39" i="22"/>
  <c r="S39" i="22"/>
  <c r="M40" i="22"/>
  <c r="N40" i="22"/>
  <c r="L40" i="22"/>
  <c r="O40" i="22"/>
  <c r="Q40" i="22"/>
  <c r="R40" i="22"/>
  <c r="S40" i="22"/>
  <c r="M41" i="22"/>
  <c r="N41" i="22"/>
  <c r="L41" i="22"/>
  <c r="O41" i="22"/>
  <c r="Q41" i="22"/>
  <c r="R41" i="22"/>
  <c r="S41" i="22"/>
  <c r="M42" i="22"/>
  <c r="N42" i="22"/>
  <c r="L42" i="22"/>
  <c r="O42" i="22"/>
  <c r="Q42" i="22"/>
  <c r="R42" i="22"/>
  <c r="S42" i="22"/>
  <c r="M43" i="22"/>
  <c r="N43" i="22"/>
  <c r="L43" i="22"/>
  <c r="O43" i="22"/>
  <c r="Q43" i="22"/>
  <c r="R43" i="22"/>
  <c r="S43" i="22"/>
  <c r="M44" i="22"/>
  <c r="N44" i="22"/>
  <c r="L44" i="22"/>
  <c r="O44" i="22"/>
  <c r="Q44" i="22"/>
  <c r="R44" i="22"/>
  <c r="S44" i="22"/>
  <c r="M45" i="22"/>
  <c r="N45" i="22"/>
  <c r="L45" i="22"/>
  <c r="O45" i="22"/>
  <c r="Q45" i="22"/>
  <c r="R45" i="22"/>
  <c r="S45" i="22"/>
  <c r="M46" i="22"/>
  <c r="N46" i="22"/>
  <c r="L46" i="22"/>
  <c r="O46" i="22"/>
  <c r="Q46" i="22"/>
  <c r="R46" i="22"/>
  <c r="S46" i="22"/>
  <c r="M47" i="22"/>
  <c r="N47" i="22"/>
  <c r="L47" i="22"/>
  <c r="O47" i="22"/>
  <c r="Q47" i="22"/>
  <c r="R47" i="22"/>
  <c r="S47" i="22"/>
  <c r="M48" i="22"/>
  <c r="N48" i="22"/>
  <c r="L48" i="22"/>
  <c r="O48" i="22"/>
  <c r="Q48" i="22"/>
  <c r="R48" i="22"/>
  <c r="S48" i="22"/>
  <c r="M49" i="22"/>
  <c r="N49" i="22"/>
  <c r="L49" i="22"/>
  <c r="O49" i="22"/>
  <c r="Q49" i="22"/>
  <c r="R49" i="22"/>
  <c r="S49" i="22"/>
  <c r="M50" i="22"/>
  <c r="N50" i="22"/>
  <c r="L50" i="22"/>
  <c r="O50" i="22"/>
  <c r="Q50" i="22"/>
  <c r="R50" i="22"/>
  <c r="S50" i="22"/>
  <c r="M51" i="22"/>
  <c r="N51" i="22"/>
  <c r="L51" i="22"/>
  <c r="O51" i="22"/>
  <c r="Q51" i="22"/>
  <c r="R51" i="22"/>
  <c r="S51" i="22"/>
  <c r="M52" i="22"/>
  <c r="N52" i="22"/>
  <c r="L52" i="22"/>
  <c r="O52" i="22"/>
  <c r="Q52" i="22"/>
  <c r="R52" i="22"/>
  <c r="S52" i="22"/>
  <c r="M53" i="22"/>
  <c r="N53" i="22"/>
  <c r="L53" i="22"/>
  <c r="O53" i="22"/>
  <c r="Q53" i="22"/>
  <c r="R53" i="22"/>
  <c r="S53" i="22"/>
  <c r="M54" i="22"/>
  <c r="N54" i="22"/>
  <c r="L54" i="22"/>
  <c r="O54" i="22"/>
  <c r="Q54" i="22"/>
  <c r="R54" i="22"/>
  <c r="S54" i="22"/>
  <c r="M55" i="22"/>
  <c r="N55" i="22"/>
  <c r="L55" i="22"/>
  <c r="O55" i="22"/>
  <c r="Q55" i="22"/>
  <c r="R55" i="22"/>
  <c r="S55" i="22"/>
  <c r="M56" i="22"/>
  <c r="N56" i="22"/>
  <c r="L56" i="22"/>
  <c r="O56" i="22"/>
  <c r="Q56" i="22"/>
  <c r="R56" i="22"/>
  <c r="S56" i="22"/>
  <c r="M57" i="22"/>
  <c r="N57" i="22"/>
  <c r="L57" i="22"/>
  <c r="O57" i="22"/>
  <c r="Q57" i="22"/>
  <c r="R57" i="22"/>
  <c r="S57" i="22"/>
  <c r="M58" i="22"/>
  <c r="N58" i="22"/>
  <c r="L58" i="22"/>
  <c r="O58" i="22"/>
  <c r="Q58" i="22"/>
  <c r="R58" i="22"/>
  <c r="S58" i="22"/>
  <c r="M59" i="22"/>
  <c r="N59" i="22"/>
  <c r="L59" i="22"/>
  <c r="O59" i="22"/>
  <c r="Q59" i="22"/>
  <c r="R59" i="22"/>
  <c r="S59" i="22"/>
  <c r="M60" i="22"/>
  <c r="N60" i="22"/>
  <c r="L60" i="22"/>
  <c r="O60" i="22"/>
  <c r="Q60" i="22"/>
  <c r="R60" i="22"/>
  <c r="S60" i="22"/>
  <c r="M61" i="22"/>
  <c r="N61" i="22"/>
  <c r="L61" i="22"/>
  <c r="O61" i="22"/>
  <c r="Q61" i="22"/>
  <c r="R61" i="22"/>
  <c r="S61" i="22"/>
  <c r="M62" i="22"/>
  <c r="N62" i="22"/>
  <c r="L62" i="22"/>
  <c r="O62" i="22"/>
  <c r="Q62" i="22"/>
  <c r="R62" i="22"/>
  <c r="S62" i="22"/>
  <c r="M63" i="22"/>
  <c r="N63" i="22"/>
  <c r="L63" i="22"/>
  <c r="O63" i="22"/>
  <c r="Q63" i="22"/>
  <c r="R63" i="22"/>
  <c r="S63" i="22"/>
  <c r="M64" i="22"/>
  <c r="N64" i="22"/>
  <c r="L64" i="22"/>
  <c r="O64" i="22"/>
  <c r="Q64" i="22"/>
  <c r="R64" i="22"/>
  <c r="S64" i="22"/>
  <c r="M65" i="22"/>
  <c r="N65" i="22"/>
  <c r="L65" i="22"/>
  <c r="O65" i="22"/>
  <c r="Q65" i="22"/>
  <c r="R65" i="22"/>
  <c r="S65" i="22"/>
  <c r="M66" i="22"/>
  <c r="N66" i="22"/>
  <c r="L66" i="22"/>
  <c r="O66" i="22"/>
  <c r="Q66" i="22"/>
  <c r="R66" i="22"/>
  <c r="S66" i="22"/>
  <c r="M67" i="22"/>
  <c r="N67" i="22"/>
  <c r="L67" i="22"/>
  <c r="O67" i="22"/>
  <c r="Q67" i="22"/>
  <c r="R67" i="22"/>
  <c r="S67" i="22"/>
  <c r="M68" i="22"/>
  <c r="N68" i="22"/>
  <c r="L68" i="22"/>
  <c r="O68" i="22"/>
  <c r="Q68" i="22"/>
  <c r="R68" i="22"/>
  <c r="S68" i="22"/>
  <c r="M69" i="22"/>
  <c r="N69" i="22"/>
  <c r="L69" i="22"/>
  <c r="O69" i="22"/>
  <c r="Q69" i="22"/>
  <c r="R69" i="22"/>
  <c r="S69" i="22"/>
  <c r="M70" i="22"/>
  <c r="N70" i="22"/>
  <c r="L70" i="22"/>
  <c r="O70" i="22"/>
  <c r="Q70" i="22"/>
  <c r="R70" i="22"/>
  <c r="S70" i="22"/>
  <c r="M71" i="22"/>
  <c r="N71" i="22"/>
  <c r="L71" i="22"/>
  <c r="O71" i="22"/>
  <c r="Q71" i="22"/>
  <c r="R71" i="22"/>
  <c r="S71" i="22"/>
  <c r="M72" i="22"/>
  <c r="N72" i="22"/>
  <c r="L72" i="22"/>
  <c r="O72" i="22"/>
  <c r="Q72" i="22"/>
  <c r="R72" i="22"/>
  <c r="S72" i="22"/>
  <c r="M73" i="22"/>
  <c r="N73" i="22"/>
  <c r="L73" i="22"/>
  <c r="O73" i="22"/>
  <c r="Q73" i="22"/>
  <c r="R73" i="22"/>
  <c r="S73" i="22"/>
  <c r="M74" i="22"/>
  <c r="N74" i="22"/>
  <c r="L74" i="22"/>
  <c r="O74" i="22"/>
  <c r="Q74" i="22"/>
  <c r="R74" i="22"/>
  <c r="S74" i="22"/>
  <c r="M75" i="22"/>
  <c r="N75" i="22"/>
  <c r="L75" i="22"/>
  <c r="O75" i="22"/>
  <c r="Q75" i="22"/>
  <c r="R75" i="22"/>
  <c r="S75" i="22"/>
  <c r="M76" i="22"/>
  <c r="N76" i="22"/>
  <c r="L76" i="22"/>
  <c r="O76" i="22"/>
  <c r="Q76" i="22"/>
  <c r="R76" i="22"/>
  <c r="S76" i="22"/>
  <c r="M77" i="22"/>
  <c r="N77" i="22"/>
  <c r="L77" i="22"/>
  <c r="O77" i="22"/>
  <c r="Q77" i="22"/>
  <c r="R77" i="22"/>
  <c r="S77" i="22"/>
  <c r="M78" i="22"/>
  <c r="N78" i="22"/>
  <c r="L78" i="22"/>
  <c r="O78" i="22"/>
  <c r="Q78" i="22"/>
  <c r="R78" i="22"/>
  <c r="S78" i="22"/>
  <c r="M79" i="22"/>
  <c r="N79" i="22"/>
  <c r="L79" i="22"/>
  <c r="O79" i="22"/>
  <c r="Q79" i="22"/>
  <c r="R79" i="22"/>
  <c r="S79" i="22"/>
  <c r="M80" i="22"/>
  <c r="N80" i="22"/>
  <c r="L80" i="22"/>
  <c r="O80" i="22"/>
  <c r="Q80" i="22"/>
  <c r="R80" i="22"/>
  <c r="S80" i="22"/>
  <c r="M81" i="22"/>
  <c r="N81" i="22"/>
  <c r="L81" i="22"/>
  <c r="O81" i="22"/>
  <c r="Q81" i="22"/>
  <c r="R81" i="22"/>
  <c r="S81" i="22"/>
  <c r="M82" i="22"/>
  <c r="N82" i="22"/>
  <c r="L82" i="22"/>
  <c r="O82" i="22"/>
  <c r="Q82" i="22"/>
  <c r="R82" i="22"/>
  <c r="S82" i="22"/>
  <c r="M83" i="22"/>
  <c r="N83" i="22"/>
  <c r="L83" i="22"/>
  <c r="O83" i="22"/>
  <c r="Q83" i="22"/>
  <c r="R83" i="22"/>
  <c r="S83" i="22"/>
  <c r="M84" i="22"/>
  <c r="N84" i="22"/>
  <c r="L84" i="22"/>
  <c r="O84" i="22"/>
  <c r="Q84" i="22"/>
  <c r="R84" i="22"/>
  <c r="S84" i="22"/>
  <c r="M85" i="22"/>
  <c r="N85" i="22"/>
  <c r="L85" i="22"/>
  <c r="O85" i="22"/>
  <c r="Q85" i="22"/>
  <c r="R85" i="22"/>
  <c r="S85" i="22"/>
  <c r="M86" i="22"/>
  <c r="N86" i="22"/>
  <c r="L86" i="22"/>
  <c r="O86" i="22"/>
  <c r="Q86" i="22"/>
  <c r="R86" i="22"/>
  <c r="S86" i="22"/>
  <c r="M87" i="22"/>
  <c r="N87" i="22"/>
  <c r="L87" i="22"/>
  <c r="O87" i="22"/>
  <c r="Q87" i="22"/>
  <c r="R87" i="22"/>
  <c r="S87" i="22"/>
  <c r="M88" i="22"/>
  <c r="N88" i="22"/>
  <c r="L88" i="22"/>
  <c r="O88" i="22"/>
  <c r="Q88" i="22"/>
  <c r="R88" i="22"/>
  <c r="S88" i="22"/>
  <c r="M89" i="22"/>
  <c r="N89" i="22"/>
  <c r="L89" i="22"/>
  <c r="O89" i="22"/>
  <c r="Q89" i="22"/>
  <c r="R89" i="22"/>
  <c r="S89" i="22"/>
  <c r="M90" i="22"/>
  <c r="N90" i="22"/>
  <c r="L90" i="22"/>
  <c r="O90" i="22"/>
  <c r="Q90" i="22"/>
  <c r="R90" i="22"/>
  <c r="S90" i="22"/>
  <c r="M91" i="22"/>
  <c r="N91" i="22"/>
  <c r="L91" i="22"/>
  <c r="O91" i="22"/>
  <c r="Q91" i="22"/>
  <c r="R91" i="22"/>
  <c r="S91" i="22"/>
  <c r="M92" i="22"/>
  <c r="N92" i="22"/>
  <c r="L92" i="22"/>
  <c r="O92" i="22"/>
  <c r="Q92" i="22"/>
  <c r="R92" i="22"/>
  <c r="S92" i="22"/>
  <c r="M93" i="22"/>
  <c r="N93" i="22"/>
  <c r="L93" i="22"/>
  <c r="O93" i="22"/>
  <c r="Q93" i="22"/>
  <c r="R93" i="22"/>
  <c r="S93" i="22"/>
  <c r="M94" i="22"/>
  <c r="N94" i="22"/>
  <c r="L94" i="22"/>
  <c r="O94" i="22"/>
  <c r="Q94" i="22"/>
  <c r="R94" i="22"/>
  <c r="S94" i="22"/>
  <c r="M95" i="22"/>
  <c r="N95" i="22"/>
  <c r="L95" i="22"/>
  <c r="O95" i="22"/>
  <c r="Q95" i="22"/>
  <c r="R95" i="22"/>
  <c r="S95" i="22"/>
  <c r="M96" i="22"/>
  <c r="N96" i="22"/>
  <c r="L96" i="22"/>
  <c r="O96" i="22"/>
  <c r="Q96" i="22"/>
  <c r="R96" i="22"/>
  <c r="S96" i="22"/>
  <c r="M97" i="22"/>
  <c r="N97" i="22"/>
  <c r="L97" i="22"/>
  <c r="O97" i="22"/>
  <c r="Q97" i="22"/>
  <c r="R97" i="22"/>
  <c r="S97" i="22"/>
  <c r="M98" i="22"/>
  <c r="N98" i="22"/>
  <c r="L98" i="22"/>
  <c r="O98" i="22"/>
  <c r="Q98" i="22"/>
  <c r="R98" i="22"/>
  <c r="S98" i="22"/>
  <c r="M99" i="22"/>
  <c r="N99" i="22"/>
  <c r="L99" i="22"/>
  <c r="O99" i="22"/>
  <c r="Q99" i="22"/>
  <c r="R99" i="22"/>
  <c r="S99" i="22"/>
  <c r="M100" i="22"/>
  <c r="N100" i="22"/>
  <c r="L100" i="22"/>
  <c r="O100" i="22"/>
  <c r="Q100" i="22"/>
  <c r="R100" i="22"/>
  <c r="S100" i="22"/>
  <c r="M101" i="22"/>
  <c r="N101" i="22"/>
  <c r="L101" i="22"/>
  <c r="O101" i="22"/>
  <c r="Q101" i="22"/>
  <c r="R101" i="22"/>
  <c r="S101" i="22"/>
  <c r="M102" i="22"/>
  <c r="N102" i="22"/>
  <c r="L102" i="22"/>
  <c r="O102" i="22"/>
  <c r="Q102" i="22"/>
  <c r="R102" i="22"/>
  <c r="S102" i="22"/>
  <c r="M103" i="22"/>
  <c r="N103" i="22"/>
  <c r="L103" i="22"/>
  <c r="O103" i="22"/>
  <c r="Q103" i="22"/>
  <c r="R103" i="22"/>
  <c r="S103" i="22"/>
  <c r="M104" i="22"/>
  <c r="N104" i="22"/>
  <c r="L104" i="22"/>
  <c r="O104" i="22"/>
  <c r="Q104" i="22"/>
  <c r="R104" i="22"/>
  <c r="S104" i="22"/>
  <c r="M105" i="22"/>
  <c r="N105" i="22"/>
  <c r="L105" i="22"/>
  <c r="O105" i="22"/>
  <c r="Q105" i="22"/>
  <c r="R105" i="22"/>
  <c r="S105" i="22"/>
  <c r="M106" i="22"/>
  <c r="N106" i="22"/>
  <c r="L106" i="22"/>
  <c r="O106" i="22"/>
  <c r="Q106" i="22"/>
  <c r="R106" i="22"/>
  <c r="S106" i="22"/>
  <c r="M107" i="22"/>
  <c r="N107" i="22"/>
  <c r="L107" i="22"/>
  <c r="O107" i="22"/>
  <c r="Q107" i="22"/>
  <c r="R107" i="22"/>
  <c r="S107" i="22"/>
  <c r="M108" i="22"/>
  <c r="N108" i="22"/>
  <c r="L108" i="22"/>
  <c r="O108" i="22"/>
  <c r="Q108" i="22"/>
  <c r="R108" i="22"/>
  <c r="S108" i="22"/>
  <c r="M109" i="22"/>
  <c r="N109" i="22"/>
  <c r="L109" i="22"/>
  <c r="O109" i="22"/>
  <c r="Q109" i="22"/>
  <c r="R109" i="22"/>
  <c r="S109" i="22"/>
  <c r="M110" i="22"/>
  <c r="N110" i="22"/>
  <c r="L110" i="22"/>
  <c r="O110" i="22"/>
  <c r="Q110" i="22"/>
  <c r="R110" i="22"/>
  <c r="S110" i="22"/>
  <c r="M111" i="22"/>
  <c r="N111" i="22"/>
  <c r="L111" i="22"/>
  <c r="O111" i="22"/>
  <c r="Q111" i="22"/>
  <c r="R111" i="22"/>
  <c r="S111" i="22"/>
  <c r="M112" i="22"/>
  <c r="N112" i="22"/>
  <c r="L112" i="22"/>
  <c r="O112" i="22"/>
  <c r="Q112" i="22"/>
  <c r="R112" i="22"/>
  <c r="S112" i="22"/>
  <c r="M113" i="22"/>
  <c r="N113" i="22"/>
  <c r="L113" i="22"/>
  <c r="O113" i="22"/>
  <c r="Q113" i="22"/>
  <c r="R113" i="22"/>
  <c r="S113" i="22"/>
  <c r="M114" i="22"/>
  <c r="N114" i="22"/>
  <c r="L114" i="22"/>
  <c r="O114" i="22"/>
  <c r="Q114" i="22"/>
  <c r="R114" i="22"/>
  <c r="S114" i="22"/>
  <c r="M115" i="22"/>
  <c r="N115" i="22"/>
  <c r="L115" i="22"/>
  <c r="O115" i="22"/>
  <c r="Q115" i="22"/>
  <c r="R115" i="22"/>
  <c r="S115" i="22"/>
  <c r="M116" i="22"/>
  <c r="N116" i="22"/>
  <c r="L116" i="22"/>
  <c r="O116" i="22"/>
  <c r="Q116" i="22"/>
  <c r="R116" i="22"/>
  <c r="S116" i="22"/>
  <c r="M117" i="22"/>
  <c r="N117" i="22"/>
  <c r="L117" i="22"/>
  <c r="O117" i="22"/>
  <c r="Q117" i="22"/>
  <c r="R117" i="22"/>
  <c r="S117" i="22"/>
  <c r="M118" i="22"/>
  <c r="N118" i="22"/>
  <c r="L118" i="22"/>
  <c r="O118" i="22"/>
  <c r="Q118" i="22"/>
  <c r="R118" i="22"/>
  <c r="S118" i="22"/>
  <c r="M119" i="22"/>
  <c r="N119" i="22"/>
  <c r="L119" i="22"/>
  <c r="O119" i="22"/>
  <c r="Q119" i="22"/>
  <c r="R119" i="22"/>
  <c r="S119" i="22"/>
  <c r="M120" i="22"/>
  <c r="N120" i="22"/>
  <c r="L120" i="22"/>
  <c r="O120" i="22"/>
  <c r="Q120" i="22"/>
  <c r="R120" i="22"/>
  <c r="S120" i="22"/>
  <c r="M121" i="22"/>
  <c r="N121" i="22"/>
  <c r="L121" i="22"/>
  <c r="O121" i="22"/>
  <c r="Q121" i="22"/>
  <c r="R121" i="22"/>
  <c r="S121" i="22"/>
  <c r="M122" i="22"/>
  <c r="N122" i="22"/>
  <c r="L122" i="22"/>
  <c r="O122" i="22"/>
  <c r="Q122" i="22"/>
  <c r="R122" i="22"/>
  <c r="S122" i="22"/>
  <c r="M123" i="22"/>
  <c r="N123" i="22"/>
  <c r="L123" i="22"/>
  <c r="O123" i="22"/>
  <c r="Q123" i="22"/>
  <c r="R123" i="22"/>
  <c r="S123" i="22"/>
  <c r="M124" i="22"/>
  <c r="N124" i="22"/>
  <c r="L124" i="22"/>
  <c r="O124" i="22"/>
  <c r="Q124" i="22"/>
  <c r="R124" i="22"/>
  <c r="S124" i="22"/>
  <c r="M125" i="22"/>
  <c r="N125" i="22"/>
  <c r="L125" i="22"/>
  <c r="O125" i="22"/>
  <c r="Q125" i="22"/>
  <c r="R125" i="22"/>
  <c r="S125" i="22"/>
  <c r="M126" i="22"/>
  <c r="N126" i="22"/>
  <c r="L126" i="22"/>
  <c r="O126" i="22"/>
  <c r="Q126" i="22"/>
  <c r="R126" i="22"/>
  <c r="S126" i="22"/>
  <c r="M127" i="22"/>
  <c r="N127" i="22"/>
  <c r="L127" i="22"/>
  <c r="O127" i="22"/>
  <c r="Q127" i="22"/>
  <c r="R127" i="22"/>
  <c r="S127" i="22"/>
  <c r="M128" i="22"/>
  <c r="N128" i="22"/>
  <c r="L128" i="22"/>
  <c r="O128" i="22"/>
  <c r="Q128" i="22"/>
  <c r="R128" i="22"/>
  <c r="S128" i="22"/>
  <c r="M129" i="22"/>
  <c r="N129" i="22"/>
  <c r="L129" i="22"/>
  <c r="O129" i="22"/>
  <c r="Q129" i="22"/>
  <c r="R129" i="22"/>
  <c r="S129" i="22"/>
  <c r="M130" i="22"/>
  <c r="N130" i="22"/>
  <c r="L130" i="22"/>
  <c r="O130" i="22"/>
  <c r="Q130" i="22"/>
  <c r="R130" i="22"/>
  <c r="S130" i="22"/>
  <c r="M131" i="22"/>
  <c r="N131" i="22"/>
  <c r="L131" i="22"/>
  <c r="O131" i="22"/>
  <c r="Q131" i="22"/>
  <c r="R131" i="22"/>
  <c r="S131" i="22"/>
  <c r="M132" i="22"/>
  <c r="N132" i="22"/>
  <c r="L132" i="22"/>
  <c r="O132" i="22"/>
  <c r="Q132" i="22"/>
  <c r="R132" i="22"/>
  <c r="S132" i="22"/>
  <c r="M133" i="22"/>
  <c r="N133" i="22"/>
  <c r="L133" i="22"/>
  <c r="O133" i="22"/>
  <c r="Q133" i="22"/>
  <c r="R133" i="22"/>
  <c r="S133" i="22"/>
  <c r="M134" i="22"/>
  <c r="N134" i="22"/>
  <c r="L134" i="22"/>
  <c r="O134" i="22"/>
  <c r="Q134" i="22"/>
  <c r="R134" i="22"/>
  <c r="S134" i="22"/>
  <c r="M135" i="22"/>
  <c r="N135" i="22"/>
  <c r="L135" i="22"/>
  <c r="O135" i="22"/>
  <c r="Q135" i="22"/>
  <c r="R135" i="22"/>
  <c r="S135" i="22"/>
  <c r="M136" i="22"/>
  <c r="N136" i="22"/>
  <c r="L136" i="22"/>
  <c r="O136" i="22"/>
  <c r="Q136" i="22"/>
  <c r="R136" i="22"/>
  <c r="S136" i="22"/>
  <c r="M137" i="22"/>
  <c r="N137" i="22"/>
  <c r="L137" i="22"/>
  <c r="O137" i="22"/>
  <c r="Q137" i="22"/>
  <c r="R137" i="22"/>
  <c r="S137" i="22"/>
  <c r="M138" i="22"/>
  <c r="N138" i="22"/>
  <c r="L138" i="22"/>
  <c r="O138" i="22"/>
  <c r="Q138" i="22"/>
  <c r="R138" i="22"/>
  <c r="S138" i="22"/>
  <c r="M139" i="22"/>
  <c r="N139" i="22"/>
  <c r="L139" i="22"/>
  <c r="O139" i="22"/>
  <c r="Q139" i="22"/>
  <c r="R139" i="22"/>
  <c r="S139" i="22"/>
  <c r="M140" i="22"/>
  <c r="N140" i="22"/>
  <c r="L140" i="22"/>
  <c r="O140" i="22"/>
  <c r="Q140" i="22"/>
  <c r="R140" i="22"/>
  <c r="S140" i="22"/>
  <c r="M141" i="22"/>
  <c r="N141" i="22"/>
  <c r="L141" i="22"/>
  <c r="O141" i="22"/>
  <c r="Q141" i="22"/>
  <c r="R141" i="22"/>
  <c r="S141" i="22"/>
  <c r="M142" i="22"/>
  <c r="N142" i="22"/>
  <c r="L142" i="22"/>
  <c r="O142" i="22"/>
  <c r="Q142" i="22"/>
  <c r="R142" i="22"/>
  <c r="S142" i="22"/>
  <c r="M143" i="22"/>
  <c r="N143" i="22"/>
  <c r="L143" i="22"/>
  <c r="O143" i="22"/>
  <c r="Q143" i="22"/>
  <c r="R143" i="22"/>
  <c r="S143" i="22"/>
  <c r="M144" i="22"/>
  <c r="N144" i="22"/>
  <c r="L144" i="22"/>
  <c r="O144" i="22"/>
  <c r="Q144" i="22"/>
  <c r="R144" i="22"/>
  <c r="S144" i="22"/>
  <c r="M145" i="22"/>
  <c r="N145" i="22"/>
  <c r="L145" i="22"/>
  <c r="O145" i="22"/>
  <c r="Q145" i="22"/>
  <c r="R145" i="22"/>
  <c r="S145" i="22"/>
  <c r="M146" i="22"/>
  <c r="N146" i="22"/>
  <c r="L146" i="22"/>
  <c r="O146" i="22"/>
  <c r="Q146" i="22"/>
  <c r="R146" i="22"/>
  <c r="S146" i="22"/>
  <c r="M147" i="22"/>
  <c r="N147" i="22"/>
  <c r="L147" i="22"/>
  <c r="O147" i="22"/>
  <c r="Q147" i="22"/>
  <c r="R147" i="22"/>
  <c r="S147" i="22"/>
  <c r="M148" i="22"/>
  <c r="N148" i="22"/>
  <c r="L148" i="22"/>
  <c r="O148" i="22"/>
  <c r="Q148" i="22"/>
  <c r="R148" i="22"/>
  <c r="S148" i="22"/>
  <c r="M149" i="22"/>
  <c r="N149" i="22"/>
  <c r="L149" i="22"/>
  <c r="O149" i="22"/>
  <c r="Q149" i="22"/>
  <c r="R149" i="22"/>
  <c r="S149" i="22"/>
  <c r="M150" i="22"/>
  <c r="N150" i="22"/>
  <c r="L150" i="22"/>
  <c r="O150" i="22"/>
  <c r="Q150" i="22"/>
  <c r="R150" i="22"/>
  <c r="S150" i="22"/>
  <c r="M151" i="22"/>
  <c r="N151" i="22"/>
  <c r="L151" i="22"/>
  <c r="O151" i="22"/>
  <c r="Q151" i="22"/>
  <c r="R151" i="22"/>
  <c r="S151" i="22"/>
  <c r="M152" i="22"/>
  <c r="N152" i="22"/>
  <c r="L152" i="22"/>
  <c r="O152" i="22"/>
  <c r="Q152" i="22"/>
  <c r="R152" i="22"/>
  <c r="S152" i="22"/>
  <c r="M153" i="22"/>
  <c r="N153" i="22"/>
  <c r="L153" i="22"/>
  <c r="O153" i="22"/>
  <c r="Q153" i="22"/>
  <c r="R153" i="22"/>
  <c r="S153" i="22"/>
  <c r="M154" i="22"/>
  <c r="N154" i="22"/>
  <c r="L154" i="22"/>
  <c r="O154" i="22"/>
  <c r="Q154" i="22"/>
  <c r="R154" i="22"/>
  <c r="S154" i="22"/>
  <c r="M155" i="22"/>
  <c r="N155" i="22"/>
  <c r="L155" i="22"/>
  <c r="O155" i="22"/>
  <c r="Q155" i="22"/>
  <c r="R155" i="22"/>
  <c r="S155" i="22"/>
  <c r="M156" i="22"/>
  <c r="N156" i="22"/>
  <c r="L156" i="22"/>
  <c r="O156" i="22"/>
  <c r="Q156" i="22"/>
  <c r="R156" i="22"/>
  <c r="S156" i="22"/>
  <c r="M157" i="22"/>
  <c r="N157" i="22"/>
  <c r="L157" i="22"/>
  <c r="O157" i="22"/>
  <c r="Q157" i="22"/>
  <c r="R157" i="22"/>
  <c r="S157" i="22"/>
  <c r="M158" i="22"/>
  <c r="N158" i="22"/>
  <c r="L158" i="22"/>
  <c r="O158" i="22"/>
  <c r="Q158" i="22"/>
  <c r="R158" i="22"/>
  <c r="S158" i="22"/>
  <c r="M159" i="22"/>
  <c r="N159" i="22"/>
  <c r="L159" i="22"/>
  <c r="O159" i="22"/>
  <c r="Q159" i="22"/>
  <c r="R159" i="22"/>
  <c r="S159" i="22"/>
  <c r="M160" i="22"/>
  <c r="N160" i="22"/>
  <c r="L160" i="22"/>
  <c r="O160" i="22"/>
  <c r="Q160" i="22"/>
  <c r="R160" i="22"/>
  <c r="S160" i="22"/>
  <c r="M161" i="22"/>
  <c r="N161" i="22"/>
  <c r="L161" i="22"/>
  <c r="O161" i="22"/>
  <c r="Q161" i="22"/>
  <c r="R161" i="22"/>
  <c r="S161" i="22"/>
  <c r="M162" i="22"/>
  <c r="N162" i="22"/>
  <c r="L162" i="22"/>
  <c r="O162" i="22"/>
  <c r="Q162" i="22"/>
  <c r="R162" i="22"/>
  <c r="S162" i="22"/>
  <c r="M163" i="22"/>
  <c r="N163" i="22"/>
  <c r="L163" i="22"/>
  <c r="O163" i="22"/>
  <c r="Q163" i="22"/>
  <c r="R163" i="22"/>
  <c r="S163" i="22"/>
  <c r="M164" i="22"/>
  <c r="N164" i="22"/>
  <c r="L164" i="22"/>
  <c r="O164" i="22"/>
  <c r="Q164" i="22"/>
  <c r="R164" i="22"/>
  <c r="S164" i="22"/>
  <c r="M165" i="22"/>
  <c r="N165" i="22"/>
  <c r="L165" i="22"/>
  <c r="O165" i="22"/>
  <c r="Q165" i="22"/>
  <c r="R165" i="22"/>
  <c r="S165" i="22"/>
  <c r="M166" i="22"/>
  <c r="N166" i="22"/>
  <c r="L166" i="22"/>
  <c r="O166" i="22"/>
  <c r="Q166" i="22"/>
  <c r="R166" i="22"/>
  <c r="S166" i="22"/>
  <c r="M167" i="22"/>
  <c r="N167" i="22"/>
  <c r="L167" i="22"/>
  <c r="O167" i="22"/>
  <c r="Q167" i="22"/>
  <c r="R167" i="22"/>
  <c r="S167" i="22"/>
  <c r="M168" i="22"/>
  <c r="N168" i="22"/>
  <c r="L168" i="22"/>
  <c r="O168" i="22"/>
  <c r="Q168" i="22"/>
  <c r="R168" i="22"/>
  <c r="S168" i="22"/>
  <c r="M169" i="22"/>
  <c r="N169" i="22"/>
  <c r="L169" i="22"/>
  <c r="O169" i="22"/>
  <c r="Q169" i="22"/>
  <c r="R169" i="22"/>
  <c r="S169" i="22"/>
  <c r="M170" i="22"/>
  <c r="N170" i="22"/>
  <c r="L170" i="22"/>
  <c r="O170" i="22"/>
  <c r="Q170" i="22"/>
  <c r="R170" i="22"/>
  <c r="S170" i="22"/>
  <c r="M171" i="22"/>
  <c r="N171" i="22"/>
  <c r="L171" i="22"/>
  <c r="O171" i="22"/>
  <c r="Q171" i="22"/>
  <c r="R171" i="22"/>
  <c r="S171" i="22"/>
  <c r="M172" i="22"/>
  <c r="N172" i="22"/>
  <c r="L172" i="22"/>
  <c r="O172" i="22"/>
  <c r="Q172" i="22"/>
  <c r="R172" i="22"/>
  <c r="S172" i="22"/>
  <c r="M173" i="22"/>
  <c r="N173" i="22"/>
  <c r="L173" i="22"/>
  <c r="O173" i="22"/>
  <c r="Q173" i="22"/>
  <c r="R173" i="22"/>
  <c r="S173" i="22"/>
  <c r="M174" i="22"/>
  <c r="N174" i="22"/>
  <c r="L174" i="22"/>
  <c r="O174" i="22"/>
  <c r="Q174" i="22"/>
  <c r="R174" i="22"/>
  <c r="S174" i="22"/>
  <c r="M175" i="22"/>
  <c r="N175" i="22"/>
  <c r="L175" i="22"/>
  <c r="O175" i="22"/>
  <c r="Q175" i="22"/>
  <c r="R175" i="22"/>
  <c r="S175" i="22"/>
  <c r="M176" i="22"/>
  <c r="N176" i="22"/>
  <c r="L176" i="22"/>
  <c r="O176" i="22"/>
  <c r="Q176" i="22"/>
  <c r="R176" i="22"/>
  <c r="S176" i="22"/>
  <c r="M177" i="22"/>
  <c r="N177" i="22"/>
  <c r="L177" i="22"/>
  <c r="O177" i="22"/>
  <c r="Q177" i="22"/>
  <c r="R177" i="22"/>
  <c r="S177" i="22"/>
  <c r="M178" i="22"/>
  <c r="N178" i="22"/>
  <c r="L178" i="22"/>
  <c r="O178" i="22"/>
  <c r="Q178" i="22"/>
  <c r="R178" i="22"/>
  <c r="S178" i="22"/>
  <c r="M179" i="22"/>
  <c r="N179" i="22"/>
  <c r="L179" i="22"/>
  <c r="O179" i="22"/>
  <c r="Q179" i="22"/>
  <c r="R179" i="22"/>
  <c r="S179" i="22"/>
  <c r="M180" i="22"/>
  <c r="N180" i="22"/>
  <c r="L180" i="22"/>
  <c r="O180" i="22"/>
  <c r="Q180" i="22"/>
  <c r="R180" i="22"/>
  <c r="S180" i="22"/>
  <c r="M181" i="22"/>
  <c r="N181" i="22"/>
  <c r="L181" i="22"/>
  <c r="O181" i="22"/>
  <c r="Q181" i="22"/>
  <c r="R181" i="22"/>
  <c r="S181" i="22"/>
  <c r="M182" i="22"/>
  <c r="N182" i="22"/>
  <c r="L182" i="22"/>
  <c r="O182" i="22"/>
  <c r="Q182" i="22"/>
  <c r="R182" i="22"/>
  <c r="S182" i="22"/>
  <c r="M183" i="22"/>
  <c r="N183" i="22"/>
  <c r="L183" i="22"/>
  <c r="O183" i="22"/>
  <c r="Q183" i="22"/>
  <c r="R183" i="22"/>
  <c r="S183" i="22"/>
  <c r="M184" i="22"/>
  <c r="N184" i="22"/>
  <c r="L184" i="22"/>
  <c r="O184" i="22"/>
  <c r="Q184" i="22"/>
  <c r="R184" i="22"/>
  <c r="S184" i="22"/>
  <c r="M185" i="22"/>
  <c r="N185" i="22"/>
  <c r="L185" i="22"/>
  <c r="O185" i="22"/>
  <c r="Q185" i="22"/>
  <c r="R185" i="22"/>
  <c r="S185" i="22"/>
  <c r="M186" i="22"/>
  <c r="N186" i="22"/>
  <c r="L186" i="22"/>
  <c r="O186" i="22"/>
  <c r="Q186" i="22"/>
  <c r="R186" i="22"/>
  <c r="S186" i="22"/>
  <c r="M187" i="22"/>
  <c r="N187" i="22"/>
  <c r="L187" i="22"/>
  <c r="O187" i="22"/>
  <c r="Q187" i="22"/>
  <c r="R187" i="22"/>
  <c r="S187" i="22"/>
  <c r="M188" i="22"/>
  <c r="N188" i="22"/>
  <c r="L188" i="22"/>
  <c r="O188" i="22"/>
  <c r="Q188" i="22"/>
  <c r="R188" i="22"/>
  <c r="S188" i="22"/>
  <c r="M189" i="22"/>
  <c r="N189" i="22"/>
  <c r="L189" i="22"/>
  <c r="O189" i="22"/>
  <c r="Q189" i="22"/>
  <c r="R189" i="22"/>
  <c r="S189" i="22"/>
  <c r="M190" i="22"/>
  <c r="N190" i="22"/>
  <c r="L190" i="22"/>
  <c r="O190" i="22"/>
  <c r="Q190" i="22"/>
  <c r="R190" i="22"/>
  <c r="S190" i="22"/>
  <c r="M191" i="22"/>
  <c r="N191" i="22"/>
  <c r="L191" i="22"/>
  <c r="O191" i="22"/>
  <c r="Q191" i="22"/>
  <c r="R191" i="22"/>
  <c r="S191" i="22"/>
  <c r="M192" i="22"/>
  <c r="N192" i="22"/>
  <c r="L192" i="22"/>
  <c r="O192" i="22"/>
  <c r="Q192" i="22"/>
  <c r="R192" i="22"/>
  <c r="S192" i="22"/>
  <c r="M193" i="22"/>
  <c r="N193" i="22"/>
  <c r="L193" i="22"/>
  <c r="O193" i="22"/>
  <c r="Q193" i="22"/>
  <c r="R193" i="22"/>
  <c r="S193" i="22"/>
  <c r="M194" i="22"/>
  <c r="N194" i="22"/>
  <c r="L194" i="22"/>
  <c r="O194" i="22"/>
  <c r="Q194" i="22"/>
  <c r="R194" i="22"/>
  <c r="S194" i="22"/>
  <c r="M195" i="22"/>
  <c r="N195" i="22"/>
  <c r="L195" i="22"/>
  <c r="O195" i="22"/>
  <c r="Q195" i="22"/>
  <c r="R195" i="22"/>
  <c r="S195" i="22"/>
  <c r="M196" i="22"/>
  <c r="N196" i="22"/>
  <c r="L196" i="22"/>
  <c r="O196" i="22"/>
  <c r="Q196" i="22"/>
  <c r="R196" i="22"/>
  <c r="S196" i="22"/>
  <c r="M197" i="22"/>
  <c r="N197" i="22"/>
  <c r="L197" i="22"/>
  <c r="O197" i="22"/>
  <c r="Q197" i="22"/>
  <c r="R197" i="22"/>
  <c r="S197" i="22"/>
  <c r="M198" i="22"/>
  <c r="N198" i="22"/>
  <c r="L198" i="22"/>
  <c r="O198" i="22"/>
  <c r="Q198" i="22"/>
  <c r="R198" i="22"/>
  <c r="S198" i="22"/>
  <c r="M199" i="22"/>
  <c r="N199" i="22"/>
  <c r="L199" i="22"/>
  <c r="O199" i="22"/>
  <c r="Q199" i="22"/>
  <c r="R199" i="22"/>
  <c r="S199" i="22"/>
  <c r="M200" i="22"/>
  <c r="N200" i="22"/>
  <c r="L200" i="22"/>
  <c r="O200" i="22"/>
  <c r="Q200" i="22"/>
  <c r="R200" i="22"/>
  <c r="S200" i="22"/>
  <c r="M201" i="22"/>
  <c r="N201" i="22"/>
  <c r="L201" i="22"/>
  <c r="O201" i="22"/>
  <c r="Q201" i="22"/>
  <c r="R201" i="22"/>
  <c r="S201" i="22"/>
  <c r="M202" i="22"/>
  <c r="N202" i="22"/>
  <c r="L202" i="22"/>
  <c r="O202" i="22"/>
  <c r="Q202" i="22"/>
  <c r="R202" i="22"/>
  <c r="S202" i="22"/>
  <c r="M203" i="22"/>
  <c r="N203" i="22"/>
  <c r="L203" i="22"/>
  <c r="O203" i="22"/>
  <c r="Q203" i="22"/>
  <c r="R203" i="22"/>
  <c r="S203" i="22"/>
  <c r="M204" i="22"/>
  <c r="N204" i="22"/>
  <c r="L204" i="22"/>
  <c r="O204" i="22"/>
  <c r="Q204" i="22"/>
  <c r="R204" i="22"/>
  <c r="S204" i="22"/>
  <c r="M205" i="22"/>
  <c r="N205" i="22"/>
  <c r="L205" i="22"/>
  <c r="O205" i="22"/>
  <c r="Q205" i="22"/>
  <c r="R205" i="22"/>
  <c r="S205" i="22"/>
  <c r="M206" i="22"/>
  <c r="N206" i="22"/>
  <c r="L206" i="22"/>
  <c r="O206" i="22"/>
  <c r="Q206" i="22"/>
  <c r="R206" i="22"/>
  <c r="S206" i="22"/>
  <c r="M207" i="22"/>
  <c r="N207" i="22"/>
  <c r="L207" i="22"/>
  <c r="O207" i="22"/>
  <c r="Q207" i="22"/>
  <c r="R207" i="22"/>
  <c r="S207" i="22"/>
  <c r="M208" i="22"/>
  <c r="N208" i="22"/>
  <c r="L208" i="22"/>
  <c r="O208" i="22"/>
  <c r="Q208" i="22"/>
  <c r="R208" i="22"/>
  <c r="S208" i="22"/>
  <c r="M209" i="22"/>
  <c r="N209" i="22"/>
  <c r="L209" i="22"/>
  <c r="O209" i="22"/>
  <c r="Q209" i="22"/>
  <c r="R209" i="22"/>
  <c r="S209" i="22"/>
  <c r="M210" i="22"/>
  <c r="N210" i="22"/>
  <c r="L210" i="22"/>
  <c r="O210" i="22"/>
  <c r="Q210" i="22"/>
  <c r="R210" i="22"/>
  <c r="S210" i="22"/>
  <c r="M211" i="22"/>
  <c r="N211" i="22"/>
  <c r="L211" i="22"/>
  <c r="O211" i="22"/>
  <c r="Q211" i="22"/>
  <c r="R211" i="22"/>
  <c r="S211" i="22"/>
  <c r="M212" i="22"/>
  <c r="N212" i="22"/>
  <c r="L212" i="22"/>
  <c r="O212" i="22"/>
  <c r="Q212" i="22"/>
  <c r="R212" i="22"/>
  <c r="S212" i="22"/>
  <c r="M213" i="22"/>
  <c r="N213" i="22"/>
  <c r="L213" i="22"/>
  <c r="O213" i="22"/>
  <c r="Q213" i="22"/>
  <c r="R213" i="22"/>
  <c r="S213" i="22"/>
  <c r="M214" i="22"/>
  <c r="N214" i="22"/>
  <c r="L214" i="22"/>
  <c r="O214" i="22"/>
  <c r="Q214" i="22"/>
  <c r="R214" i="22"/>
  <c r="S214" i="22"/>
  <c r="M215" i="22"/>
  <c r="N215" i="22"/>
  <c r="L215" i="22"/>
  <c r="O215" i="22"/>
  <c r="Q215" i="22"/>
  <c r="R215" i="22"/>
  <c r="S215" i="22"/>
  <c r="M216" i="22"/>
  <c r="N216" i="22"/>
  <c r="L216" i="22"/>
  <c r="O216" i="22"/>
  <c r="Q216" i="22"/>
  <c r="R216" i="22"/>
  <c r="S216" i="22"/>
  <c r="M217" i="22"/>
  <c r="N217" i="22"/>
  <c r="L217" i="22"/>
  <c r="O217" i="22"/>
  <c r="Q217" i="22"/>
  <c r="R217" i="22"/>
  <c r="S217" i="22"/>
  <c r="M218" i="22"/>
  <c r="N218" i="22"/>
  <c r="L218" i="22"/>
  <c r="O218" i="22"/>
  <c r="Q218" i="22"/>
  <c r="R218" i="22"/>
  <c r="S218" i="22"/>
  <c r="M219" i="22"/>
  <c r="N219" i="22"/>
  <c r="L219" i="22"/>
  <c r="O219" i="22"/>
  <c r="Q219" i="22"/>
  <c r="R219" i="22"/>
  <c r="S219" i="22"/>
  <c r="M220" i="22"/>
  <c r="N220" i="22"/>
  <c r="L220" i="22"/>
  <c r="O220" i="22"/>
  <c r="Q220" i="22"/>
  <c r="R220" i="22"/>
  <c r="S220" i="22"/>
  <c r="M221" i="22"/>
  <c r="N221" i="22"/>
  <c r="L221" i="22"/>
  <c r="O221" i="22"/>
  <c r="Q221" i="22"/>
  <c r="R221" i="22"/>
  <c r="S221" i="22"/>
  <c r="M222" i="22"/>
  <c r="N222" i="22"/>
  <c r="L222" i="22"/>
  <c r="O222" i="22"/>
  <c r="Q222" i="22"/>
  <c r="R222" i="22"/>
  <c r="S222" i="22"/>
  <c r="M223" i="22"/>
  <c r="N223" i="22"/>
  <c r="L223" i="22"/>
  <c r="O223" i="22"/>
  <c r="Q223" i="22"/>
  <c r="R223" i="22"/>
  <c r="S223" i="22"/>
  <c r="M224" i="22"/>
  <c r="N224" i="22"/>
  <c r="L224" i="22"/>
  <c r="O224" i="22"/>
  <c r="Q224" i="22"/>
  <c r="R224" i="22"/>
  <c r="S224" i="22"/>
  <c r="M225" i="22"/>
  <c r="N225" i="22"/>
  <c r="L225" i="22"/>
  <c r="O225" i="22"/>
  <c r="Q225" i="22"/>
  <c r="R225" i="22"/>
  <c r="S225" i="22"/>
  <c r="M226" i="22"/>
  <c r="N226" i="22"/>
  <c r="L226" i="22"/>
  <c r="O226" i="22"/>
  <c r="Q226" i="22"/>
  <c r="R226" i="22"/>
  <c r="S226" i="22"/>
  <c r="M227" i="22"/>
  <c r="N227" i="22"/>
  <c r="L227" i="22"/>
  <c r="O227" i="22"/>
  <c r="Q227" i="22"/>
  <c r="R227" i="22"/>
  <c r="S227" i="22"/>
  <c r="M228" i="22"/>
  <c r="N228" i="22"/>
  <c r="L228" i="22"/>
  <c r="O228" i="22"/>
  <c r="Q228" i="22"/>
  <c r="R228" i="22"/>
  <c r="S228" i="22"/>
  <c r="M229" i="22"/>
  <c r="N229" i="22"/>
  <c r="L229" i="22"/>
  <c r="O229" i="22"/>
  <c r="Q229" i="22"/>
  <c r="R229" i="22"/>
  <c r="S229" i="22"/>
  <c r="M230" i="22"/>
  <c r="N230" i="22"/>
  <c r="L230" i="22"/>
  <c r="O230" i="22"/>
  <c r="Q230" i="22"/>
  <c r="R230" i="22"/>
  <c r="S230" i="22"/>
  <c r="M231" i="22"/>
  <c r="N231" i="22"/>
  <c r="L231" i="22"/>
  <c r="O231" i="22"/>
  <c r="Q231" i="22"/>
  <c r="R231" i="22"/>
  <c r="S231" i="22"/>
  <c r="M232" i="22"/>
  <c r="N232" i="22"/>
  <c r="L232" i="22"/>
  <c r="O232" i="22"/>
  <c r="Q232" i="22"/>
  <c r="R232" i="22"/>
  <c r="S232" i="22"/>
  <c r="M233" i="22"/>
  <c r="N233" i="22"/>
  <c r="L233" i="22"/>
  <c r="O233" i="22"/>
  <c r="Q233" i="22"/>
  <c r="R233" i="22"/>
  <c r="S233" i="22"/>
  <c r="M234" i="22"/>
  <c r="N234" i="22"/>
  <c r="L234" i="22"/>
  <c r="O234" i="22"/>
  <c r="Q234" i="22"/>
  <c r="R234" i="22"/>
  <c r="S234" i="22"/>
  <c r="M235" i="22"/>
  <c r="N235" i="22"/>
  <c r="L235" i="22"/>
  <c r="O235" i="22"/>
  <c r="Q235" i="22"/>
  <c r="R235" i="22"/>
  <c r="S235" i="22"/>
  <c r="M236" i="22"/>
  <c r="N236" i="22"/>
  <c r="L236" i="22"/>
  <c r="O236" i="22"/>
  <c r="Q236" i="22"/>
  <c r="R236" i="22"/>
  <c r="S236" i="22"/>
  <c r="M237" i="22"/>
  <c r="N237" i="22"/>
  <c r="L237" i="22"/>
  <c r="O237" i="22"/>
  <c r="Q237" i="22"/>
  <c r="R237" i="22"/>
  <c r="S237" i="22"/>
  <c r="M238" i="22"/>
  <c r="N238" i="22"/>
  <c r="L238" i="22"/>
  <c r="O238" i="22"/>
  <c r="Q238" i="22"/>
  <c r="R238" i="22"/>
  <c r="S238" i="22"/>
  <c r="M239" i="22"/>
  <c r="N239" i="22"/>
  <c r="L239" i="22"/>
  <c r="O239" i="22"/>
  <c r="Q239" i="22"/>
  <c r="R239" i="22"/>
  <c r="S239" i="22"/>
  <c r="M240" i="22"/>
  <c r="N240" i="22"/>
  <c r="L240" i="22"/>
  <c r="O240" i="22"/>
  <c r="Q240" i="22"/>
  <c r="R240" i="22"/>
  <c r="S240" i="22"/>
  <c r="M241" i="22"/>
  <c r="N241" i="22"/>
  <c r="L241" i="22"/>
  <c r="O241" i="22"/>
  <c r="Q241" i="22"/>
  <c r="R241" i="22"/>
  <c r="S241" i="22"/>
  <c r="M242" i="22"/>
  <c r="N242" i="22"/>
  <c r="L242" i="22"/>
  <c r="O242" i="22"/>
  <c r="Q242" i="22"/>
  <c r="R242" i="22"/>
  <c r="S242" i="22"/>
  <c r="M243" i="22"/>
  <c r="N243" i="22"/>
  <c r="L243" i="22"/>
  <c r="O243" i="22"/>
  <c r="Q243" i="22"/>
  <c r="R243" i="22"/>
  <c r="S243" i="22"/>
  <c r="M244" i="22"/>
  <c r="N244" i="22"/>
  <c r="L244" i="22"/>
  <c r="O244" i="22"/>
  <c r="Q244" i="22"/>
  <c r="R244" i="22"/>
  <c r="S244" i="22"/>
  <c r="M245" i="22"/>
  <c r="N245" i="22"/>
  <c r="L245" i="22"/>
  <c r="O245" i="22"/>
  <c r="Q245" i="22"/>
  <c r="R245" i="22"/>
  <c r="S245" i="22"/>
  <c r="M246" i="22"/>
  <c r="N246" i="22"/>
  <c r="L246" i="22"/>
  <c r="O246" i="22"/>
  <c r="Q246" i="22"/>
  <c r="R246" i="22"/>
  <c r="S246" i="22"/>
  <c r="M247" i="22"/>
  <c r="N247" i="22"/>
  <c r="L247" i="22"/>
  <c r="O247" i="22"/>
  <c r="Q247" i="22"/>
  <c r="R247" i="22"/>
  <c r="S247" i="22"/>
  <c r="M248" i="22"/>
  <c r="N248" i="22"/>
  <c r="L248" i="22"/>
  <c r="O248" i="22"/>
  <c r="Q248" i="22"/>
  <c r="R248" i="22"/>
  <c r="S248" i="22"/>
  <c r="M249" i="22"/>
  <c r="N249" i="22"/>
  <c r="L249" i="22"/>
  <c r="O249" i="22"/>
  <c r="Q249" i="22"/>
  <c r="R249" i="22"/>
  <c r="S249" i="22"/>
  <c r="M250" i="22"/>
  <c r="N250" i="22"/>
  <c r="L250" i="22"/>
  <c r="O250" i="22"/>
  <c r="Q250" i="22"/>
  <c r="R250" i="22"/>
  <c r="S250" i="22"/>
  <c r="M251" i="22"/>
  <c r="N251" i="22"/>
  <c r="L251" i="22"/>
  <c r="O251" i="22"/>
  <c r="Q251" i="22"/>
  <c r="R251" i="22"/>
  <c r="S251" i="22"/>
  <c r="M252" i="22"/>
  <c r="N252" i="22"/>
  <c r="L252" i="22"/>
  <c r="O252" i="22"/>
  <c r="Q252" i="22"/>
  <c r="R252" i="22"/>
  <c r="S252" i="22"/>
  <c r="M253" i="22"/>
  <c r="N253" i="22"/>
  <c r="L253" i="22"/>
  <c r="O253" i="22"/>
  <c r="Q253" i="22"/>
  <c r="R253" i="22"/>
  <c r="S253" i="22"/>
  <c r="M254" i="22"/>
  <c r="N254" i="22"/>
  <c r="L254" i="22"/>
  <c r="O254" i="22"/>
  <c r="Q254" i="22"/>
  <c r="R254" i="22"/>
  <c r="S254" i="22"/>
  <c r="M255" i="22"/>
  <c r="N255" i="22"/>
  <c r="L255" i="22"/>
  <c r="O255" i="22"/>
  <c r="Q255" i="22"/>
  <c r="R255" i="22"/>
  <c r="S255" i="22"/>
  <c r="M256" i="22"/>
  <c r="N256" i="22"/>
  <c r="L256" i="22"/>
  <c r="O256" i="22"/>
  <c r="Q256" i="22"/>
  <c r="R256" i="22"/>
  <c r="S256" i="22"/>
  <c r="M257" i="22"/>
  <c r="N257" i="22"/>
  <c r="L257" i="22"/>
  <c r="O257" i="22"/>
  <c r="Q257" i="22"/>
  <c r="R257" i="22"/>
  <c r="S257" i="22"/>
  <c r="M258" i="22"/>
  <c r="N258" i="22"/>
  <c r="L258" i="22"/>
  <c r="O258" i="22"/>
  <c r="Q258" i="22"/>
  <c r="R258" i="22"/>
  <c r="S258" i="22"/>
  <c r="M259" i="22"/>
  <c r="N259" i="22"/>
  <c r="L259" i="22"/>
  <c r="O259" i="22"/>
  <c r="Q259" i="22"/>
  <c r="R259" i="22"/>
  <c r="S259" i="22"/>
  <c r="M260" i="22"/>
  <c r="N260" i="22"/>
  <c r="L260" i="22"/>
  <c r="O260" i="22"/>
  <c r="Q260" i="22"/>
  <c r="R260" i="22"/>
  <c r="S260" i="22"/>
  <c r="M261" i="22"/>
  <c r="N261" i="22"/>
  <c r="L261" i="22"/>
  <c r="O261" i="22"/>
  <c r="Q261" i="22"/>
  <c r="R261" i="22"/>
  <c r="S261" i="22"/>
  <c r="M262" i="22"/>
  <c r="N262" i="22"/>
  <c r="L262" i="22"/>
  <c r="O262" i="22"/>
  <c r="Q262" i="22"/>
  <c r="R262" i="22"/>
  <c r="S262" i="22"/>
  <c r="M263" i="22"/>
  <c r="N263" i="22"/>
  <c r="L263" i="22"/>
  <c r="O263" i="22"/>
  <c r="Q263" i="22"/>
  <c r="R263" i="22"/>
  <c r="S263" i="22"/>
  <c r="M264" i="22"/>
  <c r="N264" i="22"/>
  <c r="L264" i="22"/>
  <c r="O264" i="22"/>
  <c r="Q264" i="22"/>
  <c r="R264" i="22"/>
  <c r="S264" i="22"/>
  <c r="M265" i="22"/>
  <c r="N265" i="22"/>
  <c r="L265" i="22"/>
  <c r="O265" i="22"/>
  <c r="Q265" i="22"/>
  <c r="R265" i="22"/>
  <c r="S265" i="22"/>
  <c r="M266" i="22"/>
  <c r="N266" i="22"/>
  <c r="L266" i="22"/>
  <c r="O266" i="22"/>
  <c r="Q266" i="22"/>
  <c r="R266" i="22"/>
  <c r="S266" i="22"/>
  <c r="M267" i="22"/>
  <c r="N267" i="22"/>
  <c r="L267" i="22"/>
  <c r="O267" i="22"/>
  <c r="Q267" i="22"/>
  <c r="R267" i="22"/>
  <c r="S267" i="22"/>
  <c r="M268" i="22"/>
  <c r="N268" i="22"/>
  <c r="L268" i="22"/>
  <c r="O268" i="22"/>
  <c r="Q268" i="22"/>
  <c r="R268" i="22"/>
  <c r="S268" i="22"/>
  <c r="M269" i="22"/>
  <c r="N269" i="22"/>
  <c r="L269" i="22"/>
  <c r="O269" i="22"/>
  <c r="Q269" i="22"/>
  <c r="R269" i="22"/>
  <c r="S269" i="22"/>
  <c r="M270" i="22"/>
  <c r="N270" i="22"/>
  <c r="L270" i="22"/>
  <c r="O270" i="22"/>
  <c r="Q270" i="22"/>
  <c r="R270" i="22"/>
  <c r="S270" i="22"/>
  <c r="M271" i="22"/>
  <c r="N271" i="22"/>
  <c r="L271" i="22"/>
  <c r="O271" i="22"/>
  <c r="Q271" i="22"/>
  <c r="R271" i="22"/>
  <c r="S271" i="22"/>
  <c r="M272" i="22"/>
  <c r="N272" i="22"/>
  <c r="L272" i="22"/>
  <c r="O272" i="22"/>
  <c r="Q272" i="22"/>
  <c r="R272" i="22"/>
  <c r="S272" i="22"/>
  <c r="M273" i="22"/>
  <c r="N273" i="22"/>
  <c r="L273" i="22"/>
  <c r="O273" i="22"/>
  <c r="Q273" i="22"/>
  <c r="R273" i="22"/>
  <c r="S273" i="22"/>
  <c r="M274" i="22"/>
  <c r="N274" i="22"/>
  <c r="L274" i="22"/>
  <c r="O274" i="22"/>
  <c r="Q274" i="22"/>
  <c r="R274" i="22"/>
  <c r="S274" i="22"/>
  <c r="M275" i="22"/>
  <c r="N275" i="22"/>
  <c r="L275" i="22"/>
  <c r="O275" i="22"/>
  <c r="Q275" i="22"/>
  <c r="R275" i="22"/>
  <c r="S275" i="22"/>
  <c r="M276" i="22"/>
  <c r="N276" i="22"/>
  <c r="L276" i="22"/>
  <c r="O276" i="22"/>
  <c r="Q276" i="22"/>
  <c r="R276" i="22"/>
  <c r="S276" i="22"/>
  <c r="M277" i="22"/>
  <c r="N277" i="22"/>
  <c r="L277" i="22"/>
  <c r="O277" i="22"/>
  <c r="Q277" i="22"/>
  <c r="R277" i="22"/>
  <c r="S277" i="22"/>
  <c r="M278" i="22"/>
  <c r="N278" i="22"/>
  <c r="L278" i="22"/>
  <c r="O278" i="22"/>
  <c r="Q278" i="22"/>
  <c r="R278" i="22"/>
  <c r="S278" i="22"/>
  <c r="M279" i="22"/>
  <c r="N279" i="22"/>
  <c r="L279" i="22"/>
  <c r="O279" i="22"/>
  <c r="Q279" i="22"/>
  <c r="R279" i="22"/>
  <c r="S279" i="22"/>
  <c r="M280" i="22"/>
  <c r="N280" i="22"/>
  <c r="L280" i="22"/>
  <c r="O280" i="22"/>
  <c r="Q280" i="22"/>
  <c r="R280" i="22"/>
  <c r="S280" i="22"/>
  <c r="M281" i="22"/>
  <c r="N281" i="22"/>
  <c r="L281" i="22"/>
  <c r="O281" i="22"/>
  <c r="Q281" i="22"/>
  <c r="R281" i="22"/>
  <c r="S281" i="22"/>
  <c r="M282" i="22"/>
  <c r="N282" i="22"/>
  <c r="L282" i="22"/>
  <c r="O282" i="22"/>
  <c r="Q282" i="22"/>
  <c r="R282" i="22"/>
  <c r="S282" i="22"/>
  <c r="M283" i="22"/>
  <c r="N283" i="22"/>
  <c r="L283" i="22"/>
  <c r="O283" i="22"/>
  <c r="Q283" i="22"/>
  <c r="R283" i="22"/>
  <c r="S283" i="22"/>
  <c r="M284" i="22"/>
  <c r="N284" i="22"/>
  <c r="L284" i="22"/>
  <c r="O284" i="22"/>
  <c r="Q284" i="22"/>
  <c r="R284" i="22"/>
  <c r="S284" i="22"/>
  <c r="M285" i="22"/>
  <c r="N285" i="22"/>
  <c r="L285" i="22"/>
  <c r="O285" i="22"/>
  <c r="Q285" i="22"/>
  <c r="R285" i="22"/>
  <c r="S285" i="22"/>
  <c r="M286" i="22"/>
  <c r="N286" i="22"/>
  <c r="L286" i="22"/>
  <c r="O286" i="22"/>
  <c r="Q286" i="22"/>
  <c r="R286" i="22"/>
  <c r="S286" i="22"/>
  <c r="M287" i="22"/>
  <c r="N287" i="22"/>
  <c r="L287" i="22"/>
  <c r="O287" i="22"/>
  <c r="Q287" i="22"/>
  <c r="R287" i="22"/>
  <c r="S287" i="22"/>
  <c r="S2" i="22"/>
  <c r="R2" i="22"/>
  <c r="Q2" i="22"/>
  <c r="O2" i="22"/>
  <c r="L2" i="22"/>
  <c r="N2" i="22"/>
  <c r="M2" i="22"/>
  <c r="G5" i="12" l="1"/>
  <c r="G5" i="13"/>
  <c r="G5" i="14"/>
  <c r="G5" i="15"/>
  <c r="G5" i="16"/>
  <c r="G5" i="18"/>
  <c r="G5" i="19" l="1"/>
  <c r="G5" i="17"/>
  <c r="G5" i="20"/>
  <c r="G5" i="21"/>
  <c r="F4" i="21"/>
  <c r="F3" i="21"/>
  <c r="F2" i="21"/>
  <c r="G1" i="21"/>
  <c r="F4" i="20"/>
  <c r="F3" i="20"/>
  <c r="F2" i="20"/>
  <c r="G1" i="20"/>
  <c r="F4" i="17"/>
  <c r="F3" i="17"/>
  <c r="F2" i="17"/>
  <c r="G1" i="17"/>
  <c r="F4" i="19"/>
  <c r="F3" i="19"/>
  <c r="F2" i="19"/>
  <c r="G1" i="19"/>
  <c r="F4" i="18"/>
  <c r="F3" i="18"/>
  <c r="F2" i="18"/>
  <c r="G1" i="18"/>
  <c r="F4" i="16"/>
  <c r="F3" i="16"/>
  <c r="F2" i="16"/>
  <c r="G1" i="16"/>
  <c r="F4" i="15"/>
  <c r="F3" i="15"/>
  <c r="F2" i="15"/>
  <c r="G1" i="15"/>
  <c r="F4" i="14"/>
  <c r="F3" i="14"/>
  <c r="F2" i="14"/>
  <c r="G1" i="14"/>
  <c r="F4" i="13"/>
  <c r="F3" i="13"/>
  <c r="F2" i="13"/>
  <c r="G1" i="13"/>
  <c r="F4" i="12"/>
  <c r="F3" i="12"/>
  <c r="F2" i="12"/>
  <c r="G1" i="12"/>
  <c r="G5" i="11" l="1"/>
  <c r="F4" i="11"/>
  <c r="F3" i="11"/>
  <c r="F2" i="11"/>
  <c r="G1" i="11"/>
  <c r="G5" i="10" l="1"/>
  <c r="F4" i="10"/>
  <c r="F3" i="10"/>
  <c r="F2" i="10"/>
  <c r="G1" i="10"/>
  <c r="G5" i="9" l="1"/>
  <c r="F4" i="9"/>
  <c r="F3" i="9"/>
  <c r="F2" i="9"/>
  <c r="G1" i="9"/>
  <c r="G5" i="8" l="1"/>
  <c r="F4" i="8"/>
  <c r="F3" i="8"/>
  <c r="F2" i="8"/>
  <c r="G1" i="8"/>
  <c r="B108" i="4" l="1"/>
  <c r="K74" i="7"/>
  <c r="H76" i="7"/>
  <c r="H75" i="7"/>
  <c r="H74" i="7"/>
  <c r="H73" i="7"/>
  <c r="B101" i="4" l="1"/>
  <c r="C101" i="4"/>
  <c r="D101" i="4"/>
  <c r="B99" i="4"/>
  <c r="C99" i="4"/>
  <c r="D99" i="4"/>
  <c r="B92" i="4"/>
  <c r="C92" i="4"/>
  <c r="D92" i="4"/>
  <c r="B113" i="4"/>
  <c r="C113" i="4"/>
  <c r="D113" i="4"/>
  <c r="C108" i="4"/>
  <c r="D108" i="4"/>
  <c r="B95" i="4"/>
  <c r="C95" i="4"/>
  <c r="D95" i="4"/>
  <c r="B88" i="4"/>
  <c r="C88" i="4"/>
  <c r="D88" i="4"/>
  <c r="B83" i="4"/>
  <c r="C83" i="4"/>
  <c r="D83" i="4"/>
  <c r="B78" i="4"/>
  <c r="C78" i="4"/>
  <c r="D78" i="4"/>
  <c r="B72" i="4"/>
  <c r="C72" i="4"/>
  <c r="D72" i="4"/>
  <c r="B68" i="4"/>
  <c r="C68" i="4"/>
  <c r="D68" i="4"/>
  <c r="B60" i="4"/>
  <c r="C60" i="4"/>
  <c r="D60" i="4"/>
  <c r="B49" i="4"/>
  <c r="C49" i="4"/>
  <c r="D49" i="4"/>
  <c r="B36" i="4"/>
  <c r="C36" i="4"/>
  <c r="D36" i="4"/>
  <c r="H7" i="7" l="1"/>
  <c r="H6" i="7"/>
  <c r="H87" i="7"/>
  <c r="H86" i="7"/>
  <c r="H85" i="7"/>
  <c r="H84" i="7"/>
  <c r="H83" i="7"/>
  <c r="H81" i="7"/>
  <c r="H80" i="7"/>
  <c r="H79" i="7"/>
  <c r="H78" i="7"/>
  <c r="H72" i="7"/>
  <c r="H71" i="7"/>
  <c r="H69" i="7"/>
  <c r="H67" i="7"/>
  <c r="H66" i="7"/>
  <c r="H65" i="7"/>
  <c r="H63" i="7"/>
  <c r="H62" i="7"/>
  <c r="H60" i="7"/>
  <c r="H59" i="7"/>
  <c r="H58" i="7"/>
  <c r="H56" i="7"/>
  <c r="H55" i="7"/>
  <c r="H54" i="7"/>
  <c r="H53" i="7"/>
  <c r="H51" i="7"/>
  <c r="H50" i="7"/>
  <c r="H49" i="7"/>
  <c r="H48" i="7"/>
  <c r="H46" i="7"/>
  <c r="H45" i="7"/>
  <c r="H44" i="7"/>
  <c r="H43" i="7"/>
  <c r="H42" i="7"/>
  <c r="H40" i="7"/>
  <c r="H39" i="7"/>
  <c r="H38" i="7"/>
  <c r="H36" i="7"/>
  <c r="H35" i="7"/>
  <c r="H34" i="7"/>
  <c r="H33" i="7"/>
  <c r="H32" i="7"/>
  <c r="H31" i="7"/>
  <c r="H30" i="7"/>
  <c r="H28" i="7" l="1"/>
  <c r="H27" i="7"/>
  <c r="H26" i="7"/>
  <c r="H25" i="7"/>
  <c r="H24" i="7"/>
  <c r="H23" i="7"/>
  <c r="H22" i="7"/>
  <c r="H21" i="7"/>
  <c r="H20" i="7"/>
  <c r="H19" i="7"/>
  <c r="G1" i="7"/>
  <c r="C1" i="7"/>
  <c r="H17" i="7"/>
  <c r="H16" i="7"/>
  <c r="H15" i="7"/>
  <c r="H14" i="7"/>
  <c r="H13" i="7"/>
  <c r="H12" i="7"/>
  <c r="H11" i="7"/>
  <c r="H10" i="7"/>
  <c r="H9" i="7"/>
  <c r="H8" i="7"/>
  <c r="H5" i="7" l="1"/>
  <c r="H18" i="7"/>
  <c r="H29" i="7"/>
  <c r="H37" i="7"/>
  <c r="H41" i="7"/>
  <c r="H47" i="7"/>
  <c r="H52" i="7"/>
  <c r="H57" i="7"/>
  <c r="H61" i="7"/>
  <c r="H64" i="7"/>
  <c r="H68" i="7"/>
  <c r="H70" i="7"/>
  <c r="H77" i="7"/>
  <c r="H82" i="7"/>
  <c r="E3" i="7"/>
  <c r="F3" i="7"/>
  <c r="G3" i="7"/>
  <c r="H4" i="7" l="1"/>
  <c r="G184" i="22"/>
  <c r="G32" i="22"/>
  <c r="G119" i="22"/>
  <c r="G169" i="22"/>
  <c r="G206" i="22"/>
  <c r="G140" i="22"/>
  <c r="G92" i="22"/>
  <c r="G70" i="22"/>
  <c r="G3" i="16"/>
  <c r="G175" i="22"/>
  <c r="G3" i="19"/>
  <c r="G10" i="22"/>
  <c r="G28" i="22"/>
  <c r="G24" i="22"/>
  <c r="G215" i="22"/>
  <c r="G149" i="22"/>
  <c r="G152" i="22"/>
  <c r="G243" i="22"/>
  <c r="G181" i="22"/>
  <c r="G3" i="8"/>
  <c r="G72" i="22"/>
  <c r="G99" i="22"/>
  <c r="G13" i="22"/>
  <c r="G4" i="21"/>
  <c r="G284" i="22"/>
  <c r="G135" i="22"/>
  <c r="G49" i="22"/>
  <c r="G226" i="22"/>
  <c r="G228" i="22"/>
  <c r="G279" i="22"/>
  <c r="G4" i="12"/>
  <c r="G107" i="22"/>
  <c r="G67" i="22"/>
  <c r="G54" i="22"/>
  <c r="G133" i="22"/>
  <c r="G271" i="22"/>
  <c r="G287" i="22"/>
  <c r="G202" i="22"/>
  <c r="G113" i="22"/>
  <c r="G21" i="22"/>
  <c r="G257" i="22"/>
  <c r="G19" i="22"/>
  <c r="G129" i="22"/>
  <c r="G76" i="22"/>
  <c r="G31" i="22"/>
  <c r="G108" i="22"/>
  <c r="G4" i="19"/>
  <c r="G277" i="22"/>
  <c r="G75" i="22"/>
  <c r="G245" i="22"/>
  <c r="G4" i="11"/>
  <c r="G82" i="22"/>
  <c r="G267" i="22"/>
  <c r="G112" i="22"/>
  <c r="G46" i="22"/>
  <c r="G3" i="9"/>
  <c r="G40" i="22"/>
  <c r="G3" i="10"/>
  <c r="G2" i="11"/>
  <c r="G3" i="17"/>
  <c r="G274" i="22"/>
  <c r="G2" i="12"/>
  <c r="G2" i="20"/>
  <c r="G22" i="22"/>
  <c r="G53" i="22"/>
  <c r="G220" i="22"/>
  <c r="G101" i="22"/>
  <c r="G253" i="22"/>
  <c r="G239" i="22"/>
  <c r="G194" i="22"/>
  <c r="G163" i="22"/>
  <c r="G104" i="22"/>
  <c r="G156" i="22"/>
  <c r="G281" i="22"/>
  <c r="G4" i="15"/>
  <c r="G4" i="13"/>
  <c r="G100" i="22"/>
  <c r="G41" i="22"/>
  <c r="G146" i="22"/>
  <c r="G145" i="22"/>
  <c r="G170" i="22"/>
  <c r="G4" i="20"/>
  <c r="E85" i="7"/>
  <c r="G45" i="7"/>
  <c r="E19" i="7"/>
  <c r="F58" i="7"/>
  <c r="F87" i="7"/>
  <c r="E59" i="7"/>
  <c r="G24" i="7"/>
  <c r="E42" i="7"/>
  <c r="E27" i="7"/>
  <c r="F44" i="7"/>
  <c r="G65" i="7"/>
  <c r="F54" i="7"/>
  <c r="E44" i="7"/>
  <c r="F81" i="7"/>
  <c r="G22" i="7"/>
  <c r="F72" i="7"/>
  <c r="F7" i="7"/>
  <c r="F50" i="7"/>
  <c r="G48" i="7"/>
  <c r="G27" i="7"/>
  <c r="F34" i="7"/>
  <c r="F24" i="7"/>
  <c r="F73" i="7"/>
  <c r="F26" i="7"/>
  <c r="E31" i="7"/>
  <c r="E26" i="7"/>
  <c r="E16" i="7"/>
  <c r="G76" i="7"/>
  <c r="F51" i="7"/>
  <c r="E53" i="7"/>
  <c r="E49" i="7"/>
  <c r="E34" i="7"/>
  <c r="E67" i="7"/>
  <c r="G80" i="7"/>
  <c r="G79" i="7"/>
  <c r="F83" i="7"/>
  <c r="E71" i="7"/>
  <c r="G15" i="7"/>
  <c r="G20" i="7"/>
  <c r="E13" i="7"/>
  <c r="G86" i="7"/>
  <c r="G40" i="7"/>
  <c r="F25" i="7"/>
  <c r="F31" i="7"/>
  <c r="F48" i="7"/>
  <c r="G211" i="22"/>
  <c r="G106" i="22"/>
  <c r="G283" i="22"/>
  <c r="G121" i="22"/>
  <c r="G109" i="22"/>
  <c r="G15" i="22"/>
  <c r="G161" i="22"/>
  <c r="G155" i="22"/>
  <c r="G229" i="22"/>
  <c r="G73" i="22"/>
  <c r="G44" i="22"/>
  <c r="G4" i="8"/>
  <c r="G55" i="22"/>
  <c r="G3" i="13"/>
  <c r="G187" i="22"/>
  <c r="G2" i="16"/>
  <c r="G91" i="22"/>
  <c r="G214" i="22"/>
  <c r="G131" i="22"/>
  <c r="G200" i="22"/>
  <c r="G179" i="22"/>
  <c r="G20" i="22"/>
  <c r="G213" i="22"/>
  <c r="G195" i="22"/>
  <c r="G162" i="22"/>
  <c r="G50" i="22"/>
  <c r="G4" i="16"/>
  <c r="G26" i="22"/>
  <c r="G65" i="22"/>
  <c r="G30" i="22"/>
  <c r="G159" i="22"/>
  <c r="G39" i="22"/>
  <c r="G160" i="22"/>
  <c r="G244" i="22"/>
  <c r="G168" i="22"/>
  <c r="G186" i="22"/>
  <c r="G197" i="22"/>
  <c r="G208" i="22"/>
  <c r="G105" i="22"/>
  <c r="G59" i="22"/>
  <c r="G95" i="22"/>
  <c r="G249" i="22"/>
  <c r="G116" i="22"/>
  <c r="G16" i="22"/>
  <c r="G94" i="22"/>
  <c r="G247" i="22"/>
  <c r="G176" i="22"/>
  <c r="G158" i="22"/>
  <c r="G4" i="22"/>
  <c r="G273" i="22"/>
  <c r="G240" i="22"/>
  <c r="G189" i="22"/>
  <c r="G196" i="22"/>
  <c r="G270" i="22"/>
  <c r="G52" i="22"/>
  <c r="G4" i="9"/>
  <c r="G272" i="22"/>
  <c r="G23" i="22"/>
  <c r="G230" i="22"/>
  <c r="G2" i="13"/>
  <c r="G90" i="22"/>
  <c r="G64" i="22"/>
  <c r="G190" i="22"/>
  <c r="G18" i="22"/>
  <c r="G280" i="22"/>
  <c r="G35" i="22"/>
  <c r="G63" i="22"/>
  <c r="G2" i="17"/>
  <c r="G29" i="22"/>
  <c r="G17" i="22"/>
  <c r="G98" i="22"/>
  <c r="G246" i="22"/>
  <c r="G38" i="22"/>
  <c r="G87" i="22"/>
  <c r="G242" i="22"/>
  <c r="G199" i="22"/>
  <c r="G191" i="22"/>
  <c r="G266" i="22"/>
  <c r="G264" i="22"/>
  <c r="G151" i="22"/>
  <c r="G241" i="22"/>
  <c r="G84" i="22"/>
  <c r="G14" i="22"/>
  <c r="G3" i="14"/>
  <c r="G71" i="22"/>
  <c r="G25" i="22"/>
  <c r="G4" i="17"/>
  <c r="G51" i="22"/>
  <c r="G68" i="22"/>
  <c r="G3" i="21"/>
  <c r="G4" i="10"/>
  <c r="G142" i="22"/>
  <c r="G62" i="22"/>
  <c r="G3" i="11"/>
  <c r="G233" i="22"/>
  <c r="G276" i="22"/>
  <c r="G212" i="22"/>
  <c r="G127" i="22"/>
  <c r="G238" i="22"/>
  <c r="G34" i="22"/>
  <c r="G97" i="22"/>
  <c r="G153" i="22"/>
  <c r="G144" i="22"/>
  <c r="G231" i="22"/>
  <c r="G137" i="22"/>
  <c r="G193" i="22"/>
  <c r="G185" i="22"/>
  <c r="G2" i="14"/>
  <c r="G45" i="22"/>
  <c r="G192" i="22"/>
  <c r="G265" i="22"/>
  <c r="G205" i="22"/>
  <c r="G130" i="22"/>
  <c r="G236" i="22"/>
  <c r="G117" i="22"/>
  <c r="G260" i="22"/>
  <c r="G164" i="22"/>
  <c r="G3" i="12"/>
  <c r="G78" i="22"/>
  <c r="G171" i="22"/>
  <c r="G269" i="22"/>
  <c r="G165" i="22"/>
  <c r="G80" i="22"/>
  <c r="G183" i="22"/>
  <c r="G3" i="18"/>
  <c r="G89" i="22"/>
  <c r="G2" i="21"/>
  <c r="G139" i="22"/>
  <c r="G86" i="22"/>
  <c r="G58" i="22"/>
  <c r="G83" i="22"/>
  <c r="G57" i="22"/>
  <c r="G136" i="22"/>
  <c r="G74" i="22"/>
  <c r="G222" i="22"/>
  <c r="G126" i="22"/>
  <c r="G204" i="22"/>
  <c r="G167" i="22"/>
  <c r="G227" i="22"/>
  <c r="G69" i="22"/>
  <c r="G278" i="22"/>
  <c r="G263" i="22"/>
  <c r="G88" i="22"/>
  <c r="G114" i="22"/>
  <c r="G173" i="22"/>
  <c r="G157" i="22"/>
  <c r="G6" i="22"/>
  <c r="G120" i="22"/>
  <c r="G254" i="22"/>
  <c r="G262" i="22"/>
  <c r="G85" i="22"/>
  <c r="G27" i="22"/>
  <c r="G154" i="22"/>
  <c r="G178" i="22"/>
  <c r="G225" i="22"/>
  <c r="G2" i="8"/>
  <c r="G125" i="22"/>
  <c r="G256" i="22"/>
  <c r="G282" i="22"/>
  <c r="G224" i="22"/>
  <c r="E60" i="7"/>
  <c r="G44" i="7"/>
  <c r="F22" i="7"/>
  <c r="E22" i="7"/>
  <c r="F28" i="7"/>
  <c r="E75" i="7"/>
  <c r="F43" i="7"/>
  <c r="E79" i="7"/>
  <c r="G11" i="7"/>
  <c r="F75" i="7"/>
  <c r="G62" i="7"/>
  <c r="E74" i="7"/>
  <c r="F38" i="7"/>
  <c r="E25" i="7"/>
  <c r="F10" i="7"/>
  <c r="G7" i="7"/>
  <c r="F8" i="7"/>
  <c r="G87" i="7"/>
  <c r="G42" i="7"/>
  <c r="E58" i="7"/>
  <c r="G16" i="7"/>
  <c r="F78" i="7"/>
  <c r="G28" i="7"/>
  <c r="G73" i="7"/>
  <c r="E35" i="7"/>
  <c r="G35" i="7"/>
  <c r="E87" i="7"/>
  <c r="G85" i="7"/>
  <c r="F39" i="7"/>
  <c r="G50" i="7"/>
  <c r="E10" i="7"/>
  <c r="F40" i="7"/>
  <c r="E78" i="7"/>
  <c r="E14" i="7"/>
  <c r="G25" i="7"/>
  <c r="G13" i="7"/>
  <c r="G34" i="7"/>
  <c r="G39" i="7"/>
  <c r="E50" i="7"/>
  <c r="F65" i="7"/>
  <c r="E12" i="7"/>
  <c r="F76" i="7"/>
  <c r="F27" i="7"/>
  <c r="F9" i="7"/>
  <c r="G9" i="7"/>
  <c r="E80" i="7"/>
  <c r="E11" i="7"/>
  <c r="F32" i="7"/>
  <c r="F67" i="7"/>
  <c r="F84" i="7"/>
  <c r="G32" i="7"/>
  <c r="E56" i="7"/>
  <c r="G12" i="7"/>
  <c r="F49" i="7"/>
  <c r="G58" i="7"/>
  <c r="G115" i="22"/>
  <c r="G2" i="18"/>
  <c r="G81" i="22"/>
  <c r="G143" i="22"/>
  <c r="G134" i="22"/>
  <c r="G12" i="22"/>
  <c r="G123" i="22"/>
  <c r="G93" i="22"/>
  <c r="G172" i="22"/>
  <c r="G210" i="22"/>
  <c r="G3" i="20"/>
  <c r="G141" i="22"/>
  <c r="G8" i="22"/>
  <c r="G2" i="15"/>
  <c r="G128" i="22"/>
  <c r="G203" i="22"/>
  <c r="G285" i="22"/>
  <c r="G122" i="22"/>
  <c r="G51" i="7"/>
  <c r="G54" i="7"/>
  <c r="F79" i="7"/>
  <c r="F11" i="7"/>
  <c r="F30" i="7"/>
  <c r="E81" i="7"/>
  <c r="E86" i="7"/>
  <c r="F46" i="7"/>
  <c r="F6" i="7"/>
  <c r="G31" i="7"/>
  <c r="F62" i="7"/>
  <c r="E62" i="7"/>
  <c r="G71" i="7"/>
  <c r="F13" i="7"/>
  <c r="E40" i="7"/>
  <c r="E69" i="7"/>
  <c r="E76" i="7"/>
  <c r="F71" i="7"/>
  <c r="G21" i="7"/>
  <c r="E36" i="7"/>
  <c r="F56" i="7"/>
  <c r="E32" i="7"/>
  <c r="F17" i="7"/>
  <c r="E7" i="7"/>
  <c r="F60" i="7"/>
  <c r="G251" i="22"/>
  <c r="G47" i="22"/>
  <c r="G110" i="22"/>
  <c r="G5" i="22"/>
  <c r="G235" i="22"/>
  <c r="G61" i="22"/>
  <c r="G201" i="22"/>
  <c r="G2" i="9"/>
  <c r="G37" i="22"/>
  <c r="G150" i="22"/>
  <c r="G2" i="10"/>
  <c r="G219" i="22"/>
  <c r="G216" i="22"/>
  <c r="G275" i="22"/>
  <c r="G218" i="22"/>
  <c r="G209" i="22"/>
  <c r="G2" i="22"/>
  <c r="G56" i="7"/>
  <c r="E28" i="7"/>
  <c r="G17" i="7"/>
  <c r="E33" i="7"/>
  <c r="F86" i="7"/>
  <c r="F20" i="7"/>
  <c r="E15" i="7"/>
  <c r="G6" i="7"/>
  <c r="F59" i="7"/>
  <c r="F12" i="7"/>
  <c r="F21" i="7"/>
  <c r="G69" i="7"/>
  <c r="E30" i="7"/>
  <c r="F80" i="7"/>
  <c r="F69" i="7"/>
  <c r="E38" i="7"/>
  <c r="G53" i="7"/>
  <c r="E73" i="7"/>
  <c r="G75" i="7"/>
  <c r="E21" i="7"/>
  <c r="F85" i="7"/>
  <c r="E24" i="7"/>
  <c r="E54" i="7"/>
  <c r="E84" i="7"/>
  <c r="G8" i="7"/>
  <c r="G30" i="7"/>
  <c r="G26" i="7"/>
  <c r="E6" i="7"/>
  <c r="G4" i="18"/>
  <c r="G177" i="22"/>
  <c r="G4" i="14"/>
  <c r="G96" i="22"/>
  <c r="G60" i="22"/>
  <c r="G3" i="22"/>
  <c r="G147" i="22"/>
  <c r="G36" i="22"/>
  <c r="G43" i="22"/>
  <c r="G42" i="22"/>
  <c r="G124" i="22"/>
  <c r="G217" i="22"/>
  <c r="G255" i="22"/>
  <c r="G268" i="22"/>
  <c r="G180" i="22"/>
  <c r="G102" i="22"/>
  <c r="G174" i="22"/>
  <c r="G221" i="22"/>
  <c r="G166" i="22"/>
  <c r="G2" i="19"/>
  <c r="G207" i="22"/>
  <c r="G252" i="22"/>
  <c r="G11" i="22"/>
  <c r="G223" i="22"/>
  <c r="G66" i="22"/>
  <c r="G259" i="22"/>
  <c r="G7" i="22"/>
  <c r="G79" i="22"/>
  <c r="G148" i="22"/>
  <c r="F55" i="7"/>
  <c r="F42" i="7"/>
  <c r="E43" i="7"/>
  <c r="E51" i="7"/>
  <c r="E83" i="7"/>
  <c r="F19" i="7"/>
  <c r="G55" i="7"/>
  <c r="E65" i="7"/>
  <c r="G43" i="7"/>
  <c r="F36" i="7"/>
  <c r="G59" i="7"/>
  <c r="G23" i="7"/>
  <c r="G14" i="7"/>
  <c r="E9" i="7"/>
  <c r="G19" i="7"/>
  <c r="G46" i="7"/>
  <c r="E23" i="7"/>
  <c r="G72" i="7"/>
  <c r="F23" i="7"/>
  <c r="E17" i="7"/>
  <c r="G63" i="7"/>
  <c r="G10" i="7"/>
  <c r="F35" i="7"/>
  <c r="G83" i="7"/>
  <c r="E39" i="7"/>
  <c r="G78" i="7"/>
  <c r="G198" i="22"/>
  <c r="G103" i="22"/>
  <c r="G132" i="22"/>
  <c r="G188" i="22"/>
  <c r="G237" i="22"/>
  <c r="G182" i="22"/>
  <c r="G261" i="22"/>
  <c r="G111" i="22"/>
  <c r="G9" i="22"/>
  <c r="G77" i="22"/>
  <c r="G118" i="22"/>
  <c r="E46" i="7"/>
  <c r="G84" i="7"/>
  <c r="F63" i="7"/>
  <c r="G74" i="7"/>
  <c r="G36" i="7"/>
  <c r="F14" i="7"/>
  <c r="E48" i="7"/>
  <c r="F45" i="7"/>
  <c r="E55" i="7"/>
  <c r="G49" i="7"/>
  <c r="G33" i="7"/>
  <c r="E66" i="7"/>
  <c r="F74" i="7"/>
  <c r="G38" i="7"/>
  <c r="G66" i="7"/>
  <c r="G138" i="22"/>
  <c r="G232" i="22"/>
  <c r="G286" i="22"/>
  <c r="G33" i="22"/>
  <c r="G248" i="22"/>
  <c r="G56" i="22"/>
  <c r="G234" i="22"/>
  <c r="G258" i="22"/>
  <c r="G3" i="15"/>
  <c r="G48" i="22"/>
  <c r="G250" i="22"/>
  <c r="E72" i="7"/>
  <c r="E45" i="7"/>
  <c r="E8" i="7"/>
  <c r="F53" i="7"/>
  <c r="E63" i="7"/>
  <c r="G81" i="7"/>
  <c r="F15" i="7"/>
  <c r="F33" i="7"/>
  <c r="G60" i="7"/>
  <c r="G67" i="7"/>
  <c r="F66" i="7"/>
  <c r="F16" i="7"/>
  <c r="E20" i="7"/>
  <c r="I20" i="7" l="1"/>
  <c r="I63" i="7"/>
  <c r="F52" i="7"/>
  <c r="I8" i="7"/>
  <c r="I45" i="7"/>
  <c r="I72" i="7"/>
  <c r="P250" i="22"/>
  <c r="P48" i="22"/>
  <c r="P258" i="22"/>
  <c r="P234" i="22"/>
  <c r="P56" i="22"/>
  <c r="P248" i="22"/>
  <c r="P33" i="22"/>
  <c r="P286" i="22"/>
  <c r="P232" i="22"/>
  <c r="P138" i="22"/>
  <c r="G37" i="7"/>
  <c r="I66" i="7"/>
  <c r="I55" i="7"/>
  <c r="E47" i="7"/>
  <c r="I48" i="7"/>
  <c r="I46" i="7"/>
  <c r="P118" i="22"/>
  <c r="P77" i="22"/>
  <c r="P9" i="22"/>
  <c r="P111" i="22"/>
  <c r="P261" i="22"/>
  <c r="P182" i="22"/>
  <c r="P237" i="22"/>
  <c r="P188" i="22"/>
  <c r="P132" i="22"/>
  <c r="P103" i="22"/>
  <c r="P198" i="22"/>
  <c r="G77" i="7"/>
  <c r="I39" i="7"/>
  <c r="G82" i="7"/>
  <c r="I17" i="7"/>
  <c r="I23" i="7"/>
  <c r="G18" i="7"/>
  <c r="I9" i="7"/>
  <c r="I65" i="7"/>
  <c r="E64" i="7"/>
  <c r="F18" i="7"/>
  <c r="E82" i="7"/>
  <c r="I83" i="7"/>
  <c r="I51" i="7"/>
  <c r="I43" i="7"/>
  <c r="F41" i="7"/>
  <c r="P148" i="22"/>
  <c r="P79" i="22"/>
  <c r="P7" i="22"/>
  <c r="P259" i="22"/>
  <c r="P66" i="22"/>
  <c r="P223" i="22"/>
  <c r="P11" i="22"/>
  <c r="P252" i="22"/>
  <c r="P207" i="22"/>
  <c r="P166" i="22"/>
  <c r="P221" i="22"/>
  <c r="P174" i="22"/>
  <c r="P102" i="22"/>
  <c r="P180" i="22"/>
  <c r="P268" i="22"/>
  <c r="P255" i="22"/>
  <c r="P217" i="22"/>
  <c r="P124" i="22"/>
  <c r="P42" i="22"/>
  <c r="P43" i="22"/>
  <c r="P36" i="22"/>
  <c r="P147" i="22"/>
  <c r="P3" i="22"/>
  <c r="P60" i="22"/>
  <c r="P96" i="22"/>
  <c r="P177" i="22"/>
  <c r="E5" i="7"/>
  <c r="I6" i="7"/>
  <c r="G29" i="7"/>
  <c r="I84" i="7"/>
  <c r="I54" i="7"/>
  <c r="I24" i="7"/>
  <c r="I21" i="7"/>
  <c r="G52" i="7"/>
  <c r="I38" i="7"/>
  <c r="E37" i="7"/>
  <c r="F68" i="7"/>
  <c r="E29" i="7"/>
  <c r="I30" i="7"/>
  <c r="G68" i="7"/>
  <c r="G5" i="7"/>
  <c r="I15" i="7"/>
  <c r="I33" i="7"/>
  <c r="I28" i="7"/>
  <c r="P2" i="22"/>
  <c r="P209" i="22"/>
  <c r="P218" i="22"/>
  <c r="P275" i="22"/>
  <c r="P216" i="22"/>
  <c r="P219" i="22"/>
  <c r="P150" i="22"/>
  <c r="P37" i="22"/>
  <c r="P201" i="22"/>
  <c r="P61" i="22"/>
  <c r="P235" i="22"/>
  <c r="P5" i="22"/>
  <c r="P110" i="22"/>
  <c r="P47" i="22"/>
  <c r="P251" i="22"/>
  <c r="I7" i="7"/>
  <c r="I32" i="7"/>
  <c r="I36" i="7"/>
  <c r="F70" i="7"/>
  <c r="I76" i="7"/>
  <c r="I69" i="7"/>
  <c r="E68" i="7"/>
  <c r="I40" i="7"/>
  <c r="G70" i="7"/>
  <c r="E61" i="7"/>
  <c r="I62" i="7"/>
  <c r="F61" i="7"/>
  <c r="F5" i="7"/>
  <c r="I86" i="7"/>
  <c r="I81" i="7"/>
  <c r="F29" i="7"/>
  <c r="P122" i="22"/>
  <c r="P285" i="22"/>
  <c r="P203" i="22"/>
  <c r="P128" i="22"/>
  <c r="P8" i="22"/>
  <c r="P141" i="22"/>
  <c r="P210" i="22"/>
  <c r="P172" i="22"/>
  <c r="P93" i="22"/>
  <c r="P123" i="22"/>
  <c r="P12" i="22"/>
  <c r="P134" i="22"/>
  <c r="P143" i="22"/>
  <c r="P81" i="22"/>
  <c r="P115" i="22"/>
  <c r="G57" i="7"/>
  <c r="I56" i="7"/>
  <c r="I11" i="7"/>
  <c r="I80" i="7"/>
  <c r="I12" i="7"/>
  <c r="F64" i="7"/>
  <c r="I50" i="7"/>
  <c r="I14" i="7"/>
  <c r="I78" i="7"/>
  <c r="E77" i="7"/>
  <c r="I10" i="7"/>
  <c r="I87" i="7"/>
  <c r="I35" i="7"/>
  <c r="F77" i="7"/>
  <c r="E57" i="7"/>
  <c r="I58" i="7"/>
  <c r="G41" i="7"/>
  <c r="I25" i="7"/>
  <c r="F37" i="7"/>
  <c r="G61" i="7"/>
  <c r="I79" i="7"/>
  <c r="I22" i="7"/>
  <c r="I60" i="7"/>
  <c r="P224" i="22"/>
  <c r="P282" i="22"/>
  <c r="P256" i="22"/>
  <c r="P125" i="22"/>
  <c r="P225" i="22"/>
  <c r="P178" i="22"/>
  <c r="P154" i="22"/>
  <c r="P27" i="22"/>
  <c r="P85" i="22"/>
  <c r="P262" i="22"/>
  <c r="P254" i="22"/>
  <c r="P120" i="22"/>
  <c r="P6" i="22"/>
  <c r="P157" i="22"/>
  <c r="P173" i="22"/>
  <c r="P114" i="22"/>
  <c r="P88" i="22"/>
  <c r="P263" i="22"/>
  <c r="P278" i="22"/>
  <c r="P69" i="22"/>
  <c r="P227" i="22"/>
  <c r="P167" i="22"/>
  <c r="P204" i="22"/>
  <c r="P126" i="22"/>
  <c r="P222" i="22"/>
  <c r="P74" i="22"/>
  <c r="P136" i="22"/>
  <c r="P57" i="22"/>
  <c r="P83" i="22"/>
  <c r="P58" i="22"/>
  <c r="P86" i="22"/>
  <c r="P139" i="22"/>
  <c r="P89" i="22"/>
  <c r="P183" i="22"/>
  <c r="P80" i="22"/>
  <c r="P165" i="22"/>
  <c r="P269" i="22"/>
  <c r="P171" i="22"/>
  <c r="P78" i="22"/>
  <c r="P164" i="22"/>
  <c r="P260" i="22"/>
  <c r="P117" i="22"/>
  <c r="P236" i="22"/>
  <c r="P130" i="22"/>
  <c r="P205" i="22"/>
  <c r="P265" i="22"/>
  <c r="P192" i="22"/>
  <c r="P45" i="22"/>
  <c r="P185" i="22"/>
  <c r="P193" i="22"/>
  <c r="P137" i="22"/>
  <c r="P231" i="22"/>
  <c r="P144" i="22"/>
  <c r="P153" i="22"/>
  <c r="P97" i="22"/>
  <c r="P34" i="22"/>
  <c r="P238" i="22"/>
  <c r="P127" i="22"/>
  <c r="P212" i="22"/>
  <c r="P276" i="22"/>
  <c r="P233" i="22"/>
  <c r="P62" i="22"/>
  <c r="P142" i="22"/>
  <c r="P68" i="22"/>
  <c r="P51" i="22"/>
  <c r="P25" i="22"/>
  <c r="P71" i="22"/>
  <c r="P14" i="22"/>
  <c r="P84" i="22"/>
  <c r="P241" i="22"/>
  <c r="P151" i="22"/>
  <c r="P264" i="22"/>
  <c r="P266" i="22"/>
  <c r="P191" i="22"/>
  <c r="P199" i="22"/>
  <c r="P242" i="22"/>
  <c r="P87" i="22"/>
  <c r="P38" i="22"/>
  <c r="P246" i="22"/>
  <c r="P98" i="22"/>
  <c r="P17" i="22"/>
  <c r="P29" i="22"/>
  <c r="P63" i="22"/>
  <c r="P35" i="22"/>
  <c r="P280" i="22"/>
  <c r="P18" i="22"/>
  <c r="P190" i="22"/>
  <c r="P64" i="22"/>
  <c r="P90" i="22"/>
  <c r="P230" i="22"/>
  <c r="P23" i="22"/>
  <c r="P272" i="22"/>
  <c r="P52" i="22"/>
  <c r="P270" i="22"/>
  <c r="P196" i="22"/>
  <c r="P189" i="22"/>
  <c r="P240" i="22"/>
  <c r="P273" i="22"/>
  <c r="P4" i="22"/>
  <c r="P158" i="22"/>
  <c r="P176" i="22"/>
  <c r="P247" i="22"/>
  <c r="P94" i="22"/>
  <c r="P16" i="22"/>
  <c r="P116" i="22"/>
  <c r="P249" i="22"/>
  <c r="P95" i="22"/>
  <c r="P59" i="22"/>
  <c r="P105" i="22"/>
  <c r="P208" i="22"/>
  <c r="P197" i="22"/>
  <c r="P186" i="22"/>
  <c r="P168" i="22"/>
  <c r="P244" i="22"/>
  <c r="P160" i="22"/>
  <c r="P39" i="22"/>
  <c r="P159" i="22"/>
  <c r="P30" i="22"/>
  <c r="P65" i="22"/>
  <c r="P26" i="22"/>
  <c r="P50" i="22"/>
  <c r="P162" i="22"/>
  <c r="P195" i="22"/>
  <c r="P213" i="22"/>
  <c r="P20" i="22"/>
  <c r="P179" i="22"/>
  <c r="P200" i="22"/>
  <c r="P131" i="22"/>
  <c r="P214" i="22"/>
  <c r="P91" i="22"/>
  <c r="P187" i="22"/>
  <c r="P55" i="22"/>
  <c r="P44" i="22"/>
  <c r="P73" i="22"/>
  <c r="P229" i="22"/>
  <c r="P155" i="22"/>
  <c r="P161" i="22"/>
  <c r="P15" i="22"/>
  <c r="P109" i="22"/>
  <c r="P121" i="22"/>
  <c r="P283" i="22"/>
  <c r="P106" i="22"/>
  <c r="P211" i="22"/>
  <c r="F47" i="7"/>
  <c r="I13" i="7"/>
  <c r="E70" i="7"/>
  <c r="I71" i="7"/>
  <c r="F82" i="7"/>
  <c r="I67" i="7"/>
  <c r="I34" i="7"/>
  <c r="I49" i="7"/>
  <c r="I53" i="7"/>
  <c r="E52" i="7"/>
  <c r="I52" i="7" s="1"/>
  <c r="I16" i="7"/>
  <c r="I26" i="7"/>
  <c r="I31" i="7"/>
  <c r="G47" i="7"/>
  <c r="I44" i="7"/>
  <c r="G64" i="7"/>
  <c r="I27" i="7"/>
  <c r="E41" i="7"/>
  <c r="I42" i="7"/>
  <c r="I59" i="7"/>
  <c r="F57" i="7"/>
  <c r="I19" i="7"/>
  <c r="E18" i="7"/>
  <c r="I18" i="7" s="1"/>
  <c r="I85" i="7"/>
  <c r="P170" i="22"/>
  <c r="P145" i="22"/>
  <c r="P146" i="22"/>
  <c r="P41" i="22"/>
  <c r="P100" i="22"/>
  <c r="P281" i="22"/>
  <c r="P156" i="22"/>
  <c r="P104" i="22"/>
  <c r="P163" i="22"/>
  <c r="P194" i="22"/>
  <c r="P239" i="22"/>
  <c r="P253" i="22"/>
  <c r="P101" i="22"/>
  <c r="P220" i="22"/>
  <c r="P53" i="22"/>
  <c r="P22" i="22"/>
  <c r="P274" i="22"/>
  <c r="P40" i="22"/>
  <c r="P46" i="22"/>
  <c r="P112" i="22"/>
  <c r="P267" i="22"/>
  <c r="P82" i="22"/>
  <c r="P245" i="22"/>
  <c r="P75" i="22"/>
  <c r="P277" i="22"/>
  <c r="P108" i="22"/>
  <c r="P31" i="22"/>
  <c r="P76" i="22"/>
  <c r="P129" i="22"/>
  <c r="P19" i="22"/>
  <c r="P257" i="22"/>
  <c r="P21" i="22"/>
  <c r="P113" i="22"/>
  <c r="P202" i="22"/>
  <c r="P287" i="22"/>
  <c r="P271" i="22"/>
  <c r="P133" i="22"/>
  <c r="P54" i="22"/>
  <c r="P67" i="22"/>
  <c r="P107" i="22"/>
  <c r="P279" i="22"/>
  <c r="P228" i="22"/>
  <c r="P226" i="22"/>
  <c r="P49" i="22"/>
  <c r="P135" i="22"/>
  <c r="P284" i="22"/>
  <c r="P13" i="22"/>
  <c r="P99" i="22"/>
  <c r="P72" i="22"/>
  <c r="P181" i="22"/>
  <c r="P243" i="22"/>
  <c r="P152" i="22"/>
  <c r="P149" i="22"/>
  <c r="P215" i="22"/>
  <c r="P24" i="22"/>
  <c r="P28" i="22"/>
  <c r="P10" i="22"/>
  <c r="P175" i="22"/>
  <c r="P70" i="22"/>
  <c r="P92" i="22"/>
  <c r="P140" i="22"/>
  <c r="P206" i="22"/>
  <c r="P169" i="22"/>
  <c r="P119" i="22"/>
  <c r="P32" i="22"/>
  <c r="P184" i="22"/>
  <c r="I70" i="7" l="1"/>
  <c r="G4" i="7"/>
  <c r="I41" i="7"/>
  <c r="I68" i="7"/>
  <c r="F4" i="7"/>
  <c r="I57" i="7"/>
  <c r="I82" i="7"/>
  <c r="I47" i="7"/>
  <c r="I77" i="7"/>
  <c r="I61" i="7"/>
  <c r="I29" i="7"/>
  <c r="I5" i="7"/>
  <c r="I64" i="7"/>
  <c r="I37" i="7"/>
  <c r="E4" i="7"/>
  <c r="I4"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Ds, Jayaramu</author>
  </authors>
  <commentList>
    <comment ref="G1" authorId="0" shapeId="0" xr:uid="{FCEFDB86-E70D-4891-B2CD-151D2DBB50B5}">
      <text>
        <r>
          <rPr>
            <sz val="9"/>
            <color indexed="81"/>
            <rFont val="Tahoma"/>
            <family val="2"/>
          </rPr>
          <t xml:space="preserve">The value can be modified in the Intro sheet under Defaults section 
</t>
        </r>
      </text>
    </comment>
  </commentList>
</comments>
</file>

<file path=xl/sharedStrings.xml><?xml version="1.0" encoding="utf-8"?>
<sst xmlns="http://schemas.openxmlformats.org/spreadsheetml/2006/main" count="5184" uniqueCount="881">
  <si>
    <t xml:space="preserve">V1. </t>
  </si>
  <si>
    <t>Architecture, design and threat modelling</t>
  </si>
  <si>
    <t>V2.</t>
  </si>
  <si>
    <t>V3.</t>
  </si>
  <si>
    <t>V4.</t>
  </si>
  <si>
    <t>V5.</t>
  </si>
  <si>
    <t>V7.</t>
  </si>
  <si>
    <t>V8.</t>
  </si>
  <si>
    <t>V9.</t>
  </si>
  <si>
    <t>V10.</t>
  </si>
  <si>
    <t>V11.</t>
  </si>
  <si>
    <t>V13.</t>
  </si>
  <si>
    <t>Verify that directory browsing is disabled unless deliberately desired. Additionally, applications should not allow discovery or disclosure of file or directory metadata, such as Thumbs.db, .DS_Store, .git or .svn folders.</t>
  </si>
  <si>
    <t>Verify that all user and data attributes and policy information used by access controls cannot be manipulated by end users unless specifically authorized.</t>
  </si>
  <si>
    <t>Verify the application has additional authorization (such as step up or adaptive authentication) for lower value systems, and / or segregation of duties for high value applications to enforce anti-fraud controls as per the risk of application and past fraud.</t>
  </si>
  <si>
    <t>Verify that random numbers are created with proper entropy even when the application is under heavy load, or that the application degrades gracefully in such circumstances.</t>
  </si>
  <si>
    <t>Verify the application minimizes the number of parameters in a request, such as hidden fields, Ajax variables, cookies and header values.</t>
  </si>
  <si>
    <t>Verify that data stored in client side storage (such as HTML5 local storage, session storage, IndexedDB, regular cookies or Flash cookies) does not contain sensitive data or PII.</t>
  </si>
  <si>
    <t>Verify that backend TLS connection failures are logged.</t>
  </si>
  <si>
    <t>Verify that proper certification revocation, such as Online Certificate Status Protocol (OCSP) Stapling, is enabled and configured.</t>
  </si>
  <si>
    <t>Verify that every HTTP response contains a content type header specifying a safe character set (e.g., UTF-8, ISO 8859-1).</t>
  </si>
  <si>
    <t>Verify that HTTP headers added by a trusted proxy or SSO devices, such as a bearer token, are authenticated by the application.</t>
  </si>
  <si>
    <t>Verify that the HTTP headers or any part of the HTTP response do not expose detailed version information of system components.</t>
  </si>
  <si>
    <t>Verify that URL redirects and forwards only allow whitelisted destinations, or show a warning when redirecting to potentially untrusted content.</t>
  </si>
  <si>
    <t>Verification Topic</t>
  </si>
  <si>
    <t>Verification Description</t>
  </si>
  <si>
    <t>Category</t>
  </si>
  <si>
    <t>Self Assess Score</t>
  </si>
  <si>
    <t>Pass</t>
  </si>
  <si>
    <t>Fail</t>
  </si>
  <si>
    <t>Not Applicable</t>
  </si>
  <si>
    <t>Result</t>
  </si>
  <si>
    <t>--- Select ---</t>
  </si>
  <si>
    <t>Assessment Level</t>
  </si>
  <si>
    <t>Standard</t>
  </si>
  <si>
    <t>Advanced</t>
  </si>
  <si>
    <t>Opportunistic</t>
  </si>
  <si>
    <t>Total</t>
  </si>
  <si>
    <t>Score</t>
  </si>
  <si>
    <t>Choosen ASVS Level:</t>
  </si>
  <si>
    <t>V1</t>
  </si>
  <si>
    <t>V2</t>
  </si>
  <si>
    <t>V3</t>
  </si>
  <si>
    <t>V4</t>
  </si>
  <si>
    <t>V5</t>
  </si>
  <si>
    <t>V7</t>
  </si>
  <si>
    <t>V8</t>
  </si>
  <si>
    <t>V9</t>
  </si>
  <si>
    <t>V10</t>
  </si>
  <si>
    <t>V11</t>
  </si>
  <si>
    <t>V13</t>
  </si>
  <si>
    <t>V15</t>
  </si>
  <si>
    <t>V16</t>
  </si>
  <si>
    <t>V17</t>
  </si>
  <si>
    <t>V18</t>
  </si>
  <si>
    <t>V19</t>
  </si>
  <si>
    <t>Include NA</t>
  </si>
  <si>
    <t>Yes</t>
  </si>
  <si>
    <t>No</t>
  </si>
  <si>
    <t>References</t>
  </si>
  <si>
    <t>Default Configurations</t>
  </si>
  <si>
    <t xml:space="preserve">Include "Not Applicable" in calculation? </t>
  </si>
  <si>
    <t>Total Controls</t>
  </si>
  <si>
    <t>Secure Software Development Lifecycle Requirements</t>
  </si>
  <si>
    <t>1.1.1</t>
  </si>
  <si>
    <t>Verify the use of a secure software development lifecycle that addresses security in all stages of development. (C1)</t>
  </si>
  <si>
    <t>1.1.2</t>
  </si>
  <si>
    <t>Verify the use of threat modeling for every design change or sprint planning to identify threats, plan for countermeasures, facilitate appropriate risk responses, and guide security testing.</t>
  </si>
  <si>
    <t>1.1.3</t>
  </si>
  <si>
    <t>Verify that all user stories and features contain functional security constraints, such as "As a user, I should be able to view and edit my profile. I should not be able to view or edit anyone else's profile"</t>
  </si>
  <si>
    <t>1.1.4</t>
  </si>
  <si>
    <t>Verify documentation and justification of all the application's trust boundaries, components, and significant data flows.</t>
  </si>
  <si>
    <t>1.1.5</t>
  </si>
  <si>
    <t>Verify definition and security analysis of the application's high-level architecture and all connected remote services. (C1)</t>
  </si>
  <si>
    <t>1.1.6</t>
  </si>
  <si>
    <t>Verify implementation of centralized, simple (economy of design), vetted, secure, and reusable security controls to avoid duplicate, missing, ineffective, or insecure controls. (C10)</t>
  </si>
  <si>
    <t>1.1.7</t>
  </si>
  <si>
    <t>Verify availability of a secure coding checklist, security requirements, guideline, or policy to all developers and testers.</t>
  </si>
  <si>
    <t xml:space="preserve">V1.1 </t>
  </si>
  <si>
    <t>CWE</t>
  </si>
  <si>
    <t>1.2.1</t>
  </si>
  <si>
    <t>Verify the use of unique or special low-privilege operating system accounts for all application components, services, and servers. (C3)</t>
  </si>
  <si>
    <t>1.2.2</t>
  </si>
  <si>
    <t>Verify that communications between application components, including APIs, middleware and data layers, are authenticated. Components should have the least necessary privileges needed. (C3)</t>
  </si>
  <si>
    <t>1.2.3</t>
  </si>
  <si>
    <t>Verify that the application uses a single vetted authentication mechanism that is known to be secure, can be extended to include strong authentication, and has sufficient logging and monitoring to detect account abuse or breaches.</t>
  </si>
  <si>
    <t>1.2.4</t>
  </si>
  <si>
    <t>Verify that all authentication pathways and identity management APIs implement consistent authentication security control strength, such that there are no weaker alternatives per the risk of the application.</t>
  </si>
  <si>
    <t>V1.2</t>
  </si>
  <si>
    <t>Authentication Architectural Requirements</t>
  </si>
  <si>
    <t>V1.4</t>
  </si>
  <si>
    <t>Access Control Architectural Requirements</t>
  </si>
  <si>
    <t>1.4.1</t>
  </si>
  <si>
    <t>Verify that trusted enforcement points such as at access control gateways, servers, and serverless functions enforce access controls. Never enforce access controls on the client.</t>
  </si>
  <si>
    <t>1.4.2</t>
  </si>
  <si>
    <t>Verify that the chosen access control solution is flexible enough to meet the application's needs.</t>
  </si>
  <si>
    <t>1.4.3</t>
  </si>
  <si>
    <t>Verify enforcement of the principle of least privilege in functions, data files, URLs, controllers, services, and other resources. This implies protection against spoofing and elevation of privilege.</t>
  </si>
  <si>
    <t>1.4.4</t>
  </si>
  <si>
    <t>Verify the application uses a single and well-vetted access control mechanism for accessing protected data and resources. All requests must pass through this single mechanism to avoid copy and paste or insecure alternative paths. (C7)</t>
  </si>
  <si>
    <t>1.4.5</t>
  </si>
  <si>
    <t>Verify that attribute or feature-based access control is used whereby the code checks the user's authorization for a feature/data item rather than just their role. Permissions should still be allocated using roles. (C7)</t>
  </si>
  <si>
    <t>V1.5</t>
  </si>
  <si>
    <t>Input and Output Architectural Requirements</t>
  </si>
  <si>
    <t>1.5.1</t>
  </si>
  <si>
    <t>Verify that input and output requirements clearly define how to handle and process data based on type, content, and applicable laws, regulations, and other policy compliance.</t>
  </si>
  <si>
    <t>1.5.2</t>
  </si>
  <si>
    <t>Verify that serialization is not used when communicating with untrusted clients. If this is not possible, ensure that adequate integrity controls (and possibly encryption if sensitive data is sent) are enforced to prevent deserialization attacks including object injection.</t>
  </si>
  <si>
    <t>1.5.3</t>
  </si>
  <si>
    <t>Verify that input validation is enforced on a trusted service layer. (C5)</t>
  </si>
  <si>
    <t>1.5.4</t>
  </si>
  <si>
    <t>Verify that output encoding occurs close to or by the interpreter for which it is intended. (C4)</t>
  </si>
  <si>
    <t>V1.6</t>
  </si>
  <si>
    <t>Cryptographic Architectural Requirements</t>
  </si>
  <si>
    <t>1.6.1</t>
  </si>
  <si>
    <t>Verify that there is an explicit policy for management of cryptographic keys and that a cryptographic key lifecycle follows a key management standard such as NIST SP 800-57.</t>
  </si>
  <si>
    <t>1.6.2</t>
  </si>
  <si>
    <t>Verify that consumers of cryptographic services protect key material and other secrets by using key vaults or API based alternatives.</t>
  </si>
  <si>
    <t>1.6.3</t>
  </si>
  <si>
    <t>Verify that all keys and passwords are replaceable and are part of a well-defined process to re-encrypt sensitive data.</t>
  </si>
  <si>
    <t>1.6.4</t>
  </si>
  <si>
    <t>Verify that symmetric keys, passwords, or API secrets generated by or shared with clients are used only in protecting low risk secrets, such as encrypting local storage, or temporary ephemeral uses such as parameter obfuscation. Sharing secrets with clients is clear-text equivalent and architecturally should be treated as such.</t>
  </si>
  <si>
    <t>V1.7</t>
  </si>
  <si>
    <t>Errors, Logging and Auditing Architectural Requirements</t>
  </si>
  <si>
    <t>1.7.1</t>
  </si>
  <si>
    <t>Verify that a common logging format and approach is used across the system. (C9)</t>
  </si>
  <si>
    <t>1.7.2</t>
  </si>
  <si>
    <t>Verify that logs are securely transmitted to a preferably remote system for analysis, detection, alerting, and escalation. (C9)</t>
  </si>
  <si>
    <t>V1.8</t>
  </si>
  <si>
    <t>Data Protection and Privacy Architectural Requirements</t>
  </si>
  <si>
    <t>1.8.1</t>
  </si>
  <si>
    <t>Verify that all sensitive data is identified and classified into protection levels.</t>
  </si>
  <si>
    <t>1.8.2</t>
  </si>
  <si>
    <t>Verify that all protection levels have an associated set of protection requirements, such as encryption requirements, integrity requirements, retention, privacy and other confidentiality requirements, and that these are applied in the architecture.</t>
  </si>
  <si>
    <t>V1.9</t>
  </si>
  <si>
    <t>Communications Architectural Requirements</t>
  </si>
  <si>
    <t>1.9.1</t>
  </si>
  <si>
    <t>Verify the application encrypts communications between components, particularly when these components are in different containers, systems, sites, or cloud providers. (C3)</t>
  </si>
  <si>
    <t>1.9.2</t>
  </si>
  <si>
    <t>Verify that application components verify the authenticity of each side in a communication link to prevent person-in-the-middle attacks. For example, application components should validate TLS certificates and chains.</t>
  </si>
  <si>
    <t>V1.10</t>
  </si>
  <si>
    <t>Malicious Software Architectural Requirements</t>
  </si>
  <si>
    <t>1.10.1</t>
  </si>
  <si>
    <t>Verify that a source code control system is in use, with procedures to ensure that check-ins are accompanied by issues or change tickets. The source code control system should have access control and identifiable users to allow traceability of any changes.</t>
  </si>
  <si>
    <t>V1.11</t>
  </si>
  <si>
    <t>Business Logic Architectural Requirements</t>
  </si>
  <si>
    <t>1.11.1</t>
  </si>
  <si>
    <t>Verify the definition and documentation of all application components in terms of the business or security functions they provide.</t>
  </si>
  <si>
    <t>1.11.2</t>
  </si>
  <si>
    <t>Verify that all high-value business logic flows, including authentication, session management and access control, do not share unsynchronized state.</t>
  </si>
  <si>
    <t>1.11.3</t>
  </si>
  <si>
    <t>Verify that all high-value business logic flows, including authentication, session management and access control are thread safe and resistant to time-of-check and time-of-use race conditions.</t>
  </si>
  <si>
    <t>V1.12</t>
  </si>
  <si>
    <t>Secure File Upload Architectural Requirements</t>
  </si>
  <si>
    <t>1.12.1</t>
  </si>
  <si>
    <t>Verify that user-uploaded files are stored outside of the web root.</t>
  </si>
  <si>
    <t>1.12.2</t>
  </si>
  <si>
    <t>Verify that user-uploaded files - if required to be displayed or downloaded from the application - are served by either octet stream downloads, or from an unrelated domain, such as a cloud file storage bucket. Implement a suitable content security policy to reduce the risk from XSS vectors or other attacks from the uploaded file.</t>
  </si>
  <si>
    <t>V1.14</t>
  </si>
  <si>
    <t>Configuration Architectural Requirements</t>
  </si>
  <si>
    <t>1.14.1</t>
  </si>
  <si>
    <t>Verify the segregation of components of differing trust levels through well-defined security controls, firewall rules, API gateways, reverse proxies, cloud-based security groups, or similar mechanisms.</t>
  </si>
  <si>
    <t>1.14.2</t>
  </si>
  <si>
    <t>Verify that if deploying binaries to untrusted devices makes use of binary signatures, trusted connections, and verified endpoints.</t>
  </si>
  <si>
    <t>1.14.3</t>
  </si>
  <si>
    <t>Verify that the build pipeline warns of out-of-date or insecure components and takes appropriate actions.</t>
  </si>
  <si>
    <t>1.14.4</t>
  </si>
  <si>
    <t>Verify that the build pipeline contains a build step to automatically build and verify the secure deployment of the application, particularly if the application infrastructure is software defined, such as cloud environment build scripts.</t>
  </si>
  <si>
    <t>1.14.5</t>
  </si>
  <si>
    <t>Verify that application deployments adequately sandbox, containerize and/or isolate at the network level to delay and deter attackers from attacking other applications, especially when they are performing sensitive or dangerous actions such as deserialization. (C5)</t>
  </si>
  <si>
    <t>1.14.6</t>
  </si>
  <si>
    <t>Verify the application does not use unsupported, insecure, or deprecated client-side technologies such as NSAPI plugins, Flash, Shockwave, ActiveX, Silverlight, NACL, or client-side Java applets.</t>
  </si>
  <si>
    <t>Architecture, Design and Threat Modeling Requirements</t>
  </si>
  <si>
    <t>For more information, see also:
    •	OWASP Threat Modeling Cheat Sheet - https://www.owasp.org/index.php/Threat_Modeling_Cheat_Sheet
    •	OWASP Attack Surface Analysis Cheat Sheet - https://www.owasp.org/index.php/Attack_Surface_Analysis_Cheat_Sheet
    •	OWASP Threat modeling - https://www.owasp.org/index.php/Application_Threat_Modeling
    •	OWASP Secure SDLC Cheat Sheet - https://www.owasp.org/index.php/Secure_SDLC_Cheat_Sheet
    •	Microsoft SDL - https://www.microsoft.com/en-us/sdl/
    •	NIST SP 800-57 - https://csrc.nist.gov/publications/detail/sp/800-57-part-1/rev-4/final</t>
  </si>
  <si>
    <t>Authentication Verification Requirements</t>
  </si>
  <si>
    <t>V2.1</t>
  </si>
  <si>
    <t>Password Security Requirements</t>
  </si>
  <si>
    <t>2.1.1</t>
  </si>
  <si>
    <t>Verify that user set passwords are at least 12 characters in length. (C6)</t>
  </si>
  <si>
    <t>5.1.1.2</t>
  </si>
  <si>
    <t>2.1.2</t>
  </si>
  <si>
    <t>Verify that passwords 64 characters or longer are permitted. (C6)</t>
  </si>
  <si>
    <t>2.1.3</t>
  </si>
  <si>
    <t>Verify that passwords can contain spaces and truncation is not performed. Consecutive multiple spaces MAY optionally be coalesced. (C6)</t>
  </si>
  <si>
    <t>2.1.4</t>
  </si>
  <si>
    <t>Verify that Unicode characters are permitted in passwords. A single Unicode code point is considered a character, so 12 emoji or 64 kanji characters should be valid and permitted.</t>
  </si>
  <si>
    <t>2.1.5</t>
  </si>
  <si>
    <t>Verify users can change their password.</t>
  </si>
  <si>
    <t>2.1.6</t>
  </si>
  <si>
    <t>Verify that password change functionality requires the user's current and new password.</t>
  </si>
  <si>
    <t>2.1.7</t>
  </si>
  <si>
    <t>Verify that passwords submitted during account registration, login, and password change are checked against a set of breached passwords either locally (such as the top 1,000 or 10,000 most common passwords which match the system's password policy) or using an external API. If using an API a zero knowledge proof or other mechanism should be used to ensure that the plain text password is not sent or used in verifying the breach status of the password. If the password is breached, the application must require the user to set a new non-breached password. (C6)</t>
  </si>
  <si>
    <t>2.1.8</t>
  </si>
  <si>
    <t>Verify that a password strength meter is provided to help users set a stronger password.</t>
  </si>
  <si>
    <t>2.1.9</t>
  </si>
  <si>
    <t>Verify that there are no password composition rules limiting the type of characters permitted. There should be no requirement for upper or lower case or numbers or special characters. (C6)</t>
  </si>
  <si>
    <t>2.1.10</t>
  </si>
  <si>
    <t>Verify that there are no periodic credential rotation or password history requirements.</t>
  </si>
  <si>
    <t>2.1.11</t>
  </si>
  <si>
    <t>Verify that "paste" functionality, browser password helpers, and external password managers are permitted.</t>
  </si>
  <si>
    <t>2.1.12</t>
  </si>
  <si>
    <t>Verify that the user can choose to either temporarily view the entire masked password, or temporarily view the last typed character of the password on platforms that do not have this as native functionality.</t>
  </si>
  <si>
    <t>V2.2</t>
  </si>
  <si>
    <t>General Authenticator Requirements</t>
  </si>
  <si>
    <t>2.2.1</t>
  </si>
  <si>
    <t>Verify that anti-automation controls are effective at mitigating breached credential testing, brute force, and account lockout attacks. Such controls include blocking the most common breached passwords, soft lockouts, rate limiting, CAPTCHA, ever increasing delays between attempts, IP address restrictions, or risk-based restrictions such as location, first login on a device, recent attempts to unlock the account, or similar. Verify that no more than 100 failed attempts per hour is possible on a single account.</t>
  </si>
  <si>
    <t>5.2.2 / 5.1.1.2 / 5.1.4.2 / 5.1.5.2</t>
  </si>
  <si>
    <t>2.2.2</t>
  </si>
  <si>
    <t>Verify that the use of weak authenticators (such as SMS and email) is limited to secondary verification and transaction approval and not as a replacement for more secure authentication methods. Verify that stronger methods are offered before weak methods, users are aware of the risks, or that proper measures are in place to limit the risks of account compromise.</t>
  </si>
  <si>
    <t>5.2.10</t>
  </si>
  <si>
    <t>2.2.3</t>
  </si>
  <si>
    <t>Verify that secure notifications are sent to users after updates to authentication details, such as credential resets, email or address changes, logging in from unknown or risky locations. The use of push notifications - rather than SMS or email - is preferred, but in the absence of push notifications, SMS or email is acceptable as long as no sensitive information is disclosed in the notification.</t>
  </si>
  <si>
    <t>2.2.4</t>
  </si>
  <si>
    <t>Verify impersonation resistance against phishing, such as the use of multi-factor authentication, cryptographic devices with intent (such as connected keys with a push to authenticate), or at higher AAL levels, client-side certificates.</t>
  </si>
  <si>
    <t>5.2.5</t>
  </si>
  <si>
    <t>2.2.5</t>
  </si>
  <si>
    <t>Verify that where a credential service provider (CSP) and the application verifying authentication are separated, mutually authenticated TLS is in place between the two endpoints.</t>
  </si>
  <si>
    <t>5.2.6</t>
  </si>
  <si>
    <t>2.2.6</t>
  </si>
  <si>
    <t>Verify replay resistance through the mandated use of OTP devices, cryptographic authenticators, or lookup codes.</t>
  </si>
  <si>
    <t>5.2.8</t>
  </si>
  <si>
    <t>2.2.7</t>
  </si>
  <si>
    <t>Verify intent to authenticate by requiring the entry of an OTP token or user-initiated action such as a button press on a FIDO hardware key.</t>
  </si>
  <si>
    <t>5.2.9</t>
  </si>
  <si>
    <t>V2.3</t>
  </si>
  <si>
    <t>Authenticator Lifecycle Requirements</t>
  </si>
  <si>
    <t>2.3.1</t>
  </si>
  <si>
    <t>Verify system generated initial passwords or activation codes SHOULD be securely randomly generated, SHOULD be at least 6 characters long, and MAY contain letters and numbers, and expire after a short period of time. These initial secrets must not be permitted to become the long term password.</t>
  </si>
  <si>
    <t>5.1.1.2 / A.3</t>
  </si>
  <si>
    <t>2.3.2</t>
  </si>
  <si>
    <t>Verify that enrollment and use of subscriber-provided authentication devices are supported, such as a U2F or FIDO tokens.</t>
  </si>
  <si>
    <t>6.1.3</t>
  </si>
  <si>
    <t>2.3.3</t>
  </si>
  <si>
    <t>Verify that renewal instructions are sent with sufficient time to renew time bound authenticators.</t>
  </si>
  <si>
    <t>6.1.4</t>
  </si>
  <si>
    <t>V2.4</t>
  </si>
  <si>
    <t>Credential Storage Requirements</t>
  </si>
  <si>
    <t>2.4.1</t>
  </si>
  <si>
    <t>Verify that passwords are stored in a form that is resistant to offline attacks. Passwords SHALL be salted and hashed using an approved one-way key derivation or password hashing function. Key derivation and password hashing functions take a password, a salt, and a cost factor as inputs when generating a password hash. (C6)</t>
  </si>
  <si>
    <t>2.4.2</t>
  </si>
  <si>
    <t>Verify that the salt is at least 32 bits in length and be chosen arbitrarily to minimize salt value collisions among stored hashes. For each credential, a unique salt value and the resulting hash SHALL be stored. (C6)</t>
  </si>
  <si>
    <t>2.4.3</t>
  </si>
  <si>
    <t>Verify that if PBKDF2 is used, the iteration count SHOULD be as large as verification server performance will allow, typically at least 100,000 iterations. (C6)</t>
  </si>
  <si>
    <t>2.4.4</t>
  </si>
  <si>
    <t>Verify that if bcrypt is used, the work factor SHOULD be as large as verification server performance will allow, typically at least 13. (C6)</t>
  </si>
  <si>
    <t>2.4.5</t>
  </si>
  <si>
    <t>Verify that an additional iteration of a key derivation function is performed, using a salt value that is secret and known only to the verifier. Generate the salt value using an approved random bit generator [SP 800-90Ar1] and provide at least the minimum security strength specified in the latest revision of SP 800-131A. The secret salt value SHALL be stored separately from the hashed passwords (e.g., in a specialized device like a hardware security module).</t>
  </si>
  <si>
    <t>V2.5</t>
  </si>
  <si>
    <t>Credential Recovery Requirements</t>
  </si>
  <si>
    <t>2.5.1</t>
  </si>
  <si>
    <t>Verify that a system generated initial activation or recovery secret is not sent in clear text to the user. (C6)</t>
  </si>
  <si>
    <t>2.5.2</t>
  </si>
  <si>
    <t>Verify password hints or knowledge-based authentication (so-called "secret questions") are not present.</t>
  </si>
  <si>
    <t>2.5.3</t>
  </si>
  <si>
    <t>Verify password credential recovery does not reveal the current password in any way. (C6)</t>
  </si>
  <si>
    <t>2.5.4</t>
  </si>
  <si>
    <t>Verify shared or default accounts are not present (e.g. "root", "admin", or "sa").</t>
  </si>
  <si>
    <t>2.5.5</t>
  </si>
  <si>
    <t>Verify that if an authentication factor is changed or replaced, that the user is notified of this event.</t>
  </si>
  <si>
    <t>6.1.2.3</t>
  </si>
  <si>
    <t>2.5.6</t>
  </si>
  <si>
    <t>Verify forgotten password, and other recovery paths use a secure recovery mechanism, such as TOTP or other soft token, mobile push, or another offline recovery mechanism. (C6)</t>
  </si>
  <si>
    <t>2.5.7</t>
  </si>
  <si>
    <t>Verify that if OTP or multi-factor authentication factors are lost, that evidence of identity proofing is performed at the same level as during enrollment.</t>
  </si>
  <si>
    <t>Look-up Secret Verifier Requirements</t>
  </si>
  <si>
    <t>V2.6</t>
  </si>
  <si>
    <t>2.6.1</t>
  </si>
  <si>
    <t>Verify that lookup secrets can be used only once.</t>
  </si>
  <si>
    <t>5.1.2.2</t>
  </si>
  <si>
    <t>2.6.2</t>
  </si>
  <si>
    <t>Verify that lookup secrets have sufficient randomness (112 bits of entropy), or if less than 112 bits of entropy, salted with a unique and random 32-bit salt and hashed with an approved one-way hash.</t>
  </si>
  <si>
    <t>2.6.3</t>
  </si>
  <si>
    <t>Verify that lookup secrets are resistant to offline attacks, such as predictable values.</t>
  </si>
  <si>
    <t>V2.7</t>
  </si>
  <si>
    <t>Out of Band Verifier Requirements</t>
  </si>
  <si>
    <t>2.7.1</t>
  </si>
  <si>
    <t>Verify that clear text out of band (NIST "restricted") authenticators, such as SMS or PSTN, are not offered by default, and stronger alternatives such as push notifications are offered first.</t>
  </si>
  <si>
    <t>5.1.3.2</t>
  </si>
  <si>
    <t>2.7.2</t>
  </si>
  <si>
    <t>Verify that the out of band verifier expires out of band authentication requests, codes, or tokens after 10 minutes.</t>
  </si>
  <si>
    <t>2.7.3</t>
  </si>
  <si>
    <t>Verify that the out of band verifier authentication requests, codes, or tokens are only usable once, and only for the original authentication request.</t>
  </si>
  <si>
    <t>2.7.4</t>
  </si>
  <si>
    <t>Verify that the out of band authenticator and verifier communicates over a secure independent channel.</t>
  </si>
  <si>
    <t>2.7.5</t>
  </si>
  <si>
    <t>Verify that the out of band verifier retains only a hashed version of the authentication code.</t>
  </si>
  <si>
    <t>2.7.6</t>
  </si>
  <si>
    <t>Verify that the initial authentication code is generated by a secure random number generator, containing at least 20 bits of entropy (typically a six digital random number is sufficient).</t>
  </si>
  <si>
    <t>V2.8</t>
  </si>
  <si>
    <t>Single or Multi Factor One Time Verifier Requirements</t>
  </si>
  <si>
    <t>2.8.1</t>
  </si>
  <si>
    <t>Verify that time-based OTPs have a defined lifetime before expiring.</t>
  </si>
  <si>
    <t>5.1.4.2 / 5.1.5.2</t>
  </si>
  <si>
    <t>2.8.2</t>
  </si>
  <si>
    <t>Verify that symmetric keys used to verify submitted OTPs are highly protected, such as by using a hardware security module or secure operating system based key storage.</t>
  </si>
  <si>
    <t>2.8.3</t>
  </si>
  <si>
    <t>Verify that approved cryptographic algorithms are used in the generation, seeding, and verification.</t>
  </si>
  <si>
    <t>2.8.4</t>
  </si>
  <si>
    <t>Verify that time-based OTP can be used only once within the validity period.</t>
  </si>
  <si>
    <t>2.8.5</t>
  </si>
  <si>
    <t>Verify that if a time-based multi factor OTP token is re-used during the validity period, it is logged and rejected with secure notifications being sent to the holder of the device.</t>
  </si>
  <si>
    <t>5.1.5.2</t>
  </si>
  <si>
    <t>2.8.6</t>
  </si>
  <si>
    <t>Verify physical single factor OTP generator can be revoked in case of theft or other loss. Ensure that revocation is immediately effective across logged in sessions, regardless of location.</t>
  </si>
  <si>
    <t>5.2.1</t>
  </si>
  <si>
    <t>2.8.7</t>
  </si>
  <si>
    <t>Verify that biometric authenticators are limited to use only as secondary factors in conjunction with either something you have and something you know.</t>
  </si>
  <si>
    <t>5.2.3</t>
  </si>
  <si>
    <t>V2.9</t>
  </si>
  <si>
    <t>Cryptographic Software and Devices Verifier Requirements</t>
  </si>
  <si>
    <t>2.9.1</t>
  </si>
  <si>
    <t>Verify that cryptographic keys used in verification are stored securely and protected against disclosure, such as using a TPM or HSM, or an OS service that can use this secure storage.</t>
  </si>
  <si>
    <t>5.1.7.2</t>
  </si>
  <si>
    <t>2.9.2</t>
  </si>
  <si>
    <t>Verify that the challenge nonce is at least 64 bits in length, and statistically unique or unique over the lifetime of the cryptographic device.</t>
  </si>
  <si>
    <t>2.9.3</t>
  </si>
  <si>
    <t>V2.10</t>
  </si>
  <si>
    <t>Service Authentication Requirements</t>
  </si>
  <si>
    <t>2.10.1</t>
  </si>
  <si>
    <t>Verify that integration secrets do not rely on unchanging passwords, such as API keys or shared privileged accounts.</t>
  </si>
  <si>
    <t>5.1.1.1</t>
  </si>
  <si>
    <t>2.10.2</t>
  </si>
  <si>
    <t>Verify that if passwords are required, the credentials are not a default account.</t>
  </si>
  <si>
    <t>2.10.3</t>
  </si>
  <si>
    <t>Verify that passwords are stored with sufficient protection to prevent offline recovery attacks, including local system access.</t>
  </si>
  <si>
    <t>2.10.4</t>
  </si>
  <si>
    <t>Verify passwords, integrations with databases and third-party systems, seeds and internal secrets, and API keys are managed securely and not included in the source code or stored within source code repositories. Such storage SHOULD resist offline attacks. The use of a secure software key store (L1), hardware trusted platform module (TPM), or a hardware security module (L3) is recommended for password storage.</t>
  </si>
  <si>
    <t>For more information, see also:
   •	NIST 800-63 - Digital Identity Guidelines - https://nvlpubs.nist.gov/nistpubs/SpecialPublications/NIST.SP.800-63-3.pdf
    •	NIST 800-63 A - Enrollment and Identity Proofing - https://nvlpubs.nist.gov/nistpubs/SpecialPublications/NIST.SP.800-63a.pdf
    •	NIST 800-63 B - Authentication and Lifecycle Management - https://nvlpubs.nist.gov/nistpubs/SpecialPublications/NIST.SP.800-63b.pdf
    •	NIST 800-63 C - Federation and Assertions - https://nvlpubs.nist.gov/nistpubs/SpecialPublications/NIST.SP.800-63c.pdf
    •	NIST 800-63 FAQ - https://pages.nist.gov/800-63-FAQ/
    •	OWASP Testing Guide 4.0: Testing for Authentication - https://www.owasp.org/index.php/Testing_for_authentication
    •	OWASP Cheat Sheet - Password storage - https://www.owasp.org/index.php/Password_Storage_Cheat_Sheet
    •	OWASP Cheat Sheet - Forgot password - https://www.owasp.org/index.php/Forgot_Password_Cheat_Sheet
    •	OWASP Cheat Sheet - Choosing and using security questions - https://www.owasp.org/index.php/Choosing_and_Using_Security_Questions_Cheat_Sheet</t>
  </si>
  <si>
    <t>Session Management Verification Requirements</t>
  </si>
  <si>
    <t>Fundamental Session Management Requirements</t>
  </si>
  <si>
    <t>V3.1</t>
  </si>
  <si>
    <t>3.1.1</t>
  </si>
  <si>
    <t>Verify the application never reveals session tokens in URL parameters or error messages.</t>
  </si>
  <si>
    <t>V3.2</t>
  </si>
  <si>
    <t>Session Binding Requirements</t>
  </si>
  <si>
    <t>3.2.1</t>
  </si>
  <si>
    <t>Verify the application generates a new session token on user authentication. (C6)</t>
  </si>
  <si>
    <t>3.2.2</t>
  </si>
  <si>
    <t>Verify that session tokens possess at least 64 bits of entropy. (C6)</t>
  </si>
  <si>
    <t>3.2.3</t>
  </si>
  <si>
    <t>Verify the application only stores session tokens in the browser using secure methods such as appropriately secured cookies (see section 3.4) or HTML 5 session storage.</t>
  </si>
  <si>
    <t>3.2.4</t>
  </si>
  <si>
    <t>Verify that session token are generated using approved cryptographic algorithms. (C6)</t>
  </si>
  <si>
    <t>V3.3</t>
  </si>
  <si>
    <t>Session Logout and Timeout Requirements</t>
  </si>
  <si>
    <t>3.3.1</t>
  </si>
  <si>
    <t>Verify that logout and expiration invalidate the session token, such that the back button or a downstream relying party does not resume an authenticated session, including across relying parties. (C6)</t>
  </si>
  <si>
    <t>3.3.2</t>
  </si>
  <si>
    <t>If authenticators permit users to remain logged in, verify that re-authentication occurs periodically both when actively used or after an idle period. (C6)</t>
  </si>
  <si>
    <t>3.3.3</t>
  </si>
  <si>
    <t>Verify that the application terminates all other active sessions after a successful password change, and that this is effective across the application, federated login (if present), and any relying parties.</t>
  </si>
  <si>
    <t>3.3.4</t>
  </si>
  <si>
    <t>Verify that users are able to view and log out of any or all currently active sessions and devices.</t>
  </si>
  <si>
    <t>V3.4</t>
  </si>
  <si>
    <t>Cookie-based Session Management</t>
  </si>
  <si>
    <t>3.4.1</t>
  </si>
  <si>
    <t>Verify that cookie-based session tokens have the 'Secure' attribute set. (C6)</t>
  </si>
  <si>
    <t>7.1.1</t>
  </si>
  <si>
    <t>3.4.2</t>
  </si>
  <si>
    <t>Verify that cookie-based session tokens have the 'HttpOnly' attribute set. (C6)</t>
  </si>
  <si>
    <t>3.4.3</t>
  </si>
  <si>
    <t>Verify that cookie-based session tokens utilize the 'SameSite' attribute to limit exposure to cross-site request forgery attacks. (C6)</t>
  </si>
  <si>
    <t>3.4.4</t>
  </si>
  <si>
    <t>Verify that cookie-based session tokens use "__Host-" prefix (see references) to provide session cookie confidentiality.</t>
  </si>
  <si>
    <t>3.4.5</t>
  </si>
  <si>
    <t>Verify that if the application is published under a domain name with other applications that set or use session cookies that might override or disclose the session cookies, set the path attribute in cookie-based session tokens using the most precise path possible. (C6)</t>
  </si>
  <si>
    <t>V3.5</t>
  </si>
  <si>
    <t>Token-based Session Management</t>
  </si>
  <si>
    <t>3.5.1</t>
  </si>
  <si>
    <t>Verify the application does not treat OAuth and refresh tokens — on their own — as the presence of the subscriber and allows users to terminate trust relationships with linked applications.</t>
  </si>
  <si>
    <t>7.1.2</t>
  </si>
  <si>
    <t>3.5.2</t>
  </si>
  <si>
    <t>Verify the application uses session tokens rather than static API secrets and keys, except with legacy implementations.</t>
  </si>
  <si>
    <t>3.5.3</t>
  </si>
  <si>
    <t>Verify that stateless session tokens use digital signatures, encryption, and other countermeasures to protect against tampering, enveloping, replay, null cipher, and key substitution attacks.</t>
  </si>
  <si>
    <t>V3.6</t>
  </si>
  <si>
    <t>Re-authentication from a Federation or Assertion</t>
  </si>
  <si>
    <t>3.6.1</t>
  </si>
  <si>
    <t>Verify that relying parties specify the maximum authentication time to CSPs and that CSPs re-authenticate the subscriber if they haven't used a session within that period.</t>
  </si>
  <si>
    <t>7.2.1</t>
  </si>
  <si>
    <t>3.6.2</t>
  </si>
  <si>
    <t>Verify that CSPs inform relying parties of the last authentication event, to allow RPs to determine if they need to re-authenticate the user.</t>
  </si>
  <si>
    <t>V3.7</t>
  </si>
  <si>
    <t>Defenses Against Session Management Exploits</t>
  </si>
  <si>
    <t>3.7.1</t>
  </si>
  <si>
    <t>Verify the application ensures a valid login session or requires re-authentication or secondary verification before allowing any sensitive transactions or account modifications.</t>
  </si>
  <si>
    <t>For more information, see also:
    •	OWASP Testing Guide 4.0: Session Management Testing - https://www.owasp.org/index.php/Testing_for_Session_Management
    •	OWASP Session Management Cheat Sheet - https://www.owasp.org/index.php/Session_Management_Cheat_Sheet
    •	Set-Cookie __Host- prefix details - https://developer.mozilla.org/en-US/docs/Web/HTTP/Headers/Set-Cookie#Directives</t>
  </si>
  <si>
    <t>Access Control Verification Requirements</t>
  </si>
  <si>
    <t>V4.1</t>
  </si>
  <si>
    <t>General Access Control Design</t>
  </si>
  <si>
    <t>4.1.1</t>
  </si>
  <si>
    <t>Verify that the application enforces access control rules on a trusted service layer, especially if client-side access control is present and could be bypassed.</t>
  </si>
  <si>
    <t>4.1.2</t>
  </si>
  <si>
    <t>4.1.3</t>
  </si>
  <si>
    <t>Verify that the principle of least privilege exists - users should only be able to access functions, data files, URLs, controllers, services, and other resources, for which they possess specific authorization. This implies protection against spoofing and elevation of privilege. (C7)</t>
  </si>
  <si>
    <t>4.1.4</t>
  </si>
  <si>
    <t>Verify that the principle of deny by default exists whereby new users/roles start with minimal or no permissions and users/roles do not receive access to new features until access is explicitly assigned. (C7)</t>
  </si>
  <si>
    <t>4.1.5</t>
  </si>
  <si>
    <t>Verify that access controls fail securely including when an exception occurs. (C10)</t>
  </si>
  <si>
    <t>V4.2</t>
  </si>
  <si>
    <t>Operation Level Access Control</t>
  </si>
  <si>
    <t>4.2.1</t>
  </si>
  <si>
    <t>Verify that sensitive data and APIs are protected against direct object attacks targeting creation, reading, updating and deletion of records, such as creating or updating someone else's record, viewing everyone's records, or deleting all records.</t>
  </si>
  <si>
    <t>4.2.2</t>
  </si>
  <si>
    <t>Verify that the application or framework enforces a strong anti-CSRF mechanism to protect authenticated functionality, and effective anti-automation or anti-CSRF protects unauthenticated functionality.</t>
  </si>
  <si>
    <t>V4.3</t>
  </si>
  <si>
    <t>Other Access Control Considerations</t>
  </si>
  <si>
    <t>4.3.1</t>
  </si>
  <si>
    <t>Verify administrative interfaces use appropriate multi-factor authentication to prevent unauthorized use.</t>
  </si>
  <si>
    <t>4.3.2</t>
  </si>
  <si>
    <t>4.3.3</t>
  </si>
  <si>
    <t>For more information, see also:
    •	OWASP Testing Guide 4.0: Authorization - https://www.owasp.org/index.php/Testing_for_Authorization
    •	OWASP Cheat Sheet: Access Control - https://www.owasp.org/index.php/Access_Control_Cheat_Sheet
    •	OWASP CSRF Cheat Sheet - https://www.owasp.org/index.php/Cross-Site_Request_Forgery_(CSRF)_Prevention_Cheat_Sheet
    •	OWASP REST Cheat Sheet - https://www.owasp.org/index.php/REST_Security_Cheat_Sheet</t>
  </si>
  <si>
    <t>Validation, Sanitization and Encoding Verification Requirements</t>
  </si>
  <si>
    <t>V5.1</t>
  </si>
  <si>
    <t>Input Validation Requirements</t>
  </si>
  <si>
    <t>5.1.1</t>
  </si>
  <si>
    <t>Verify that the application has defenses against HTTP parameter pollution attacks, particularly if the application framework makes no distinction about the source of request parameters (GET, POST, cookies, headers, or environment variables).</t>
  </si>
  <si>
    <t>5.1.2</t>
  </si>
  <si>
    <t>Verify that frameworks protect against mass parameter assignment attacks, or that the application has countermeasures to protect against unsafe parameter assignment, such as marking fields private or similar. (C5)</t>
  </si>
  <si>
    <t>5.1.3</t>
  </si>
  <si>
    <t>Verify that all input (HTML form fields, REST requests, URL parameters, HTTP headers, cookies, batch files, RSS feeds, etc) is validated using positive validation (whitelisting). (C5)</t>
  </si>
  <si>
    <t>5.1.4</t>
  </si>
  <si>
    <t>Verify that structured data is strongly typed and validated against a defined schema including allowed characters, length and pattern (e.g. credit card numbers or telephone, or validating that two related fields are reasonable, such as checking that suburb and zip/postcode match). (C5)</t>
  </si>
  <si>
    <t>5.1.5</t>
  </si>
  <si>
    <t>Verify that all untrusted HTML input from WYSIWYG editors or similar is properly sanitized with an HTML sanitizer library or framework feature. (C5)</t>
  </si>
  <si>
    <t>5.2.2</t>
  </si>
  <si>
    <t>Verify that unstructured data is sanitized to enforce safety measures such as allowed characters and length.</t>
  </si>
  <si>
    <t>Verify that the application sanitizes user input before passing to mail systems to protect against SMTP or IMAP injection.</t>
  </si>
  <si>
    <t>5.2.4</t>
  </si>
  <si>
    <t>Verify that the application avoids the use of eval() or other dynamic code execution features. Where there is no alternative, any user input being included must be sanitized or sandboxed before being executed.</t>
  </si>
  <si>
    <t>Verify that the application protects against template injection attacks by ensuring that any user input being included is sanitized or sandboxed.</t>
  </si>
  <si>
    <t>Verify that the application protects against SSRF attacks, by validating or sanitizing untrusted data or HTTP file metadata, such as filenames and URL input fields, use whitelisting of protocols, domains, paths and ports.</t>
  </si>
  <si>
    <t>5.2.7</t>
  </si>
  <si>
    <t>Verify that the application sanitizes, disables, or sandboxes user-supplied SVG scriptable content, especially as they relate to XSS resulting from inline scripts, and foreignObject.</t>
  </si>
  <si>
    <t>Verify that the application sanitizes, disables, or sandboxes user-supplied scriptable or expression template language content, such as Markdown, CSS or XSL stylesheets, BBCode, or similar.</t>
  </si>
  <si>
    <t>Output encoding and Injection Prevention Requirements</t>
  </si>
  <si>
    <t>V5.3</t>
  </si>
  <si>
    <t>5.3.1</t>
  </si>
  <si>
    <t>Verify that output encoding is relevant for the interpreter and context required. For example, use encoders specifically for HTML values, HTML attributes, JavaScript, URL Parameters, HTTP headers, SMTP, and others as the context requires, especially from untrusted inputs (e.g. names with Unicode or apostrophes, such as ねこ or O'Hara). (C4)</t>
  </si>
  <si>
    <t>5.3.2</t>
  </si>
  <si>
    <t>Verify that output encoding preserves the user's chosen character set and locale, such that any Unicode character point is valid and safely handled. (C4)</t>
  </si>
  <si>
    <t>5.3.3</t>
  </si>
  <si>
    <t>Verify that context-aware, preferably automated - or at worst, manual - output escaping protects against reflected, stored, and DOM based XSS. (C4)</t>
  </si>
  <si>
    <t>5.3.4</t>
  </si>
  <si>
    <t>Verify that data selection or database queries (e.g. SQL, HQL, ORM, NoSQL) use parameterized queries, ORMs, entity frameworks, or are otherwise protected from database injection attacks. (C3)</t>
  </si>
  <si>
    <t>5.3.5</t>
  </si>
  <si>
    <t>Verify that where parameterized or safer mechanisms are not present, context-specific output encoding is used to protect against injection attacks, such as the use of SQL escaping to protect against SQL injection. (C3, C4)</t>
  </si>
  <si>
    <t>5.3.6</t>
  </si>
  <si>
    <t>Verify that the application projects against JavaScript or JSON injection attacks, including for eval attacks, remote JavaScript includes, CSP bypasses, DOM XSS, and JavaScript expression evaluation. (C4)</t>
  </si>
  <si>
    <t>5.3.7</t>
  </si>
  <si>
    <t>Verify that the application protects against LDAP Injection vulnerabilities, or that specific security controls to prevent LDAP Injection have been implemented. (C4)</t>
  </si>
  <si>
    <t>5.3.8</t>
  </si>
  <si>
    <t>Verify that the application protects against OS command injection and that operating system calls use parameterized OS queries or use contextual command line output encoding. (C4)</t>
  </si>
  <si>
    <t>5.3.9</t>
  </si>
  <si>
    <t>Verify that the application protects against Local File Inclusion (LFI) or Remote File Inclusion (RFI) attacks.</t>
  </si>
  <si>
    <t>5.3.10</t>
  </si>
  <si>
    <t>Verify that the application protects against XPath injection or XML injection attacks. (C4)</t>
  </si>
  <si>
    <t>V5.4</t>
  </si>
  <si>
    <t>Memory, String, and Unmanaged Code Requirements</t>
  </si>
  <si>
    <t>5.4.1</t>
  </si>
  <si>
    <t>Verify that the application uses memory-safe string, safer memory copy and pointer arithmetic to detect or prevent stack, buffer, or heap overflows.</t>
  </si>
  <si>
    <t>5.4.2</t>
  </si>
  <si>
    <t>Verify that format strings do not take potentially hostile input, and are constant.</t>
  </si>
  <si>
    <t>5.4.3</t>
  </si>
  <si>
    <t>Verify that sign, range, and input validation techniques are used to prevent integer overflows.</t>
  </si>
  <si>
    <t>V5.5</t>
  </si>
  <si>
    <t>Deserialization Prevention Requirements</t>
  </si>
  <si>
    <t>5.5.1</t>
  </si>
  <si>
    <t>Verify that serialized objects use integrity checks or are encrypted to prevent hostile object creation or data tampering. (C5)</t>
  </si>
  <si>
    <t>5.5.2</t>
  </si>
  <si>
    <t>Verify that the application correctly restricts XML parsers to only use the most restrictive configuration possible and to ensure that unsafe features such as resolving external entities are disabled to prevent XXE.</t>
  </si>
  <si>
    <t>5.5.3</t>
  </si>
  <si>
    <t>Verify that deserialization of untrusted data is avoided or is protected in both custom code and third-party libraries (such as JSON, XML and YAML parsers).</t>
  </si>
  <si>
    <t>5.5.4</t>
  </si>
  <si>
    <t>Verify that when parsing JSON in browsers or JavaScript-based backends, JSON.parse is used to parse the JSON document. Do not use eval() to parse JSON.</t>
  </si>
  <si>
    <t>For more information, see also:
    •	OWASP Testing Guide 4.0: Input Validation Testing - https://www.owasp.org/index.php/Testing_for_Input_Validation
    •	OWASP Cheat Sheet: Input Validation - https://www.owasp.org/index.php/Input_Validation_Cheat_Sheet
    •	OWASP Testing Guide 4.0: Testing for HTTP Parameter Pollution - https://www.owasp.org/index.php/Testing_for_HTTP_Parameter_pollution_%28OTG-INPVAL-004%29
    •	OWASP LDAP Injection Cheat Sheet - https://www.owasp.org/index.php/LDAP_Injection_Prevention_Cheat_Sheet
    •	OWASP Testing Guide 4.0: Client Side Testing - https://www.owasp.org/index.php/Client_Side_Testing
    •	OWASP Cross Site Scripting Prevention Cheat Sheet - https://www.owasp.org/index.php/XSS_%28Cross_Site_Scripting%29_Prevention_Cheat_Sheet
    •	OWASP DOM Based Cross Site Scripting Prevention Cheat Sheet - https://www.owasp.org/index.php/DOM_based_XSS_Prevention_Cheat_Sheet
    •	OWASP Java Encoding Project - https://www.owasp.org/index.php/OWASP_Java_Encoder_Project
    •	OWASP Mass Assignment Prevention Cheat Sheet - https://www.owasp.org/index.php/Mass_Assignment_Cheat_Sheet
    •	DOMPurify - Client-side HTML Sanitization Library - https://github.com/cure53/DOMPurify
    •	XML External Entity (XXE) Prevention Cheat Sheet) - https://www.owasp.org/index.php/XML_External_Entity_(XXE)_Prevention_Cheat_Sheet
For more information on auto-escaping, please see:
    •	Reducing XSS by way of Automatic Context-Aware Escaping in Template Systems - https://googleonlinesecurity.blogspot.com/2009/03/reducing-xss-by-way-of-automatic.html
    •	AngularJS Strict Contextual Escaping - https://docs.angularjs.org/api/ng/service/$sce
    •	AngularJS ngBind - https://docs.angularjs.org/api/ng/directive/ngBind
    •	Angular Sanitization - https://angular.io/guide/security#sanitization-and-security-contexts
    •	Angular Template Security - https://angular.io/guide/template-syntax#content-security
    •	ReactJS Escaping - https://reactjs.org/docs/introducing-jsx.html#jsx-prevents-injection-attacks
    •	Improperly Controlled Modification of Dynamically-Determined Object Attributes - https://cwe.mitre.org/data/definitions/915.html
For more information on deserialization, please see:
    •	OWASP Deserialization Cheat Sheet - https://www.owasp.org/index.php/Deserialization_Cheat_Sheet
    •	OWASP Deserialization of Untrusted Data Guide - https://www.owasp.org/index.php/Deserialization_of_untrusted_data</t>
  </si>
  <si>
    <t>Stored Cryptography Verification Requirements</t>
  </si>
  <si>
    <t>V6</t>
  </si>
  <si>
    <t>V6.</t>
  </si>
  <si>
    <t>V6.1</t>
  </si>
  <si>
    <t>Data Classification</t>
  </si>
  <si>
    <t>6.1.1</t>
  </si>
  <si>
    <t>Verify that regulated private data is stored encrypted while at rest, such as personally identifiable information (PII), sensitive personal information, or data assessed likely to be subject to EU's GDPR.</t>
  </si>
  <si>
    <t>6.1.2</t>
  </si>
  <si>
    <t>Verify that regulated health data is stored encrypted while at rest, such as medical records, medical device details, or de-anonymized research records.</t>
  </si>
  <si>
    <t>Verify that regulated financial data is stored encrypted while at rest, such as financial accounts, defaults or credit history, tax records, pay history, beneficiaries, or de-anonymized market or research records.</t>
  </si>
  <si>
    <t>V6.2</t>
  </si>
  <si>
    <t>Algorithms</t>
  </si>
  <si>
    <t>6.2.1</t>
  </si>
  <si>
    <t>Verify that all cryptographic modules fail securely, and errors are handled in a way that does not enable Padding Oracle attacks.</t>
  </si>
  <si>
    <t>6.2.2</t>
  </si>
  <si>
    <t>Verify that industry proven or government approved cryptographic algorithms, modes, and libraries are used, instead of custom coded cryptography. (C8)</t>
  </si>
  <si>
    <t>6.2.3</t>
  </si>
  <si>
    <t>Verify that encryption initialization vector, cipher configuration, and block modes are configured securely using the latest advice.</t>
  </si>
  <si>
    <t>6.2.4</t>
  </si>
  <si>
    <t>Verify that random number, encryption or hashing algorithms, key lengths, rounds, ciphers or modes, can be reconfigured, upgraded, or swapped at any time, to protect against cryptographic breaks. (C8)</t>
  </si>
  <si>
    <t>6.2.5</t>
  </si>
  <si>
    <t>Verify that known insecure block modes (i.e. ECB, etc.), padding modes (i.e. PKCS#1 v1.5, etc.), ciphers with small block sizes (i.e. Triple-DES, Blowfish, etc.), and weak hashing algorithms (i.e. MD5, SHA1, etc.) are not used unless required for backwards compatibility.</t>
  </si>
  <si>
    <t>6.2.6</t>
  </si>
  <si>
    <t>Verify that nonces, initialization vectors, and other single use numbers must not be used more than once with a given encryption key. The method of generation must be appropriate for the algorithm being used.</t>
  </si>
  <si>
    <t>6.2.7</t>
  </si>
  <si>
    <t>Verify that encrypted data is authenticated via signatures, authenticated cipher modes, or HMAC to ensure that ciphertext is not altered by an unauthorized party.</t>
  </si>
  <si>
    <t>6.2.8</t>
  </si>
  <si>
    <t>Verify that all cryptographic operations are constant-time, with no 'short-circuit' operations in comparisons, calculations, or returns, to avoid leaking information.</t>
  </si>
  <si>
    <t>V6.3</t>
  </si>
  <si>
    <t>Random Values</t>
  </si>
  <si>
    <t>6.3.1</t>
  </si>
  <si>
    <t>Verify that all random numbers, random file names, random GUIDs, and random strings are generated using the cryptographic module's approved cryptographically secure random number generator when these random values are intended to be not guessable by an attacker.</t>
  </si>
  <si>
    <t>6.3.2</t>
  </si>
  <si>
    <t>Verify that random GUIDs are created using the GUID v4 algorithm, and a cryptographically-secure pseudo-random number generator (CSPRNG). GUIDs created using other pseudo-random number generators may be predictable.</t>
  </si>
  <si>
    <t>6.3.3</t>
  </si>
  <si>
    <t>V6.4</t>
  </si>
  <si>
    <t>Secret Management</t>
  </si>
  <si>
    <t>6.4.1</t>
  </si>
  <si>
    <t>Verify that a secrets management solution such as a key vault is used to securely create, store, control access to and destroy secrets. (C8)</t>
  </si>
  <si>
    <t>6.4.2</t>
  </si>
  <si>
    <t>Verify that key material is not exposed to the application but instead uses an isolated security module like a vault for cryptographic operations. (C8)</t>
  </si>
  <si>
    <t>For more information, see also:
    •	OWASP Testing Guide 4.0: Testing for weak Cryptography - https://www.owasp.org/index.php/Testing_for_weak_Cryptography
    •	OWASP Cheat Sheet: Cryptographic Storage - https://www.owasp.org/index.php/Cryptographic_Storage_Cheat_Sheet
    •	FIPS 140-2 - https://csrc.nist.gov/publications/detail/fips/140/2/final</t>
  </si>
  <si>
    <t>Error Handling and Logging Verification Requirements</t>
  </si>
  <si>
    <t>V7.1</t>
  </si>
  <si>
    <t>Log Content Requirements</t>
  </si>
  <si>
    <t>Verify that the application does not log credentials or payment details. Session tokens should only be stored in logs in an irreversible, hashed form. (C9, C10)</t>
  </si>
  <si>
    <t>Verify that the application does not log other sensitive data as defined under local privacy laws or relevant security policy. (C9)</t>
  </si>
  <si>
    <t>7.1.3</t>
  </si>
  <si>
    <t>Verify that the application logs security relevant events including successful and failed authentication events, access control failures, deserialization failures and input validation failures. (C5, C7)</t>
  </si>
  <si>
    <t>7.1.4</t>
  </si>
  <si>
    <t>Verify that each log event includes necessary information that would allow for a detailed investigation of the timeline when an event happens. (C9)</t>
  </si>
  <si>
    <t>V7.2</t>
  </si>
  <si>
    <t>Log Processing Requirements</t>
  </si>
  <si>
    <t>Verify that all authentication decisions are logged, without storing sensitive session identifiers or passwords. This should include requests with relevant metadata needed for security investigations.</t>
  </si>
  <si>
    <t>7.2.2</t>
  </si>
  <si>
    <t>Verify that all access control decisions can be logged and all failed decisions are logged. This should include requests with relevant metadata needed for security investigations.</t>
  </si>
  <si>
    <t>V7.3</t>
  </si>
  <si>
    <t>Log Protection Requirements</t>
  </si>
  <si>
    <t>7.3.1</t>
  </si>
  <si>
    <t>Verify that the application appropriately encodes user-supplied data to prevent log injection. (C9)</t>
  </si>
  <si>
    <t>7.3.2</t>
  </si>
  <si>
    <t>Verify that all events are protected from injection when viewed in log viewing software. (C9)</t>
  </si>
  <si>
    <t>7.3.3</t>
  </si>
  <si>
    <t>Verify that security logs are protected from unauthorized access and modification. (C9)</t>
  </si>
  <si>
    <t>7.3.4</t>
  </si>
  <si>
    <t>Verify that time sources are synchronized to the correct time and time zone. Strongly consider logging only in UTC if systems are global to assist with post-incident forensic analysis. (C9)</t>
  </si>
  <si>
    <t>V7.4</t>
  </si>
  <si>
    <t>Error Handling</t>
  </si>
  <si>
    <t>7.4.1</t>
  </si>
  <si>
    <t>Verify that a generic message is shown when an unexpected or security sensitive error occurs, potentially with a unique ID which support personnel can use to investigate. (C10)</t>
  </si>
  <si>
    <t>7.4.2</t>
  </si>
  <si>
    <t>Verify that exception handling (or a functional equivalent) is used across the codebase to account for expected and unexpected error conditions. (C10)</t>
  </si>
  <si>
    <t>7.4.3</t>
  </si>
  <si>
    <t>Verify that a "last resort" error handler is defined which will catch all unhandled exceptions. (C10)</t>
  </si>
  <si>
    <t>For more information, see also:
    •	OWASP Testing Guide 4.0 content: Testing for Error Handling - https://www.owasp.org/index.php/Testing_for_Error_Handling</t>
  </si>
  <si>
    <t>Data Protection Verification Requirements</t>
  </si>
  <si>
    <t>V8.1</t>
  </si>
  <si>
    <t>General Data Protection</t>
  </si>
  <si>
    <t>8.1.1</t>
  </si>
  <si>
    <t>Verify the application protects sensitive data from being cached in server components such as load balancers and application caches.</t>
  </si>
  <si>
    <t>8.1.2</t>
  </si>
  <si>
    <t>Verify that all cached or temporary copies of sensitive data stored on the server are protected from unauthorized access or purged/invalidated after the authorized user accesses the sensitive data.</t>
  </si>
  <si>
    <t>8.1.3</t>
  </si>
  <si>
    <t>8.1.4</t>
  </si>
  <si>
    <t>Verify the application can detect and alert on abnormal numbers of requests, such as by IP, user, total per hour or day, or whatever makes sense for the application.</t>
  </si>
  <si>
    <t>8.1.5</t>
  </si>
  <si>
    <t>Verify that regular backups of important data are performed and that test restoration of data is performed.</t>
  </si>
  <si>
    <t>8.1.6</t>
  </si>
  <si>
    <t>Verify that backups are stored securely to prevent data from being stolen or corrupted.</t>
  </si>
  <si>
    <t>V8.2</t>
  </si>
  <si>
    <t>Client-side Data Protection</t>
  </si>
  <si>
    <t>8.2.1</t>
  </si>
  <si>
    <t>Verify the application sets sufficient anti-caching headers so that sensitive data is not cached in modern browsers.</t>
  </si>
  <si>
    <t>8.2.2</t>
  </si>
  <si>
    <t>8.2.3</t>
  </si>
  <si>
    <t>Verify that authenticated data is cleared from client storage, such as the browser DOM, after the client or session is terminated.</t>
  </si>
  <si>
    <t>V8.3</t>
  </si>
  <si>
    <t>Sensitive Private Data</t>
  </si>
  <si>
    <t>8.3.1</t>
  </si>
  <si>
    <t>Verify that sensitive data is sent to the server in the HTTP message body or headers, and that query string parameters from any HTTP verb do not contain sensitive data.</t>
  </si>
  <si>
    <t>8.3.2</t>
  </si>
  <si>
    <t>Verify that users have a method to remove or export their data on demand.</t>
  </si>
  <si>
    <t>8.3.3</t>
  </si>
  <si>
    <t>Verify that users are provided clear language regarding collection and use of supplied personal information and that users have provided opt-in consent for the use of that data before it is used in any way.</t>
  </si>
  <si>
    <t>8.3.4</t>
  </si>
  <si>
    <t>Verify that all sensitive data created and processed by the application has been identified, and ensure that a policy is in place on how to deal with sensitive data. (C8)</t>
  </si>
  <si>
    <t>8.3.5</t>
  </si>
  <si>
    <t>Verify accessing sensitive data is audited (without logging the sensitive data itself), if the data is collected under relevant data protection directives or where logging of access is required.</t>
  </si>
  <si>
    <t>8.3.6</t>
  </si>
  <si>
    <t>Verify that sensitive information contained in memory is overwritten as soon as it is no longer required to mitigate memory dumping attacks, using zeroes or random data.</t>
  </si>
  <si>
    <t>8.3.7</t>
  </si>
  <si>
    <t>Verify that sensitive or private information that is required to be encrypted, is encrypted using approved algorithms that provide both confidentiality and integrity. (C8)</t>
  </si>
  <si>
    <t>8.3.8</t>
  </si>
  <si>
    <t>Verify that sensitive personal information is subject to data retention classification, such that old or out of date data is deleted automatically, on a schedule, or as the situation requires.</t>
  </si>
  <si>
    <t>For more information, see also:
    •	Consider using Security Headers website to check security and anti-caching headers - https://securityheaders.io/
    •	OWASP Secure Headers project - https://www.owasp.org/index.php/OWASP_Secure_Headers_Project
    •	OWASP Privacy Risks Project - https://www.owasp.org/index.php/OWASP_Top_10_Privacy_Risks_Project
    •	OWASP User Privacy Protection Cheat Sheet - https://www.owasp.org/index.php/User_Privacy_Protection_Cheat_Sheet
    •	European Union General Data Protection Regulation (GDPR) overview - https://edps.europa.eu/data-protection_en
    •	European Union Data Protection Supervisor - Internet Privacy Engineering Network - https://edps.europa.eu/data-protection/ipen-internet-privacy-engineering-network_en</t>
  </si>
  <si>
    <t>Communications Verification Requirements</t>
  </si>
  <si>
    <t>V9.1</t>
  </si>
  <si>
    <t>Communications Security Requirements</t>
  </si>
  <si>
    <t>9.1.1</t>
  </si>
  <si>
    <t>Verify that secured TLS is used for all client connectivity, and does not fall back to insecure or unencrypted protocols. (C8)</t>
  </si>
  <si>
    <t>9.1.2</t>
  </si>
  <si>
    <t>Verify using online or up to date TLS testing tools that only strong algorithms, ciphers, and protocols are enabled, with the strongest algorithms and ciphers set as preferred.</t>
  </si>
  <si>
    <t>9.1.3</t>
  </si>
  <si>
    <t>Verify that old versions of SSL and TLS protocols, algorithms, ciphers, and configuration are disabled, such as SSLv2, SSLv3, or TLS 1.0 and TLS 1.1. The latest version of TLS should be the preferred cipher suite.</t>
  </si>
  <si>
    <t>V9.2</t>
  </si>
  <si>
    <t>Server Communications Security Requirements</t>
  </si>
  <si>
    <t>9.2.1</t>
  </si>
  <si>
    <t>Verify that connections to and from the server use trusted TLS certificates. Where internally generated or self-signed certificates are used, the server must be configured to only trust specific internal CAs and specific self-signed certificates. All others should be rejected.</t>
  </si>
  <si>
    <t>9.2.2</t>
  </si>
  <si>
    <t>Verify that encrypted communications such as TLS is used for all inbound and outbound connections, including for management ports, monitoring, authentication, API, or web service calls, database, cloud, serverless, mainframe, external, and partner connections. The server must not fall back to insecure or unencrypted protocols.</t>
  </si>
  <si>
    <t>9.2.3</t>
  </si>
  <si>
    <t>Verify that all encrypted connections to external systems that involve sensitive information or functions are authenticated.</t>
  </si>
  <si>
    <t>9.2.4</t>
  </si>
  <si>
    <t>9.2.5</t>
  </si>
  <si>
    <t>For more information, see also:
    •	OWASP – TLS Cheat Sheet - https://www.owasp.org/index.php/Transport_Layer_Protection_Cheat_Sheet
    •	Notes on “Approved modes of TLS”. In the past, the ASVS referred to the US standard FIPS 140-2, but as a global standard, applying US standards can be difficult, contradictory, or confusing to apply. A better method of achieving compliance with 9.1.3 would be to review guides such as Mozilla's Server Side TLS or generate known good configurations, and use known TLS evaluation tools, such as sslyze, various vulnerability scanners or trusted TLS online assessment services to obtain a desired level of security. In general, we see non-compliance for this section being the use of outdated or insecure ciphers and algorithms, the lack of perfect forward secrecy, outdated or insecure SSL protocols, weak preferred ciphers, and so on. - https://wiki.mozilla.org/Security/Server_Side_TLS https://mozilla.github.io/server-side-tls/ssl-config-generator/</t>
  </si>
  <si>
    <t>Malicious Code Verification Requirements</t>
  </si>
  <si>
    <t>10.1.1</t>
  </si>
  <si>
    <t>Verify that a code analysis tool is in use that can detect potentially malicious code, such as time functions, unsafe file operations and network connections.</t>
  </si>
  <si>
    <t>Code Integrity Controls</t>
  </si>
  <si>
    <t>V10.1</t>
  </si>
  <si>
    <t>V10.2</t>
  </si>
  <si>
    <t>Malicious Code Search</t>
  </si>
  <si>
    <t>10.2.1</t>
  </si>
  <si>
    <t>Verify that the application source code and third party libraries do not contain unauthorized phone home or data collection capabilities. Where such functionality exists, obtain the user's permission for it to operate before collecting any data.</t>
  </si>
  <si>
    <t>10.2.2</t>
  </si>
  <si>
    <t>Verify that the application does not ask for unnecessary or excessive permissions to privacy related features or sensors, such as contacts, cameras, microphones, or location.</t>
  </si>
  <si>
    <t>10.2.3</t>
  </si>
  <si>
    <t>Verify that the application source code and third party libraries do not contain back doors, such as hard-coded or additional undocumented accounts or keys, code obfuscation, undocumented binary blobs, rootkits, or anti-debugging, insecure debugging features, or otherwise out of date, insecure, or hidden functionality that could be used maliciously if discovered.</t>
  </si>
  <si>
    <t>10.2.4</t>
  </si>
  <si>
    <t>Verify that the application source code and third party libraries does not contain time bombs by searching for date and time related functions.</t>
  </si>
  <si>
    <t>10.2.5</t>
  </si>
  <si>
    <t>Verify that the application source code and third party libraries does not contain malicious code, such as salami attacks, logic bypasses, or logic bombs.</t>
  </si>
  <si>
    <t>10.2.6</t>
  </si>
  <si>
    <t>Verify that the application source code and third party libraries do not contain Easter eggs or any other potentially unwanted functionality.</t>
  </si>
  <si>
    <t>V10.3</t>
  </si>
  <si>
    <t>Deployed Application Integrity Controls</t>
  </si>
  <si>
    <t>10.3.1</t>
  </si>
  <si>
    <t>Verify that if the application has a client or server auto-update feature, updates should be obtained over secure channels and digitally signed. The update code must validate the digital signature of the update before installing or executing the update.</t>
  </si>
  <si>
    <t>10.3.2</t>
  </si>
  <si>
    <t>Verify that the application employs integrity protections, such as code signing or sub-resource integrity. The application must not load or execute code from untrusted sources, such as loading includes, modules, plugins, code, or libraries from untrusted sources or the Internet.</t>
  </si>
  <si>
    <t>10.3.3</t>
  </si>
  <si>
    <r>
      <t>Verify that the application has protection from sub-domain takeovers if the application relies upon DNS entries or DNS sub-domains, such as expired domain names, out of date DNS pointers or CNAMEs, expired projects at public source code repos, or transient cloud APIs, serverless functions, or storage buckets (</t>
    </r>
    <r>
      <rPr>
        <i/>
        <sz val="10"/>
        <color theme="1"/>
        <rFont val="Calibri"/>
        <family val="2"/>
        <scheme val="minor"/>
      </rPr>
      <t>autogen-bucket-id</t>
    </r>
    <r>
      <rPr>
        <sz val="10"/>
        <color theme="1"/>
        <rFont val="Calibri"/>
        <family val="2"/>
        <scheme val="minor"/>
      </rPr>
      <t>.cloud.example.com) or similar. Protections can include ensuring that DNS names used by applications are regularly checked for expiry or change.</t>
    </r>
  </si>
  <si>
    <t xml:space="preserve">    •	Hostile Sub-Domain Takeover, Detectify Labs - https://labs.detectify.com/2014/10/21/hostile-subdomain-takeover-using-herokugithubdesk-more/
    •	Hijacking of abandoned subdomains part 2, Detectify Labs - https://labs.detectify.com/2014/12/08/hijacking-of-abandoned-subdomains-part-2/</t>
  </si>
  <si>
    <t>Business Logic Verification Requirements</t>
  </si>
  <si>
    <t>V11.1</t>
  </si>
  <si>
    <t>Business Logic Security Requirements</t>
  </si>
  <si>
    <t>11.1.1</t>
  </si>
  <si>
    <t>Verify the application will only process business logic flows for the same user in sequential step order and without skipping steps.</t>
  </si>
  <si>
    <t>11.1.2</t>
  </si>
  <si>
    <t>Verify the application will only process business logic flows with all steps being processed in realistic human time, i.e. transactions are not submitted too quickly.</t>
  </si>
  <si>
    <t>11.1.3</t>
  </si>
  <si>
    <t>Verify the application has appropriate limits for specific business actions or transactions which are correctly enforced on a per user basis.</t>
  </si>
  <si>
    <t>11.1.4</t>
  </si>
  <si>
    <t>Verify the application has sufficient anti-automation controls to detect and protect against data exfiltration, excessive business logic requests, excessive file uploads or denial of service attacks.</t>
  </si>
  <si>
    <t>11.1.5</t>
  </si>
  <si>
    <t>Verify the application has business logic limits or validation to protect against likely business risks or threats, identified using threat modelling or similar methodologies.</t>
  </si>
  <si>
    <t>11.1.6</t>
  </si>
  <si>
    <t>Verify the application does not suffer from "time of check to time of use" (TOCTOU) issues or other race conditions for sensitive operations.</t>
  </si>
  <si>
    <t>11.1.7</t>
  </si>
  <si>
    <t>Verify the application monitors for unusual events or activity from a business logic perspective. For example, attempts to perform actions out of order or actions which a normal user would never attempt. (C9)</t>
  </si>
  <si>
    <t>11.1.8</t>
  </si>
  <si>
    <t>Verify the application has configurable alerting when automated attacks or unusual activity is detected.</t>
  </si>
  <si>
    <t>For more information, see also:
    •	OWASP Testing Guide 4.0: Business Logic Testing - https://www.owasp.org/index.php/Testing_for_business_logic
    •	OWASP Cheat Sheet - https://www.owasp.org/index.php/Business_Logic_Security_Cheat_Sheet
    •	Anti-automation can be achieved in many ways, including the use of OWASP AppSensor and OWASP Automated Threats to Web Applications - https://www.owasp.org/index.php/OWASP_AppSensor_Project  https://www.owasp.org/index.php/OWASP_Automated_Threats_to_Web_Applications
    •	OWASP AppSensor can also help with Attack Detection and Response. - https://www.owasp.org/index.php/OWASP_AppSensor_Project
    •	OWASP Cornucopia - https://www.owasp.org/index.php/OWASP_Cornucopia</t>
  </si>
  <si>
    <t>V12.</t>
  </si>
  <si>
    <t>File and Resources Verification Requirements</t>
  </si>
  <si>
    <t>V12</t>
  </si>
  <si>
    <t>V12.1</t>
  </si>
  <si>
    <t>File Upload Requirements</t>
  </si>
  <si>
    <t>12.1.1</t>
  </si>
  <si>
    <t>Verify that the application will not accept large files that could fill up storage or cause a denial of service attack.</t>
  </si>
  <si>
    <t>12.1.2</t>
  </si>
  <si>
    <t>Verify that compressed files are checked for "zip bombs" - small input files that will decompress into huge files thus exhausting file storage limits.</t>
  </si>
  <si>
    <t>12.1.3</t>
  </si>
  <si>
    <t>Verify that a file size quota and maximum number of files per user is enforced to ensure that a single user cannot fill up the storage with too many files, or excessively large files.</t>
  </si>
  <si>
    <t>V12.2</t>
  </si>
  <si>
    <t>File Integrity Requirements</t>
  </si>
  <si>
    <t>12.2.1</t>
  </si>
  <si>
    <t>Verify that files obtained from untrusted sources are validated to be of expected type based on the file's content.</t>
  </si>
  <si>
    <t>V12.3</t>
  </si>
  <si>
    <t>File execution Requirements</t>
  </si>
  <si>
    <t>12.3.1</t>
  </si>
  <si>
    <t>Verify that user-submitted filename metadata is not used directly with system or framework file and URL API to protect against path traversal.</t>
  </si>
  <si>
    <t>12.3.2</t>
  </si>
  <si>
    <t>Verify that user-submitted filename metadata is validated or ignored to prevent the disclosure, creation, updating or removal of local files (LFI).</t>
  </si>
  <si>
    <t>12.3.3</t>
  </si>
  <si>
    <t>Verify that user-submitted filename metadata is validated or ignored to prevent the disclosure or execution of remote files (RFI), which may also lead to SSRF.</t>
  </si>
  <si>
    <t>12.3.4</t>
  </si>
  <si>
    <t>Verify that the application protects against reflective file download (RFD) by validating or ignoring user-submitted filenames in a JSON, JSONP, or URL parameter, the response Content-Type header should be set to text/plain, and the Content-Disposition header should have a fixed filename.</t>
  </si>
  <si>
    <t>12.3.5</t>
  </si>
  <si>
    <t>Verify that untrusted file metadata is not used directly with system API or libraries, to protect against OS command injection.</t>
  </si>
  <si>
    <t>12.3.6</t>
  </si>
  <si>
    <t>Verify that the application does not include and execute functionality from untrusted sources, such as unverified content distribution networks, JavaScript libraries, node npm libraries, or server-side DLLs.</t>
  </si>
  <si>
    <t>For more information, see also:
    •	File Extension Handling for Sensitive Information - https://www.owasp.org/index.php/Unrestricted_File_Upload
    •	Reflective file download by Oren Hafif - https://www.trustwave.com/Resources/SpiderLabs-Blog/Reflected-File-Download---A-New-Web-Attack-Vector/
    •	OWASP Third Party JavaScript Management Cheat Sheet - https://www.owasp.org/index.php/3rd_Party_Javascript_Management_Cheat_Sheet</t>
  </si>
  <si>
    <t>API and Web Service Verification Requirements</t>
  </si>
  <si>
    <t>V13.1</t>
  </si>
  <si>
    <t>13.1.1</t>
  </si>
  <si>
    <t>Verify that all application components use the same encodings and parsers to avoid parsing attacks that exploit different URI or file parsing behavior that could be used in SSRF and RFI attacks.</t>
  </si>
  <si>
    <t>13.1.2</t>
  </si>
  <si>
    <t>Verify that access to administration and management functions is limited to authorized administrators.</t>
  </si>
  <si>
    <t>13.1.3</t>
  </si>
  <si>
    <t>Verify API URLs do not expose sensitive information, such as the API key, session tokens etc.</t>
  </si>
  <si>
    <t>13.1.4</t>
  </si>
  <si>
    <t>Verify that authorization decisions are made at both the URI, enforced by programmatic or declarative security at the controller or router, and at the resource level, enforced by model-based permissions.</t>
  </si>
  <si>
    <t>13.1.5</t>
  </si>
  <si>
    <t>Verify that requests containing unexpected or missing content types are rejected with appropriate headers (HTTP response status 406 Unacceptable or 415 Unsupported Media Type).</t>
  </si>
  <si>
    <t>Generic Web Service Security Verification Requirements</t>
  </si>
  <si>
    <t>V13.2</t>
  </si>
  <si>
    <t>RESTful Web Service Verification Requirements</t>
  </si>
  <si>
    <t>13.2.1</t>
  </si>
  <si>
    <t>Verify that enabled RESTful HTTP methods are a valid choice for the user or action, such as preventing normal users using DELETE or PUT on protected API or resources.</t>
  </si>
  <si>
    <t>13.2.2</t>
  </si>
  <si>
    <t>Verify that JSON schema validation is in place and verified before accepting input.</t>
  </si>
  <si>
    <t>13.2.3</t>
  </si>
  <si>
    <t>Verify that RESTful web services that utilize cookies are protected from Cross-Site Request Forgery via the use of at least one or more of the following: triple or double submit cookie pattern (see references), CSRF nonces, or ORIGIN request header checks.</t>
  </si>
  <si>
    <t>13.2.4</t>
  </si>
  <si>
    <t>Verify that REST services have anti-automation controls to protect against excessive calls, especially if the API is unauthenticated.</t>
  </si>
  <si>
    <t>13.2.5</t>
  </si>
  <si>
    <t>Verify that REST services explicitly check the incoming Content-Type to be the expected one, such as application/xml or application/JSON.</t>
  </si>
  <si>
    <t>13.2.6</t>
  </si>
  <si>
    <t>Verify that the message headers and payload are trustworthy and not modified in transit. Requiring strong encryption for transport (TLS only) may be sufficient in many cases as it provides both confidentiality and integrity protection. Per-message digital signatures can provide additional assurance on top of the transport protections for high-security applications but bring with them additional complexity and risks to weigh against the benefits.</t>
  </si>
  <si>
    <t>V13.3</t>
  </si>
  <si>
    <t>SOAP Web Service Verification Requirements</t>
  </si>
  <si>
    <t>13.3.1</t>
  </si>
  <si>
    <t>Verify that XSD schema validation takes place to ensure a properly formed XML document, followed by validation of each input field before any processing of that data takes place.</t>
  </si>
  <si>
    <t>13.3.2</t>
  </si>
  <si>
    <t>Verify that the message payload is signed using WS-Security to ensure reliable transport between client and service.</t>
  </si>
  <si>
    <t>V13.4</t>
  </si>
  <si>
    <t>GraphQL and other Web Service Data Layer Security Requirements</t>
  </si>
  <si>
    <t>13.4.1</t>
  </si>
  <si>
    <t>Verify that query whitelisting or a combination of depth limiting and amount limiting should be used to prevent GraphQL or data layer expression denial of service (DoS) as a result of expensive, nested queries. For more advanced scenarios, query cost analysis should be used.</t>
  </si>
  <si>
    <t>13.4.2</t>
  </si>
  <si>
    <t>Verify that GraphQL or other data layer authorization logic should be implemented at the business logic layer instead of the GraphQL layer.</t>
  </si>
  <si>
    <t>References
For more information, see also:
    •	OWASP Serverless Top 10 - https://www.owasp.org/images/5/5c/OWASP-Top-10-Serverless-Interpretation-en.pdf
    •	OWASP Serverless Project - https://www.owasp.org/index.php/OWASP_Serverless_Top_10_Project
    •	OWASP Testing Guide 4.0: Configuration and Deployment Management Testing - https://www.owasp.org/index.php/Testing_for_configuration_management
    •	OWASP Cross-Site Request Forgery cheat sheet - https://github.com/OWASP/CheatSheetSeries/blob/master/cheatsheets/Cross-Site_Request_Forgery_Prevention_Cheat_Sheet.md#triple-submit-cookie
    •	OWASP XML External Entity Prevention Cheat Sheet - General Guidance* JSON Web Tokens (and Signing) - https://github.com/OWASP/CheatSheetSeries/blob/master/cheatsheets/XML_External_Entity_Prevention_Cheat_Sheet.md#general-guidance
    •	REST Security Cheat Sheet - https://www.owasp.org/index.php/REST_Security_Cheat_Sheet
    •	JSON Schema - https://json-schema.org/specification.html
    •	XML DTD Entity Attacks - https://www.vsecurity.com//download/publications/XMLDTDEntityAttacks.pdf
    •	Orange Tsai - A new era of SSRF Exploiting URL Parser In Trending Programming Languages - https://www.blackhat.com/docs/us-17/thursday/us-17-Tsai-A-New-Era-Of-SSRF-Exploiting-URL-Parser-In-Trending-Programming-Languages.pdf</t>
  </si>
  <si>
    <t>V14.</t>
  </si>
  <si>
    <t>Configuration Verification Requirements</t>
  </si>
  <si>
    <t>V14</t>
  </si>
  <si>
    <t>V14.1</t>
  </si>
  <si>
    <t>Build</t>
  </si>
  <si>
    <t>14.1.1</t>
  </si>
  <si>
    <t>Verify that the application build and deployment processes are performed in a secure and repeatable way, such as CI / CD automation, automated configuration management, and automated deployment scripts.</t>
  </si>
  <si>
    <t>14.1.2</t>
  </si>
  <si>
    <t>Verify that compiler flags are configured to enable all available buffer overflow protections and warnings, including stack randomization, data execution prevention, and to break the build if an unsafe pointer, memory, format string, integer, or string operations are found.</t>
  </si>
  <si>
    <t>14.1.3</t>
  </si>
  <si>
    <t>Verify that server configuration is hardened as per the recommendations of the application server and frameworks in use.</t>
  </si>
  <si>
    <t>14.1.4</t>
  </si>
  <si>
    <t>Verify that the application, configuration, and all dependencies can be re-deployed using automated deployment scripts, built from a documented and tested runbook in a reasonable time, or restored from backups in a timely fashion.</t>
  </si>
  <si>
    <t>14.1.5</t>
  </si>
  <si>
    <t>Verify that authorized administrators can verify the integrity of all security-relevant configurations to detect tampering.</t>
  </si>
  <si>
    <t>V14.2</t>
  </si>
  <si>
    <t>Dependency</t>
  </si>
  <si>
    <t>14.2.1</t>
  </si>
  <si>
    <t>Verify that all components are up to date, preferably using a dependency checker during build or compile time. (C2)</t>
  </si>
  <si>
    <t>14.2.2</t>
  </si>
  <si>
    <t>Verify that all unneeded features, documentation, samples, configurations are removed, such as sample applications, platform documentation, and default or example users.</t>
  </si>
  <si>
    <t>14.2.3</t>
  </si>
  <si>
    <t>Verify that if application assets, such as JavaScript libraries, CSS stylesheets or web fonts, are hosted externally on a content delivery network (CDN) or external provider, Subresource Integrity (SRI) is used to validate the integrity of the asset.</t>
  </si>
  <si>
    <t>14.2.4</t>
  </si>
  <si>
    <t>Verify that third party components come from pre-defined, trusted and continually maintained repositories. (C2)</t>
  </si>
  <si>
    <t>14.2.5</t>
  </si>
  <si>
    <t>Verify that an inventory catalog is maintained of all third party libraries in use. (C2)</t>
  </si>
  <si>
    <t>14.2.6</t>
  </si>
  <si>
    <t>Verify that the attack surface is reduced by sandboxing or encapsulating third party libraries to expose only the required behaviour into the application. (C2)</t>
  </si>
  <si>
    <t>V14.3</t>
  </si>
  <si>
    <t>Unintended Security Disclosure Requirements</t>
  </si>
  <si>
    <t>14.3.1</t>
  </si>
  <si>
    <t>Verify that web or application server and framework error messages are configured to deliver user actionable, customized responses to eliminate any unintended security disclosures.</t>
  </si>
  <si>
    <t>14.3.2</t>
  </si>
  <si>
    <t>Verify that web or application server and application framework debug modes are disabled in production to eliminate debug features, developer consoles, and unintended security disclosures.</t>
  </si>
  <si>
    <t>14.3.3</t>
  </si>
  <si>
    <t>V14.4</t>
  </si>
  <si>
    <t>HTTP Security Headers Requirements</t>
  </si>
  <si>
    <t>14.4.1</t>
  </si>
  <si>
    <t>14.4.2</t>
  </si>
  <si>
    <t>Verify that all API responses contain Content-Disposition: attachment; filename="api.json" (or other appropriate filename for the content type).</t>
  </si>
  <si>
    <t>14.4.3</t>
  </si>
  <si>
    <t>Verify that a content security policy (CSPv2) is in place that helps mitigate impact for XSS attacks like HTML, DOM, JSON, and JavaScript injection vulnerabilities.</t>
  </si>
  <si>
    <t>14.4.4</t>
  </si>
  <si>
    <t>Verify that all responses contain X-Content-Type-Options: nosniff.</t>
  </si>
  <si>
    <t>14.4.5</t>
  </si>
  <si>
    <t>Verify that HTTP Strict Transport Security headers are included on all responses and for all subdomains, such as Strict-Transport-Security: max-age=15724800; includeSubdomains.</t>
  </si>
  <si>
    <t>14.4.6</t>
  </si>
  <si>
    <t>Verify that a suitable "Referrer-Policy" header is included, such as "no-referrer" or "same-origin".</t>
  </si>
  <si>
    <t>14.4.7</t>
  </si>
  <si>
    <t>Verify that a suitable X-Frame-Options or Content-Security-Policy: frame-ancestors header is in use for sites where content should not be embedded in a third-party site.</t>
  </si>
  <si>
    <t>V14.5</t>
  </si>
  <si>
    <t>Validate HTTP Request Header Requirements</t>
  </si>
  <si>
    <t>14.5.1</t>
  </si>
  <si>
    <t>Verify that the application server only accepts the HTTP methods in use by the application or API, including pre-flight OPTIONS.</t>
  </si>
  <si>
    <t>14.5.2</t>
  </si>
  <si>
    <t>Verify that the supplied Origin header is not used for authentication or access control decisions, as the Origin header can easily be changed by an attacker.</t>
  </si>
  <si>
    <t>14.5.3</t>
  </si>
  <si>
    <t>Verify that the cross-domain resource sharing (CORS) Access-Control-Allow-Origin header uses a strict white-list of trusted domains to match against and does not support the "null" origin.</t>
  </si>
  <si>
    <t>14.5.4</t>
  </si>
  <si>
    <t>For more information, see also:
    •	OWASP Testing Guide 4.0: Testing for HTTP Verb Tampering - https://www.owasp.org/index.php/Testing_for_HTTP_Verb_Tampering_%28OTG-INPVAL-003%29
    •	Adding Content-Disposition to API responses helps prevent many attacks based on misunderstanding on the MIME type between client and server, and the "filename" option specifically helps prevent Reflected File Download attacks. - https://www.blackhat.com/docs/eu-14/materials/eu-14-Hafif-Reflected-File-Download-A-New-Web-Attack-Vector.pdf
    •	Content Security Policy Cheat Sheet - https://www.owasp.org/index.php?title=Content_Security_Policy_Cheat_Sheet
    •	Exploiting CORS misconfiguration for BitCoins and Bounties - https://portswigger.net/blog/exploiting-cors-misconfigurations-for-bitcoins-and-bounties
    •	OWASP Testing Guide 4.0: Configuration and Deployment Management Testing - https://www.owasp.org/index.php/Testing_for_configuration_management
    •	Sandboxing third party components - https://www.owasp.org/index.php/3rd_Party_Javascript_Management_Cheat_Sheet#Sandboxing_Content</t>
  </si>
  <si>
    <t>Sub Topic</t>
  </si>
  <si>
    <t>Sub Category</t>
  </si>
  <si>
    <t>NIST</t>
  </si>
  <si>
    <t>Category Topic</t>
  </si>
  <si>
    <t>Grand Total</t>
  </si>
  <si>
    <t>Configuration Verification Requirements Total</t>
  </si>
  <si>
    <t>API and Web Service Verification Requirements Total</t>
  </si>
  <si>
    <t>File and Resources Verification Requirements Total</t>
  </si>
  <si>
    <t>Business Logic Verification Requirements Total</t>
  </si>
  <si>
    <t>Malicious Code Verification Requirements Total</t>
  </si>
  <si>
    <t>Communications Verification Requirements Total</t>
  </si>
  <si>
    <t>Data Protection Verification Requirements Total</t>
  </si>
  <si>
    <t>Error Handling and Logging Verification Requirements Total</t>
  </si>
  <si>
    <t>Stored Cryptography Verification Requirements Total</t>
  </si>
  <si>
    <t>Validation, Sanitization and Encoding Verification Requirements Total</t>
  </si>
  <si>
    <t>Access Control Verification Requirements Total</t>
  </si>
  <si>
    <t>Session Management Verification Requirements Total</t>
  </si>
  <si>
    <t>Authentication Verification Requirements Total</t>
  </si>
  <si>
    <t>Architecture, Design and Threat Modeling Requirements Total</t>
  </si>
  <si>
    <t>V5.2</t>
  </si>
  <si>
    <t>Sanitization and Sandboxing Requirements</t>
  </si>
  <si>
    <t>ASVS 4.0 Total Controls By Topic</t>
  </si>
  <si>
    <t>ü</t>
  </si>
  <si>
    <t>L2 - OS assisted
L3 - HSM</t>
  </si>
  <si>
    <t>Comments</t>
  </si>
  <si>
    <t>L1 - 30 days
L2 - 12 hours or 30 minutes of inactivity, 2FA optional
L3 - 12 hours or 15 minutes of inactivity, 2FA optional</t>
  </si>
  <si>
    <t>L1</t>
  </si>
  <si>
    <t>L2</t>
  </si>
  <si>
    <t>L3</t>
  </si>
  <si>
    <t>V12.4</t>
  </si>
  <si>
    <t>V12.5</t>
  </si>
  <si>
    <t>V12.6</t>
  </si>
  <si>
    <t>SSRF Protection Requirements</t>
  </si>
  <si>
    <t>File Download Requirements</t>
  </si>
  <si>
    <t>File Storage Requirements</t>
  </si>
  <si>
    <t>12.4.1</t>
  </si>
  <si>
    <t>Verify that files obtained from untrusted sources are stored outside the web root, with limited permissions, preferably with strong validation.</t>
  </si>
  <si>
    <t>12.4.2</t>
  </si>
  <si>
    <t>Verify that files obtained from untrusted sources are scanned by antivirus scanners to prevent upload of known malicious content.</t>
  </si>
  <si>
    <t>12.5.1</t>
  </si>
  <si>
    <t>Verify that the web tier is configured to serve only files with specific file extensions to prevent unintentional information and source code leakage. For example, backup files (e.g. .bak), temporary working files (e.g. .swp), compressed files (.zip, .tar.gz, etc) and other extensions commonly used by editors should be blocked unless required.</t>
  </si>
  <si>
    <t>12.5.2</t>
  </si>
  <si>
    <t>Verify that direct requests to uploaded files will never be executed as HTML/JavaScript content.</t>
  </si>
  <si>
    <t>12.6.1</t>
  </si>
  <si>
    <t>Verify that the web or application server is configured with a whitelist of resources or systems to which the server can send requests or load data/files from.</t>
  </si>
  <si>
    <t>OWASP ASVS 4.0</t>
  </si>
  <si>
    <t>SANS</t>
  </si>
  <si>
    <t>CWE/SANS TOP 25 Most Dangerous Software Errors</t>
  </si>
  <si>
    <t>https://www.sans.org/top25-software-errors 
The Top 25 Software Errors are listed below in three categories:
Software Error Category: Insecure Interaction Between Components (6 errors) - https://www.sans.org/top25-software-errors#cat1
Software Error Category: Risky Resource Management (8 errors) - https://www.sans.org/top25-software-errors#cat2
Software Error Category: Porous Defenses (11 errors) - https://www.sans.org/top25-software-errors#cat3</t>
  </si>
  <si>
    <t>OWASP</t>
  </si>
  <si>
    <t>2017: A2 - Broken Authentication</t>
  </si>
  <si>
    <t>2017: A3 - Sensitive Data Exposure</t>
  </si>
  <si>
    <t>2017: A6 - Security Misconfiguration</t>
  </si>
  <si>
    <t>2017 : A1 - Injection
2017: A4 - XML External Entities (XXE)
2017: A7 - Cross-Site Scription (XSS)
2017: A8 - Insecure Deserialization</t>
  </si>
  <si>
    <t>2017: A9 - Using Components With Known Vulnerabilities</t>
  </si>
  <si>
    <t>2017: A10 - Insufficient Logging &amp; Monitoring</t>
  </si>
  <si>
    <t>2017: A5 - Broken Access Control
2013: A4 - Insecure Direct Object References
2013: A7 - Missing Function Level Access Control</t>
  </si>
  <si>
    <t>Selected ASVS Level</t>
  </si>
  <si>
    <t>Secure Web Application Technologies (SWAT) Checklist</t>
  </si>
  <si>
    <t>https://www.sans.org/security-resources/posters/appsec/secure-devops-practices-175
https://www.sans.org/security-resources/posters/appsec/secure-devops-toolchain-swat-checklist-60</t>
  </si>
  <si>
    <t>Verify that the application has protection from sub-domain takeovers if the application relies upon DNS entries or DNS sub-domains, such as expired domain names, out of date DNS pointers or CNAMEs, expired projects at public source code repos, or transient cloud APIs, serverless functions, or storage buckets (autogen-bucket-id.cloud.example.com) or similar. Protections can include ensuring that DNS names used by applications are regularly checked for expiry or change.</t>
  </si>
  <si>
    <t>V1.1</t>
  </si>
  <si>
    <t>Y</t>
  </si>
  <si>
    <t>N</t>
  </si>
  <si>
    <t>Control</t>
  </si>
  <si>
    <t>Used by EXPORT sheet for calculating the RESULT value for the final export</t>
  </si>
  <si>
    <t>Available user THEMES</t>
  </si>
  <si>
    <t>Indigo</t>
  </si>
  <si>
    <t>Skype</t>
  </si>
  <si>
    <t>Jade</t>
  </si>
  <si>
    <t>Kelly</t>
  </si>
  <si>
    <t>Daisy</t>
  </si>
  <si>
    <t>April</t>
  </si>
  <si>
    <t>Coral</t>
  </si>
  <si>
    <t>Ruby</t>
  </si>
  <si>
    <t>Jet</t>
  </si>
  <si>
    <t>Stone</t>
  </si>
  <si>
    <t>Cypress</t>
  </si>
  <si>
    <t>Aluminum</t>
  </si>
  <si>
    <t>Aurora Red</t>
  </si>
  <si>
    <t>Sangria</t>
  </si>
  <si>
    <t>Bright Coat</t>
  </si>
  <si>
    <t>Mauve Mist</t>
  </si>
  <si>
    <t>Cognac</t>
  </si>
  <si>
    <t>Application Security Verification Standard</t>
  </si>
  <si>
    <r>
      <t xml:space="preserve">All category rollup scores below this value are shaded in </t>
    </r>
    <r>
      <rPr>
        <i/>
        <sz val="14"/>
        <color rgb="FFB73E42"/>
        <rFont val="Calibri"/>
        <family val="2"/>
        <scheme val="minor"/>
      </rPr>
      <t>red</t>
    </r>
  </si>
  <si>
    <r>
      <t xml:space="preserve">All category rollup scores above this value are shaded in </t>
    </r>
    <r>
      <rPr>
        <i/>
        <sz val="14"/>
        <color rgb="FF5CA794"/>
        <rFont val="Calibri"/>
        <family val="2"/>
        <scheme val="minor"/>
      </rPr>
      <t>green</t>
    </r>
  </si>
  <si>
    <r>
      <rPr>
        <b/>
        <u/>
        <sz val="22"/>
        <color theme="7" tint="-0.499984740745262"/>
        <rFont val="Calibri"/>
        <family val="2"/>
        <scheme val="minor"/>
      </rPr>
      <t>Getting Started:</t>
    </r>
    <r>
      <rPr>
        <b/>
        <sz val="18"/>
        <color theme="7" tint="-0.499984740745262"/>
        <rFont val="Calibri"/>
        <family val="2"/>
        <scheme val="minor"/>
      </rPr>
      <t xml:space="preserve"> </t>
    </r>
    <r>
      <rPr>
        <sz val="11"/>
        <color theme="7" tint="-0.499984740745262"/>
        <rFont val="Calibri"/>
        <family val="2"/>
        <scheme val="minor"/>
      </rPr>
      <t xml:space="preserve">
</t>
    </r>
    <r>
      <rPr>
        <sz val="15"/>
        <color theme="7" tint="-0.499984740745262"/>
        <rFont val="Calibri"/>
        <family val="2"/>
        <scheme val="minor"/>
      </rPr>
      <t xml:space="preserve">1. If desired, modify the "Default Configurations"
2. Select assessment answer for all of the security controls in the column "Result" present in all of the work sheets V1....V14
</t>
    </r>
    <r>
      <rPr>
        <sz val="14"/>
        <color theme="7" tint="-0.499984740745262"/>
        <rFont val="Calibri"/>
        <family val="2"/>
        <scheme val="minor"/>
      </rPr>
      <t xml:space="preserve">3. Results are automatically calculated in the excel tab "Score Card 4.0"
4. Use the "EXPORT" sheet to copy the assessment results to an external reporting or use XML export option to import into an external system
</t>
    </r>
    <r>
      <rPr>
        <b/>
        <i/>
        <sz val="12"/>
        <color rgb="FFB73E42"/>
        <rFont val="Calibri"/>
        <family val="2"/>
        <scheme val="minor"/>
      </rPr>
      <t>NOTE</t>
    </r>
    <r>
      <rPr>
        <sz val="12"/>
        <color rgb="FFB73E42"/>
        <rFont val="Calibri"/>
        <family val="2"/>
        <scheme val="minor"/>
      </rPr>
      <t xml:space="preserve">: </t>
    </r>
    <r>
      <rPr>
        <i/>
        <sz val="10"/>
        <color rgb="FFB73E42"/>
        <rFont val="Calibri"/>
        <family val="2"/>
        <scheme val="minor"/>
      </rPr>
      <t>The score is not calculated until answers are selected for all the controls for the selected verification level</t>
    </r>
  </si>
  <si>
    <t>Do not like the color scheme? Select a theme from available options!</t>
  </si>
  <si>
    <t>Select a ASVS Level required</t>
  </si>
  <si>
    <t>Include "Not Applicable" in the score calculation?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</si>
</sst>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color theme="1"/>
      <name val="Calibri"/>
      <family val="2"/>
      <scheme val="minor"/>
    </font>
    <font>
      <sz val="10"/>
      <color theme="1"/>
      <name val="Calibri"/>
      <family val="2"/>
      <scheme val="minor"/>
    </font>
    <font>
      <b/>
      <sz val="10"/>
      <color rgb="FFFFFFFF"/>
      <name val="Calibri"/>
      <family val="2"/>
      <scheme val="minor"/>
    </font>
    <font>
      <i/>
      <sz val="10"/>
      <color theme="1"/>
      <name val="Calibri"/>
      <family val="2"/>
      <scheme val="minor"/>
    </font>
    <font>
      <u/>
      <sz val="10"/>
      <color theme="10"/>
      <name val="Calibri"/>
      <family val="2"/>
      <scheme val="minor"/>
    </font>
    <font>
      <sz val="14"/>
      <color theme="1"/>
      <name val="Calibri"/>
      <family val="2"/>
      <scheme val="minor"/>
    </font>
    <font>
      <b/>
      <sz val="11"/>
      <color theme="1"/>
      <name val="Calibri"/>
      <family val="2"/>
      <scheme val="minor"/>
    </font>
    <font>
      <b/>
      <sz val="10"/>
      <color theme="1"/>
      <name val="Calibri"/>
      <family val="2"/>
      <scheme val="minor"/>
    </font>
    <font>
      <b/>
      <sz val="14"/>
      <color theme="8" tint="-0.249977111117893"/>
      <name val="Calibri"/>
      <family val="2"/>
      <scheme val="minor"/>
    </font>
    <font>
      <sz val="14"/>
      <color theme="8" tint="-0.249977111117893"/>
      <name val="Calibri"/>
      <family val="2"/>
      <scheme val="minor"/>
    </font>
    <font>
      <b/>
      <sz val="14"/>
      <color theme="3" tint="0.39997558519241921"/>
      <name val="Calibri"/>
      <family val="2"/>
      <scheme val="minor"/>
    </font>
    <font>
      <i/>
      <sz val="11"/>
      <color rgb="FF7F7F7F"/>
      <name val="Calibri"/>
      <family val="2"/>
      <scheme val="minor"/>
    </font>
    <font>
      <sz val="9"/>
      <color indexed="81"/>
      <name val="Tahoma"/>
      <family val="2"/>
    </font>
    <font>
      <b/>
      <sz val="18"/>
      <color theme="1"/>
      <name val="Calibri"/>
      <family val="2"/>
      <scheme val="minor"/>
    </font>
    <font>
      <b/>
      <sz val="14"/>
      <color rgb="FF7F7F7F"/>
      <name val="Calibri"/>
      <family val="2"/>
      <scheme val="minor"/>
    </font>
    <font>
      <i/>
      <sz val="14"/>
      <color rgb="FF7F7F7F"/>
      <name val="Calibri"/>
      <family val="2"/>
      <scheme val="minor"/>
    </font>
    <font>
      <sz val="11"/>
      <color theme="7" tint="-0.499984740745262"/>
      <name val="Calibri"/>
      <family val="2"/>
      <scheme val="minor"/>
    </font>
    <font>
      <b/>
      <sz val="18"/>
      <color theme="7" tint="-0.499984740745262"/>
      <name val="Calibri"/>
      <family val="2"/>
      <scheme val="minor"/>
    </font>
    <font>
      <sz val="14"/>
      <color theme="7" tint="-0.499984740745262"/>
      <name val="Calibri"/>
      <family val="2"/>
      <scheme val="minor"/>
    </font>
    <font>
      <sz val="15"/>
      <color theme="7" tint="-0.499984740745262"/>
      <name val="Calibri"/>
      <family val="2"/>
      <scheme val="minor"/>
    </font>
    <font>
      <b/>
      <u/>
      <sz val="22"/>
      <color theme="7" tint="-0.499984740745262"/>
      <name val="Calibri"/>
      <family val="2"/>
      <scheme val="minor"/>
    </font>
    <font>
      <b/>
      <sz val="16"/>
      <color theme="1"/>
      <name val="Calibri"/>
      <family val="2"/>
      <scheme val="minor"/>
    </font>
    <font>
      <b/>
      <sz val="14"/>
      <color theme="1"/>
      <name val="Calibri"/>
      <family val="2"/>
      <scheme val="minor"/>
    </font>
    <font>
      <sz val="10"/>
      <color theme="1"/>
      <name val="Wingdings"/>
      <charset val="2"/>
    </font>
    <font>
      <b/>
      <sz val="14"/>
      <color theme="7" tint="-0.499984740745262"/>
      <name val="Calibri"/>
      <family val="2"/>
      <scheme val="minor"/>
    </font>
    <font>
      <b/>
      <sz val="12"/>
      <color theme="0"/>
      <name val="Franklin Gothic Heavy"/>
      <family val="2"/>
    </font>
    <font>
      <b/>
      <sz val="10"/>
      <color theme="0"/>
      <name val="Franklin Gothic Heavy"/>
      <family val="2"/>
    </font>
    <font>
      <b/>
      <sz val="14"/>
      <color rgb="FF800000"/>
      <name val="Franklin Gothic Heavy"/>
      <family val="2"/>
    </font>
    <font>
      <sz val="11"/>
      <color theme="1"/>
      <name val="Franklin Gothic Heavy"/>
      <family val="2"/>
    </font>
    <font>
      <b/>
      <sz val="14"/>
      <color theme="0"/>
      <name val="Franklin Gothic Heavy"/>
      <family val="2"/>
    </font>
    <font>
      <u/>
      <sz val="14"/>
      <color theme="0"/>
      <name val="Franklin Gothic Heavy"/>
      <family val="2"/>
    </font>
    <font>
      <b/>
      <sz val="18"/>
      <color theme="0"/>
      <name val="Calibri"/>
      <family val="2"/>
      <scheme val="minor"/>
    </font>
    <font>
      <b/>
      <sz val="18"/>
      <color theme="0"/>
      <name val="Franklin Gothic Heavy"/>
      <family val="2"/>
    </font>
    <font>
      <b/>
      <sz val="11"/>
      <color theme="0"/>
      <name val="Franklin Gothic Heavy"/>
      <family val="2"/>
    </font>
    <font>
      <u/>
      <sz val="28"/>
      <color theme="0"/>
      <name val="Franklin Gothic Heavy"/>
      <family val="2"/>
    </font>
    <font>
      <b/>
      <sz val="10"/>
      <color rgb="FF505B3F"/>
      <name val="Franklin Gothic Heavy"/>
      <family val="2"/>
    </font>
    <font>
      <i/>
      <sz val="14"/>
      <color rgb="FFB73E42"/>
      <name val="Calibri"/>
      <family val="2"/>
      <scheme val="minor"/>
    </font>
    <font>
      <i/>
      <sz val="14"/>
      <color rgb="FF5CA794"/>
      <name val="Calibri"/>
      <family val="2"/>
      <scheme val="minor"/>
    </font>
    <font>
      <sz val="12"/>
      <color rgb="FFB73E42"/>
      <name val="Calibri"/>
      <family val="2"/>
      <scheme val="minor"/>
    </font>
    <font>
      <b/>
      <i/>
      <sz val="12"/>
      <color rgb="FFB73E42"/>
      <name val="Calibri"/>
      <family val="2"/>
      <scheme val="minor"/>
    </font>
    <font>
      <i/>
      <sz val="10"/>
      <color rgb="FFB73E42"/>
      <name val="Calibri"/>
      <family val="2"/>
      <scheme val="minor"/>
    </font>
  </fonts>
  <fills count="9">
    <fill>
      <patternFill patternType="none"/>
    </fill>
    <fill>
      <patternFill patternType="gray125"/>
    </fill>
    <fill>
      <patternFill patternType="solid">
        <fgColor theme="0"/>
        <bgColor indexed="64"/>
      </patternFill>
    </fill>
    <fill>
      <patternFill patternType="solid">
        <fgColor theme="5" tint="0.79998168889431442"/>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505B3F"/>
        <bgColor indexed="64"/>
      </patternFill>
    </fill>
    <fill>
      <patternFill patternType="solid">
        <fgColor rgb="FFB5C0A4"/>
        <bgColor indexed="64"/>
      </patternFill>
    </fill>
  </fills>
  <borders count="18">
    <border>
      <left/>
      <right/>
      <top/>
      <bottom/>
      <diagonal/>
    </border>
    <border>
      <left style="hair">
        <color theme="3"/>
      </left>
      <right style="hair">
        <color theme="3"/>
      </right>
      <top style="hair">
        <color theme="3"/>
      </top>
      <bottom style="hair">
        <color theme="3"/>
      </bottom>
      <diagonal/>
    </border>
    <border>
      <left/>
      <right/>
      <top/>
      <bottom style="thick">
        <color theme="4" tint="0.39994506668294322"/>
      </bottom>
      <diagonal/>
    </border>
    <border>
      <left/>
      <right/>
      <top/>
      <bottom style="thick">
        <color theme="3" tint="0.39994506668294322"/>
      </bottom>
      <diagonal/>
    </border>
    <border>
      <left/>
      <right/>
      <top style="dashed">
        <color auto="1"/>
      </top>
      <bottom style="dashed">
        <color auto="1"/>
      </bottom>
      <diagonal/>
    </border>
    <border>
      <left style="dashed">
        <color auto="1"/>
      </left>
      <right style="dashed">
        <color auto="1"/>
      </right>
      <top style="dashed">
        <color auto="1"/>
      </top>
      <bottom style="dashed">
        <color auto="1"/>
      </bottom>
      <diagonal/>
    </border>
    <border>
      <left style="double">
        <color theme="7" tint="-0.24994659260841701"/>
      </left>
      <right style="double">
        <color theme="7" tint="-0.24994659260841701"/>
      </right>
      <top style="double">
        <color theme="7" tint="-0.24994659260841701"/>
      </top>
      <bottom style="double">
        <color theme="7" tint="-0.24994659260841701"/>
      </bottom>
      <diagonal/>
    </border>
    <border>
      <left style="medium">
        <color theme="3" tint="0.39994506668294322"/>
      </left>
      <right/>
      <top style="medium">
        <color theme="3" tint="0.39994506668294322"/>
      </top>
      <bottom/>
      <diagonal/>
    </border>
    <border>
      <left/>
      <right/>
      <top style="medium">
        <color theme="3" tint="0.39994506668294322"/>
      </top>
      <bottom/>
      <diagonal/>
    </border>
    <border>
      <left/>
      <right style="medium">
        <color theme="3" tint="0.39994506668294322"/>
      </right>
      <top style="medium">
        <color theme="3" tint="0.39994506668294322"/>
      </top>
      <bottom/>
      <diagonal/>
    </border>
    <border>
      <left style="medium">
        <color theme="3" tint="0.39994506668294322"/>
      </left>
      <right/>
      <top/>
      <bottom/>
      <diagonal/>
    </border>
    <border>
      <left/>
      <right style="medium">
        <color theme="3" tint="0.39994506668294322"/>
      </right>
      <top/>
      <bottom/>
      <diagonal/>
    </border>
    <border>
      <left style="medium">
        <color theme="3" tint="0.39994506668294322"/>
      </left>
      <right/>
      <top/>
      <bottom style="medium">
        <color theme="3" tint="0.39994506668294322"/>
      </bottom>
      <diagonal/>
    </border>
    <border>
      <left/>
      <right/>
      <top/>
      <bottom style="medium">
        <color theme="3" tint="0.39994506668294322"/>
      </bottom>
      <diagonal/>
    </border>
    <border>
      <left/>
      <right style="medium">
        <color theme="3" tint="0.39994506668294322"/>
      </right>
      <top/>
      <bottom style="medium">
        <color theme="3" tint="0.39994506668294322"/>
      </bottom>
      <diagonal/>
    </border>
    <border>
      <left style="hair">
        <color theme="3"/>
      </left>
      <right style="hair">
        <color theme="3"/>
      </right>
      <top style="hair">
        <color theme="3"/>
      </top>
      <bottom/>
      <diagonal/>
    </border>
    <border>
      <left style="hair">
        <color theme="3"/>
      </left>
      <right style="hair">
        <color theme="3"/>
      </right>
      <top/>
      <bottom/>
      <diagonal/>
    </border>
    <border>
      <left style="hair">
        <color theme="3"/>
      </left>
      <right style="hair">
        <color theme="3"/>
      </right>
      <top/>
      <bottom style="hair">
        <color theme="3"/>
      </bottom>
      <diagonal/>
    </border>
  </borders>
  <cellStyleXfs count="3">
    <xf numFmtId="0" fontId="0" fillId="0" borderId="0"/>
    <xf numFmtId="0" fontId="4" fillId="0" borderId="0" applyNumberFormat="0" applyFill="0" applyBorder="0" applyAlignment="0" applyProtection="0"/>
    <xf numFmtId="0" fontId="11" fillId="0" borderId="0" applyNumberFormat="0" applyFill="0" applyBorder="0" applyAlignment="0" applyProtection="0"/>
  </cellStyleXfs>
  <cellXfs count="132">
    <xf numFmtId="0" fontId="0" fillId="0" borderId="0" xfId="0"/>
    <xf numFmtId="0" fontId="0" fillId="2" borderId="0" xfId="0" applyFill="1"/>
    <xf numFmtId="0" fontId="5" fillId="2" borderId="0" xfId="0" applyFont="1" applyFill="1"/>
    <xf numFmtId="0" fontId="0" fillId="2" borderId="0" xfId="0" applyFill="1"/>
    <xf numFmtId="0" fontId="1" fillId="0" borderId="1" xfId="0" applyFont="1" applyBorder="1" applyAlignment="1">
      <alignment vertical="center" wrapText="1"/>
    </xf>
    <xf numFmtId="0" fontId="1" fillId="0" borderId="1" xfId="0" applyFont="1" applyBorder="1" applyAlignment="1">
      <alignment horizontal="center" vertical="center" wrapText="1"/>
    </xf>
    <xf numFmtId="0" fontId="0" fillId="2" borderId="0" xfId="0" applyFill="1" applyAlignment="1">
      <alignment horizontal="center" wrapText="1"/>
    </xf>
    <xf numFmtId="0" fontId="0" fillId="0" borderId="0" xfId="0" applyAlignment="1">
      <alignment horizontal="center" wrapText="1"/>
    </xf>
    <xf numFmtId="0" fontId="8" fillId="2" borderId="2" xfId="0" applyFont="1" applyFill="1" applyBorder="1"/>
    <xf numFmtId="0" fontId="9" fillId="2" borderId="0" xfId="0" applyFont="1" applyFill="1"/>
    <xf numFmtId="0" fontId="9" fillId="2" borderId="0" xfId="0" quotePrefix="1" applyFont="1" applyFill="1"/>
    <xf numFmtId="0" fontId="5" fillId="2" borderId="4" xfId="0" applyFont="1" applyFill="1" applyBorder="1"/>
    <xf numFmtId="0" fontId="5" fillId="2" borderId="5" xfId="0" applyFont="1" applyFill="1" applyBorder="1"/>
    <xf numFmtId="0" fontId="0" fillId="2" borderId="0" xfId="0" applyFill="1"/>
    <xf numFmtId="0" fontId="0" fillId="2" borderId="6" xfId="0" applyFill="1" applyBorder="1"/>
    <xf numFmtId="0" fontId="0" fillId="2" borderId="6" xfId="0" applyFill="1" applyBorder="1" applyAlignment="1">
      <alignment wrapText="1"/>
    </xf>
    <xf numFmtId="0" fontId="13" fillId="2" borderId="0" xfId="0" applyFont="1" applyFill="1"/>
    <xf numFmtId="0" fontId="9" fillId="2" borderId="0" xfId="0" applyFont="1" applyFill="1" applyProtection="1">
      <protection locked="0"/>
    </xf>
    <xf numFmtId="0" fontId="5" fillId="2" borderId="5" xfId="0" applyFont="1" applyFill="1" applyBorder="1" applyProtection="1"/>
    <xf numFmtId="0" fontId="0" fillId="2" borderId="0" xfId="0" applyFill="1" applyAlignment="1">
      <alignment wrapText="1"/>
    </xf>
    <xf numFmtId="0" fontId="6" fillId="0" borderId="0" xfId="0" applyFont="1"/>
    <xf numFmtId="0" fontId="6" fillId="0" borderId="0" xfId="0" applyFont="1" applyAlignment="1">
      <alignment horizontal="center"/>
    </xf>
    <xf numFmtId="0" fontId="7" fillId="0" borderId="1" xfId="0" applyFont="1" applyBorder="1" applyAlignment="1">
      <alignment horizontal="center" vertical="center" wrapText="1"/>
    </xf>
    <xf numFmtId="0" fontId="4" fillId="0" borderId="1" xfId="1" applyFont="1" applyBorder="1" applyAlignment="1">
      <alignment vertical="center" wrapText="1"/>
    </xf>
    <xf numFmtId="0" fontId="0" fillId="0" borderId="1" xfId="0" applyBorder="1"/>
    <xf numFmtId="0" fontId="6" fillId="2" borderId="0" xfId="0" applyFont="1" applyFill="1"/>
    <xf numFmtId="0" fontId="6" fillId="2" borderId="0" xfId="0" applyFont="1" applyFill="1" applyAlignment="1">
      <alignment horizontal="center"/>
    </xf>
    <xf numFmtId="0" fontId="10" fillId="2" borderId="3" xfId="0" applyFont="1" applyFill="1" applyBorder="1" applyAlignment="1">
      <alignment horizontal="center" wrapText="1"/>
    </xf>
    <xf numFmtId="0" fontId="10" fillId="2" borderId="0" xfId="0" applyFont="1" applyFill="1" applyAlignment="1">
      <alignment horizontal="center" wrapText="1"/>
    </xf>
    <xf numFmtId="0" fontId="5" fillId="2" borderId="5" xfId="0" applyFont="1" applyFill="1" applyBorder="1" applyAlignment="1">
      <alignment horizontal="center"/>
    </xf>
    <xf numFmtId="0" fontId="0" fillId="2" borderId="0" xfId="0" applyFill="1" applyAlignment="1">
      <alignment horizontal="center"/>
    </xf>
    <xf numFmtId="0" fontId="5" fillId="2" borderId="0" xfId="0" applyFont="1" applyFill="1" applyBorder="1" applyAlignment="1">
      <alignment horizontal="center"/>
    </xf>
    <xf numFmtId="0" fontId="5" fillId="2" borderId="0" xfId="0" applyFont="1" applyFill="1" applyBorder="1"/>
    <xf numFmtId="0" fontId="5" fillId="2" borderId="0" xfId="0" applyFont="1" applyFill="1" applyBorder="1" applyProtection="1"/>
    <xf numFmtId="0" fontId="22" fillId="2" borderId="0" xfId="0" applyFont="1" applyFill="1" applyBorder="1"/>
    <xf numFmtId="0" fontId="9" fillId="2" borderId="0" xfId="0" applyFont="1" applyFill="1" applyAlignment="1" applyProtection="1">
      <alignment horizontal="right"/>
      <protection locked="0"/>
    </xf>
    <xf numFmtId="0" fontId="9" fillId="2" borderId="0" xfId="0" applyFont="1" applyFill="1" applyAlignment="1" applyProtection="1">
      <alignment horizontal="left" indent="2"/>
      <protection locked="0"/>
    </xf>
    <xf numFmtId="0" fontId="4" fillId="0" borderId="0" xfId="1" applyFont="1" applyAlignment="1">
      <alignment vertical="center" wrapText="1"/>
    </xf>
    <xf numFmtId="0" fontId="23" fillId="4" borderId="1" xfId="0" applyFont="1" applyFill="1" applyBorder="1" applyAlignment="1">
      <alignment horizontal="center" vertical="center" wrapText="1"/>
    </xf>
    <xf numFmtId="0" fontId="23" fillId="5" borderId="1" xfId="0" applyFont="1" applyFill="1" applyBorder="1" applyAlignment="1">
      <alignment horizontal="center" vertical="center" wrapText="1"/>
    </xf>
    <xf numFmtId="0" fontId="23" fillId="6" borderId="1" xfId="0" applyFont="1" applyFill="1" applyBorder="1" applyAlignment="1">
      <alignment horizontal="center" vertical="center" wrapText="1"/>
    </xf>
    <xf numFmtId="0" fontId="0" fillId="0" borderId="1" xfId="0" applyBorder="1" applyAlignment="1">
      <alignment horizontal="left"/>
    </xf>
    <xf numFmtId="0" fontId="0" fillId="2" borderId="0" xfId="0" applyFill="1" applyAlignment="1">
      <alignment horizontal="left"/>
    </xf>
    <xf numFmtId="0" fontId="0" fillId="0" borderId="0" xfId="0" applyAlignment="1">
      <alignment horizontal="left"/>
    </xf>
    <xf numFmtId="0" fontId="8" fillId="2" borderId="2" xfId="0" applyFont="1" applyFill="1" applyBorder="1" applyAlignment="1">
      <alignment horizontal="center"/>
    </xf>
    <xf numFmtId="0" fontId="8" fillId="2" borderId="2" xfId="0" applyFont="1" applyFill="1" applyBorder="1" applyAlignment="1">
      <alignment horizontal="left" wrapText="1"/>
    </xf>
    <xf numFmtId="0" fontId="1" fillId="0" borderId="1" xfId="0" applyFont="1" applyBorder="1" applyAlignment="1">
      <alignment horizontal="center" vertical="top"/>
    </xf>
    <xf numFmtId="0" fontId="1" fillId="0" borderId="1" xfId="0" applyFont="1" applyBorder="1" applyAlignment="1">
      <alignment horizontal="center" vertical="top"/>
    </xf>
    <xf numFmtId="0" fontId="1" fillId="0" borderId="1" xfId="0" applyFont="1" applyBorder="1" applyAlignment="1">
      <alignment horizontal="left" vertical="top" wrapText="1"/>
    </xf>
    <xf numFmtId="0" fontId="0" fillId="0" borderId="6" xfId="0" applyFill="1" applyBorder="1" applyAlignment="1">
      <alignment wrapText="1"/>
    </xf>
    <xf numFmtId="0" fontId="24" fillId="2" borderId="0" xfId="1" applyFont="1" applyFill="1" applyBorder="1"/>
    <xf numFmtId="0" fontId="18" fillId="2" borderId="4" xfId="0" applyFont="1" applyFill="1" applyBorder="1"/>
    <xf numFmtId="0" fontId="24" fillId="2" borderId="4" xfId="1" applyFont="1" applyFill="1" applyBorder="1"/>
    <xf numFmtId="0" fontId="24" fillId="2" borderId="4" xfId="0" applyFont="1" applyFill="1" applyBorder="1"/>
    <xf numFmtId="0" fontId="28" fillId="2" borderId="0" xfId="0" applyFont="1" applyFill="1"/>
    <xf numFmtId="0" fontId="28" fillId="0" borderId="0" xfId="0" applyFont="1"/>
    <xf numFmtId="0" fontId="1" fillId="0" borderId="1" xfId="0" applyFont="1" applyBorder="1" applyAlignment="1">
      <alignment horizontal="left" vertical="center" wrapText="1"/>
    </xf>
    <xf numFmtId="0" fontId="23" fillId="2" borderId="1" xfId="0" applyFont="1" applyFill="1" applyBorder="1" applyAlignment="1">
      <alignment horizontal="center" vertical="center" wrapText="1"/>
    </xf>
    <xf numFmtId="0" fontId="7" fillId="0" borderId="1" xfId="0" applyFont="1" applyBorder="1" applyAlignment="1">
      <alignment horizontal="center" vertical="top" wrapText="1"/>
    </xf>
    <xf numFmtId="0" fontId="1" fillId="0" borderId="1" xfId="0" applyFont="1" applyBorder="1" applyAlignment="1">
      <alignment horizontal="center"/>
    </xf>
    <xf numFmtId="0" fontId="1" fillId="0" borderId="1" xfId="0" applyFont="1" applyBorder="1" applyAlignment="1">
      <alignment vertical="top" wrapText="1"/>
    </xf>
    <xf numFmtId="0" fontId="1" fillId="0" borderId="0" xfId="0" applyFont="1"/>
    <xf numFmtId="0" fontId="1" fillId="0" borderId="0" xfId="0" applyFont="1" applyAlignment="1">
      <alignment horizontal="center"/>
    </xf>
    <xf numFmtId="0" fontId="1" fillId="0" borderId="0" xfId="0" applyFont="1" applyAlignment="1">
      <alignment horizontal="left" indent="1"/>
    </xf>
    <xf numFmtId="49" fontId="1" fillId="0" borderId="0" xfId="0" applyNumberFormat="1" applyFont="1" applyAlignment="1">
      <alignment horizontal="left" indent="1"/>
    </xf>
    <xf numFmtId="0" fontId="15" fillId="0" borderId="0" xfId="2" applyFont="1" applyBorder="1" applyAlignment="1" applyProtection="1">
      <alignment horizontal="left" indent="2"/>
    </xf>
    <xf numFmtId="0" fontId="32" fillId="7" borderId="3" xfId="0" applyFont="1" applyFill="1" applyBorder="1"/>
    <xf numFmtId="0" fontId="31" fillId="7" borderId="3" xfId="0" applyFont="1" applyFill="1" applyBorder="1"/>
    <xf numFmtId="0" fontId="0" fillId="8" borderId="0" xfId="0" applyFill="1"/>
    <xf numFmtId="0" fontId="6" fillId="8" borderId="0" xfId="0" applyFont="1" applyFill="1"/>
    <xf numFmtId="0" fontId="6" fillId="8" borderId="0" xfId="0" applyFont="1" applyFill="1" applyAlignment="1">
      <alignment horizontal="center"/>
    </xf>
    <xf numFmtId="0" fontId="25" fillId="8" borderId="0" xfId="0" applyFont="1" applyFill="1" applyAlignment="1">
      <alignment horizontal="right"/>
    </xf>
    <xf numFmtId="0" fontId="25" fillId="8" borderId="0" xfId="0" applyFont="1" applyFill="1" applyAlignment="1">
      <alignment horizontal="center"/>
    </xf>
    <xf numFmtId="0" fontId="0" fillId="8" borderId="0" xfId="0" applyFill="1" applyAlignment="1">
      <alignment horizontal="left"/>
    </xf>
    <xf numFmtId="0" fontId="25" fillId="8" borderId="0" xfId="0" applyFont="1" applyFill="1"/>
    <xf numFmtId="0" fontId="1" fillId="8" borderId="0" xfId="0" applyFont="1" applyFill="1" applyBorder="1" applyAlignment="1">
      <alignment vertical="center" wrapText="1"/>
    </xf>
    <xf numFmtId="0" fontId="2" fillId="8" borderId="0" xfId="0" applyFont="1" applyFill="1" applyBorder="1" applyAlignment="1">
      <alignment horizontal="center" vertical="center" wrapText="1"/>
    </xf>
    <xf numFmtId="0" fontId="25" fillId="8" borderId="0" xfId="0" applyFont="1" applyFill="1" applyBorder="1" applyAlignment="1">
      <alignment horizontal="right" vertical="center" wrapText="1"/>
    </xf>
    <xf numFmtId="0" fontId="0" fillId="8" borderId="0" xfId="0" applyFont="1" applyFill="1" applyBorder="1"/>
    <xf numFmtId="0" fontId="21" fillId="8" borderId="0" xfId="0" applyFont="1" applyFill="1" applyBorder="1" applyAlignment="1">
      <alignment horizontal="right" vertical="center" wrapText="1"/>
    </xf>
    <xf numFmtId="0" fontId="21" fillId="8" borderId="0" xfId="0" applyFont="1" applyFill="1" applyBorder="1" applyAlignment="1">
      <alignment horizontal="left" vertical="center" wrapText="1"/>
    </xf>
    <xf numFmtId="0" fontId="26" fillId="7" borderId="1" xfId="0" applyFont="1" applyFill="1" applyBorder="1" applyAlignment="1">
      <alignment horizontal="center" vertical="center" wrapText="1"/>
    </xf>
    <xf numFmtId="0" fontId="29" fillId="7" borderId="3" xfId="0" applyFont="1" applyFill="1" applyBorder="1" applyAlignment="1">
      <alignment horizontal="left"/>
    </xf>
    <xf numFmtId="0" fontId="29" fillId="7" borderId="3" xfId="0" applyFont="1" applyFill="1" applyBorder="1" applyAlignment="1">
      <alignment horizontal="right" indent="1"/>
    </xf>
    <xf numFmtId="0" fontId="29" fillId="7" borderId="3" xfId="0" applyFont="1" applyFill="1" applyBorder="1" applyAlignment="1">
      <alignment horizontal="center"/>
    </xf>
    <xf numFmtId="0" fontId="29" fillId="7" borderId="3" xfId="0" applyFont="1" applyFill="1" applyBorder="1" applyAlignment="1">
      <alignment horizontal="right"/>
    </xf>
    <xf numFmtId="0" fontId="26" fillId="7" borderId="17" xfId="0" applyFont="1" applyFill="1" applyBorder="1" applyAlignment="1">
      <alignment horizontal="center" vertical="center" wrapText="1"/>
    </xf>
    <xf numFmtId="0" fontId="33" fillId="7" borderId="6" xfId="0" applyFont="1" applyFill="1" applyBorder="1"/>
    <xf numFmtId="0" fontId="33" fillId="7" borderId="6" xfId="0" applyFont="1" applyFill="1" applyBorder="1" applyAlignment="1">
      <alignment wrapText="1"/>
    </xf>
    <xf numFmtId="40" fontId="5" fillId="2" borderId="0" xfId="0" applyNumberFormat="1" applyFont="1" applyFill="1" applyBorder="1"/>
    <xf numFmtId="40" fontId="5" fillId="2" borderId="5" xfId="0" applyNumberFormat="1" applyFont="1" applyFill="1" applyBorder="1"/>
    <xf numFmtId="0" fontId="35" fillId="0" borderId="1" xfId="0" applyFont="1" applyBorder="1" applyAlignment="1" applyProtection="1">
      <alignment horizontal="center" vertical="center" wrapText="1"/>
      <protection locked="0"/>
    </xf>
    <xf numFmtId="0" fontId="16" fillId="2" borderId="7" xfId="0" applyFont="1" applyFill="1" applyBorder="1" applyAlignment="1">
      <alignment vertical="center" wrapText="1"/>
    </xf>
    <xf numFmtId="0" fontId="16" fillId="2" borderId="8" xfId="0" applyFont="1" applyFill="1" applyBorder="1" applyAlignment="1">
      <alignment vertical="center"/>
    </xf>
    <xf numFmtId="0" fontId="16" fillId="2" borderId="9" xfId="0" applyFont="1" applyFill="1" applyBorder="1" applyAlignment="1">
      <alignment vertical="center"/>
    </xf>
    <xf numFmtId="0" fontId="16" fillId="2" borderId="10" xfId="0" applyFont="1" applyFill="1" applyBorder="1" applyAlignment="1">
      <alignment vertical="center"/>
    </xf>
    <xf numFmtId="0" fontId="16" fillId="2" borderId="0" xfId="0" applyFont="1" applyFill="1" applyBorder="1" applyAlignment="1">
      <alignment vertical="center"/>
    </xf>
    <xf numFmtId="0" fontId="16" fillId="2" borderId="11" xfId="0" applyFont="1" applyFill="1" applyBorder="1" applyAlignment="1">
      <alignment vertical="center"/>
    </xf>
    <xf numFmtId="0" fontId="16" fillId="2" borderId="12" xfId="0" applyFont="1" applyFill="1" applyBorder="1" applyAlignment="1">
      <alignment vertical="center"/>
    </xf>
    <xf numFmtId="0" fontId="16" fillId="2" borderId="13" xfId="0" applyFont="1" applyFill="1" applyBorder="1" applyAlignment="1">
      <alignment vertical="center"/>
    </xf>
    <xf numFmtId="0" fontId="16" fillId="2" borderId="14" xfId="0" applyFont="1" applyFill="1" applyBorder="1" applyAlignment="1">
      <alignment vertical="center"/>
    </xf>
    <xf numFmtId="0" fontId="34" fillId="8" borderId="0" xfId="1" applyFont="1" applyFill="1" applyBorder="1" applyAlignment="1" applyProtection="1">
      <alignment horizontal="center" vertical="center" wrapText="1"/>
    </xf>
    <xf numFmtId="0" fontId="30" fillId="8" borderId="0" xfId="1" applyFont="1" applyFill="1" applyBorder="1" applyAlignment="1" applyProtection="1">
      <alignment horizontal="center" vertical="center" wrapText="1"/>
    </xf>
    <xf numFmtId="0" fontId="30" fillId="8" borderId="0" xfId="1" applyFont="1" applyFill="1" applyBorder="1" applyAlignment="1" applyProtection="1">
      <alignment horizontal="center" vertical="top" wrapText="1"/>
    </xf>
    <xf numFmtId="0" fontId="14" fillId="7" borderId="0" xfId="2" applyFont="1" applyFill="1" applyBorder="1" applyProtection="1">
      <protection locked="0"/>
    </xf>
    <xf numFmtId="0" fontId="14" fillId="3" borderId="0" xfId="2" applyFont="1" applyFill="1" applyBorder="1" applyProtection="1">
      <protection locked="0"/>
    </xf>
    <xf numFmtId="40" fontId="14" fillId="3" borderId="0" xfId="2" applyNumberFormat="1" applyFont="1" applyFill="1" applyBorder="1" applyProtection="1">
      <protection locked="0"/>
    </xf>
    <xf numFmtId="0" fontId="1" fillId="0" borderId="1" xfId="0" applyFont="1" applyBorder="1" applyAlignment="1">
      <alignment horizontal="center" vertical="top"/>
    </xf>
    <xf numFmtId="0" fontId="1" fillId="0" borderId="1" xfId="0" applyFont="1" applyBorder="1" applyAlignment="1">
      <alignment horizontal="left" vertical="top" wrapText="1"/>
    </xf>
    <xf numFmtId="0" fontId="1" fillId="0" borderId="15" xfId="0" applyFont="1" applyBorder="1" applyAlignment="1">
      <alignment horizontal="left" vertical="top" wrapText="1"/>
    </xf>
    <xf numFmtId="0" fontId="1" fillId="0" borderId="16" xfId="0" applyFont="1" applyBorder="1" applyAlignment="1">
      <alignment horizontal="left" vertical="top" wrapText="1"/>
    </xf>
    <xf numFmtId="0" fontId="1" fillId="0" borderId="17" xfId="0" applyFont="1" applyBorder="1" applyAlignment="1">
      <alignment horizontal="left" vertical="top" wrapText="1"/>
    </xf>
    <xf numFmtId="0" fontId="7" fillId="0" borderId="1" xfId="0" applyFont="1" applyBorder="1" applyAlignment="1">
      <alignment horizontal="center" vertical="top" wrapText="1"/>
    </xf>
    <xf numFmtId="0" fontId="1" fillId="0" borderId="15" xfId="0" applyFont="1" applyBorder="1" applyAlignment="1">
      <alignment horizontal="center" vertical="top"/>
    </xf>
    <xf numFmtId="0" fontId="1" fillId="0" borderId="16" xfId="0" applyFont="1" applyBorder="1" applyAlignment="1">
      <alignment horizontal="center" vertical="top"/>
    </xf>
    <xf numFmtId="0" fontId="1" fillId="0" borderId="17" xfId="0" applyFont="1" applyBorder="1" applyAlignment="1">
      <alignment horizontal="center" vertical="top"/>
    </xf>
    <xf numFmtId="0" fontId="7" fillId="0" borderId="15" xfId="0" applyFont="1" applyBorder="1" applyAlignment="1">
      <alignment horizontal="center" vertical="top" wrapText="1"/>
    </xf>
    <xf numFmtId="0" fontId="7" fillId="0" borderId="16" xfId="0" applyFont="1" applyBorder="1" applyAlignment="1">
      <alignment horizontal="center" vertical="top" wrapText="1"/>
    </xf>
    <xf numFmtId="0" fontId="7" fillId="0" borderId="17" xfId="0" applyFont="1" applyBorder="1" applyAlignment="1">
      <alignment horizontal="center" vertical="top" wrapText="1"/>
    </xf>
    <xf numFmtId="0" fontId="0" fillId="0" borderId="15" xfId="0" applyBorder="1" applyAlignment="1">
      <alignment horizontal="left" vertical="top" wrapText="1"/>
    </xf>
    <xf numFmtId="0" fontId="0" fillId="0" borderId="16" xfId="0" applyBorder="1" applyAlignment="1">
      <alignment horizontal="left" vertical="top"/>
    </xf>
    <xf numFmtId="0" fontId="0" fillId="0" borderId="17" xfId="0" applyBorder="1" applyAlignment="1">
      <alignment horizontal="left" vertical="top"/>
    </xf>
    <xf numFmtId="0" fontId="1" fillId="0" borderId="15" xfId="0" applyFont="1" applyBorder="1" applyAlignment="1">
      <alignment vertical="top" wrapText="1"/>
    </xf>
    <xf numFmtId="0" fontId="1" fillId="0" borderId="16" xfId="0" applyFont="1" applyBorder="1" applyAlignment="1">
      <alignment vertical="top" wrapText="1"/>
    </xf>
    <xf numFmtId="0" fontId="1" fillId="0" borderId="17" xfId="0" applyFont="1" applyBorder="1" applyAlignment="1">
      <alignment vertical="top" wrapText="1"/>
    </xf>
    <xf numFmtId="0" fontId="1" fillId="0" borderId="15" xfId="0" applyFont="1" applyBorder="1" applyAlignment="1">
      <alignment horizontal="center" vertical="top" wrapText="1"/>
    </xf>
    <xf numFmtId="0" fontId="1" fillId="0" borderId="16" xfId="0" applyFont="1" applyBorder="1" applyAlignment="1">
      <alignment horizontal="center" vertical="top" wrapText="1"/>
    </xf>
    <xf numFmtId="0" fontId="1" fillId="0" borderId="17" xfId="0" applyFont="1" applyBorder="1" applyAlignment="1">
      <alignment horizontal="center" vertical="top" wrapText="1"/>
    </xf>
    <xf numFmtId="0" fontId="0" fillId="0" borderId="15" xfId="0" applyBorder="1" applyAlignment="1">
      <alignment horizontal="center" vertical="top"/>
    </xf>
    <xf numFmtId="0" fontId="0" fillId="0" borderId="16" xfId="0" applyBorder="1" applyAlignment="1">
      <alignment horizontal="center" vertical="top"/>
    </xf>
    <xf numFmtId="0" fontId="0" fillId="0" borderId="17" xfId="0" applyBorder="1" applyAlignment="1">
      <alignment horizontal="center" vertical="top"/>
    </xf>
    <xf numFmtId="0" fontId="0" fillId="0" borderId="15" xfId="0" applyBorder="1" applyAlignment="1">
      <alignment horizontal="left" vertical="top"/>
    </xf>
  </cellXfs>
  <cellStyles count="3">
    <cellStyle name="Explanatory Text" xfId="2" builtinId="53"/>
    <cellStyle name="Hyperlink" xfId="1" builtinId="8"/>
    <cellStyle name="Normal" xfId="0" builtinId="0"/>
  </cellStyles>
  <dxfs count="15">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border outline="0">
        <top style="hair">
          <color theme="3"/>
        </top>
      </border>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border outline="0">
        <bottom style="hair">
          <color theme="3"/>
        </bottom>
      </border>
    </dxf>
    <dxf>
      <font>
        <b/>
        <i val="0"/>
        <strike val="0"/>
        <condense val="0"/>
        <extend val="0"/>
        <outline val="0"/>
        <shadow val="0"/>
        <u val="none"/>
        <vertAlign val="baseline"/>
        <sz val="10"/>
        <color theme="0"/>
        <name val="Franklin Gothic Heavy"/>
        <family val="2"/>
        <scheme val="none"/>
      </font>
      <fill>
        <patternFill patternType="solid">
          <fgColor indexed="64"/>
          <bgColor rgb="FF505B3F"/>
        </patternFill>
      </fill>
      <alignment horizontal="center" vertical="center" textRotation="0" wrapText="1" indent="0" justifyLastLine="0" shrinkToFit="0" readingOrder="0"/>
      <border diagonalUp="0" diagonalDown="0" outline="0">
        <left style="hair">
          <color theme="3"/>
        </left>
        <right style="hair">
          <color theme="3"/>
        </right>
        <top/>
        <bottom/>
      </border>
    </dxf>
    <dxf>
      <fill>
        <patternFill>
          <bgColor rgb="FFB73E42"/>
        </patternFill>
      </fill>
    </dxf>
    <dxf>
      <fill>
        <patternFill>
          <bgColor rgb="FFE9CB69"/>
        </patternFill>
      </fill>
    </dxf>
    <dxf>
      <fill>
        <patternFill>
          <bgColor rgb="FF5CA794"/>
        </patternFill>
      </fill>
    </dxf>
  </dxfs>
  <tableStyles count="0" defaultTableStyle="TableStyleMedium2" defaultPivotStyle="PivotStyleLight16"/>
  <colors>
    <mruColors>
      <color rgb="FFB73E42"/>
      <color rgb="FF5CA794"/>
      <color rgb="FFE9CB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asvs:schema xmlns:asvs="http://www.w3.org/2001/XMLSchema" xmlns="">
      <asvs:element name="ASVS_Verifications">
        <asvs:complexType>
          <asvs:sequence>
            <asvs:element ref="Control" minOccurs="0" maxOccurs="unbounded"/>
          </asvs:sequence>
        </asvs:complexType>
      </asvs:element>
      <asvs:element name="Control">
        <asvs:complexType>
          <asvs:sequence>
            <asvs:element name="ControlNumber">
              <asvs:complexType>
                <asvs:simpleContent>
                  <asvs:extension base="asvs:string">
                    <asvs:attribute name="VerificationNumber" type="asvs:string"/>
                    <asvs:attribute name="SubVerificationNumber" type="asvs:string"/>
                  </asvs:extension>
                </asvs:simpleContent>
              </asvs:complexType>
            </asvs:element>
            <asvs:element name="ControlDescription" type="asvs:string"/>
            <asvs:element name="ControlResult" type="asvs:string"/>
            <asvs:element name="Level1" type="asvs:boolean"/>
            <asvs:element name="Level2" type="asvs:boolean"/>
            <asvs:element name="Level3" type="asvs:boolean"/>
          </asvs:sequence>
        </asvs:complexType>
      </asvs:element>
    </asvs:schema>
  </Schema>
  <Map ID="1" Name="ASVS_Verifications_Map" RootElement="ASVS_Verifications"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xmlMaps" Target="xmlMap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6"/>
          <c:order val="6"/>
          <c:tx>
            <c:v>Score</c:v>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'Score Card 4.0'!$B$5:$B$82</c:f>
              <c:strCache>
                <c:ptCount val="14"/>
                <c:pt idx="0">
                  <c:v>Architecture, Design and Threat Modeling Requirements Total</c:v>
                </c:pt>
                <c:pt idx="1">
                  <c:v>Authentication Verification Requirements Total</c:v>
                </c:pt>
                <c:pt idx="2">
                  <c:v>Session Management Verification Requirements Total</c:v>
                </c:pt>
                <c:pt idx="3">
                  <c:v>Access Control Verification Requirements Total</c:v>
                </c:pt>
                <c:pt idx="4">
                  <c:v>Validation, Sanitization and Encoding Verification Requirements Total</c:v>
                </c:pt>
                <c:pt idx="5">
                  <c:v>Stored Cryptography Verification Requirements Total</c:v>
                </c:pt>
                <c:pt idx="6">
                  <c:v>Error Handling and Logging Verification Requirements Total</c:v>
                </c:pt>
                <c:pt idx="7">
                  <c:v>Data Protection Verification Requirements Total</c:v>
                </c:pt>
                <c:pt idx="8">
                  <c:v>Communications Verification Requirements Total</c:v>
                </c:pt>
                <c:pt idx="9">
                  <c:v>Malicious Code Verification Requirements Total</c:v>
                </c:pt>
                <c:pt idx="10">
                  <c:v>Business Logic Verification Requirements Total</c:v>
                </c:pt>
                <c:pt idx="11">
                  <c:v>File and Resources Verification Requirements Total</c:v>
                </c:pt>
                <c:pt idx="12">
                  <c:v>API and Web Service Verification Requirements Total</c:v>
                </c:pt>
                <c:pt idx="13">
                  <c:v>Configuration Verification Requirements Total</c:v>
                </c:pt>
              </c:strCache>
            </c:strRef>
          </c:cat>
          <c:val>
            <c:numRef>
              <c:f>'Score Card 4.0'!$I$5:$I$82</c:f>
              <c:numCache>
                <c:formatCode>#,##0.00_);[Red]\(#,##0.00\)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6-29DE-4829-8AE2-0B23EE8A1AB5}"/>
            </c:ext>
          </c:extLst>
        </c:ser>
        <c:dLbls>
          <c:showLegendKey val="0"/>
          <c:showVal val="0"/>
          <c:showCatName val="0"/>
          <c:showSerName val="0"/>
          <c:showPercent val="0"/>
          <c:showBubbleSize val="0"/>
        </c:dLbls>
        <c:axId val="550110712"/>
        <c:axId val="550113992"/>
        <c:extLst>
          <c:ext xmlns:c15="http://schemas.microsoft.com/office/drawing/2012/chart" uri="{02D57815-91ED-43cb-92C2-25804820EDAC}">
            <c15:filteredRadarSeries>
              <c15: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cat>
                  <c:strRef>
                    <c:extLst>
                      <c:ext uri="{02D57815-91ED-43cb-92C2-25804820EDAC}">
                        <c15:formulaRef>
                          <c15:sqref>'Score Card 4.0'!$B$5:$B$82</c15:sqref>
                        </c15:formulaRef>
                      </c:ext>
                    </c:extLst>
                    <c:strCache>
                      <c:ptCount val="14"/>
                      <c:pt idx="0">
                        <c:v>Architecture, Design and Threat Modeling Requirements Total</c:v>
                      </c:pt>
                      <c:pt idx="1">
                        <c:v>Authentication Verification Requirements Total</c:v>
                      </c:pt>
                      <c:pt idx="2">
                        <c:v>Session Management Verification Requirements Total</c:v>
                      </c:pt>
                      <c:pt idx="3">
                        <c:v>Access Control Verification Requirements Total</c:v>
                      </c:pt>
                      <c:pt idx="4">
                        <c:v>Validation, Sanitization and Encoding Verification Requirements Total</c:v>
                      </c:pt>
                      <c:pt idx="5">
                        <c:v>Stored Cryptography Verification Requirements Total</c:v>
                      </c:pt>
                      <c:pt idx="6">
                        <c:v>Error Handling and Logging Verification Requirements Total</c:v>
                      </c:pt>
                      <c:pt idx="7">
                        <c:v>Data Protection Verification Requirements Total</c:v>
                      </c:pt>
                      <c:pt idx="8">
                        <c:v>Communications Verification Requirements Total</c:v>
                      </c:pt>
                      <c:pt idx="9">
                        <c:v>Malicious Code Verification Requirements Total</c:v>
                      </c:pt>
                      <c:pt idx="10">
                        <c:v>Business Logic Verification Requirements Total</c:v>
                      </c:pt>
                      <c:pt idx="11">
                        <c:v>File and Resources Verification Requirements Total</c:v>
                      </c:pt>
                      <c:pt idx="12">
                        <c:v>API and Web Service Verification Requirements Total</c:v>
                      </c:pt>
                      <c:pt idx="13">
                        <c:v>Configuration Verification Requirements Total</c:v>
                      </c:pt>
                    </c:strCache>
                  </c:strRef>
                </c:cat>
                <c:val>
                  <c:numRef>
                    <c:extLst>
                      <c:ext uri="{02D57815-91ED-43cb-92C2-25804820EDAC}">
                        <c15:formulaRef>
                          <c15:sqref>'Score Card 4.0'!$C$5:$C$82</c15:sqref>
                        </c15:formulaRef>
                      </c:ext>
                    </c:extLst>
                    <c:numCache>
                      <c:formatCode>General</c:formatCode>
                      <c:ptCount val="14"/>
                    </c:numCache>
                  </c:numRef>
                </c:val>
                <c:extLst>
                  <c:ext xmlns:c16="http://schemas.microsoft.com/office/drawing/2014/chart" uri="{C3380CC4-5D6E-409C-BE32-E72D297353CC}">
                    <c16:uniqueId val="{00000000-29DE-4829-8AE2-0B23EE8A1AB5}"/>
                  </c:ext>
                </c:extLst>
              </c15:ser>
            </c15:filteredRadarSeries>
            <c15:filteredRadarSeries>
              <c15: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cat>
                  <c:strRef>
                    <c:extLst xmlns:c15="http://schemas.microsoft.com/office/drawing/2012/chart">
                      <c:ext xmlns:c15="http://schemas.microsoft.com/office/drawing/2012/chart" uri="{02D57815-91ED-43cb-92C2-25804820EDAC}">
                        <c15:formulaRef>
                          <c15:sqref>'Score Card 4.0'!$B$5:$B$82</c15:sqref>
                        </c15:formulaRef>
                      </c:ext>
                    </c:extLst>
                    <c:strCache>
                      <c:ptCount val="14"/>
                      <c:pt idx="0">
                        <c:v>Architecture, Design and Threat Modeling Requirements Total</c:v>
                      </c:pt>
                      <c:pt idx="1">
                        <c:v>Authentication Verification Requirements Total</c:v>
                      </c:pt>
                      <c:pt idx="2">
                        <c:v>Session Management Verification Requirements Total</c:v>
                      </c:pt>
                      <c:pt idx="3">
                        <c:v>Access Control Verification Requirements Total</c:v>
                      </c:pt>
                      <c:pt idx="4">
                        <c:v>Validation, Sanitization and Encoding Verification Requirements Total</c:v>
                      </c:pt>
                      <c:pt idx="5">
                        <c:v>Stored Cryptography Verification Requirements Total</c:v>
                      </c:pt>
                      <c:pt idx="6">
                        <c:v>Error Handling and Logging Verification Requirements Total</c:v>
                      </c:pt>
                      <c:pt idx="7">
                        <c:v>Data Protection Verification Requirements Total</c:v>
                      </c:pt>
                      <c:pt idx="8">
                        <c:v>Communications Verification Requirements Total</c:v>
                      </c:pt>
                      <c:pt idx="9">
                        <c:v>Malicious Code Verification Requirements Total</c:v>
                      </c:pt>
                      <c:pt idx="10">
                        <c:v>Business Logic Verification Requirements Total</c:v>
                      </c:pt>
                      <c:pt idx="11">
                        <c:v>File and Resources Verification Requirements Total</c:v>
                      </c:pt>
                      <c:pt idx="12">
                        <c:v>API and Web Service Verification Requirements Total</c:v>
                      </c:pt>
                      <c:pt idx="13">
                        <c:v>Configuration Verification Requirements Total</c:v>
                      </c:pt>
                    </c:strCache>
                  </c:strRef>
                </c:cat>
                <c:val>
                  <c:numRef>
                    <c:extLst xmlns:c15="http://schemas.microsoft.com/office/drawing/2012/chart">
                      <c:ext xmlns:c15="http://schemas.microsoft.com/office/drawing/2012/chart" uri="{02D57815-91ED-43cb-92C2-25804820EDAC}">
                        <c15:formulaRef>
                          <c15:sqref>'Score Card 4.0'!$D$5:$D$82</c15:sqref>
                        </c15:formulaRef>
                      </c:ext>
                    </c:extLst>
                    <c:numCache>
                      <c:formatCode>General</c:formatCode>
                      <c:ptCount val="14"/>
                    </c:numCache>
                  </c:numRef>
                </c:val>
                <c:extLst xmlns:c15="http://schemas.microsoft.com/office/drawing/2012/chart">
                  <c:ext xmlns:c16="http://schemas.microsoft.com/office/drawing/2014/chart" uri="{C3380CC4-5D6E-409C-BE32-E72D297353CC}">
                    <c16:uniqueId val="{00000001-29DE-4829-8AE2-0B23EE8A1AB5}"/>
                  </c:ext>
                </c:extLst>
              </c15:ser>
            </c15:filteredRadarSeries>
            <c15:filteredRadarSeries>
              <c15:ser>
                <c:idx val="2"/>
                <c:order val="2"/>
                <c:spPr>
                  <a:ln w="34925" cap="rnd">
                    <a:solidFill>
                      <a:schemeClr val="accent3"/>
                    </a:solidFill>
                    <a:round/>
                  </a:ln>
                  <a:effectLst>
                    <a:outerShdw blurRad="57150" dist="19050" dir="5400000" algn="ctr" rotWithShape="0">
                      <a:srgbClr val="000000">
                        <a:alpha val="63000"/>
                      </a:srgbClr>
                    </a:outerShdw>
                  </a:effectLst>
                </c:spPr>
                <c:marker>
                  <c:symbol val="none"/>
                </c:marker>
                <c:cat>
                  <c:strRef>
                    <c:extLst xmlns:c15="http://schemas.microsoft.com/office/drawing/2012/chart">
                      <c:ext xmlns:c15="http://schemas.microsoft.com/office/drawing/2012/chart" uri="{02D57815-91ED-43cb-92C2-25804820EDAC}">
                        <c15:formulaRef>
                          <c15:sqref>'Score Card 4.0'!$B$5:$B$82</c15:sqref>
                        </c15:formulaRef>
                      </c:ext>
                    </c:extLst>
                    <c:strCache>
                      <c:ptCount val="14"/>
                      <c:pt idx="0">
                        <c:v>Architecture, Design and Threat Modeling Requirements Total</c:v>
                      </c:pt>
                      <c:pt idx="1">
                        <c:v>Authentication Verification Requirements Total</c:v>
                      </c:pt>
                      <c:pt idx="2">
                        <c:v>Session Management Verification Requirements Total</c:v>
                      </c:pt>
                      <c:pt idx="3">
                        <c:v>Access Control Verification Requirements Total</c:v>
                      </c:pt>
                      <c:pt idx="4">
                        <c:v>Validation, Sanitization and Encoding Verification Requirements Total</c:v>
                      </c:pt>
                      <c:pt idx="5">
                        <c:v>Stored Cryptography Verification Requirements Total</c:v>
                      </c:pt>
                      <c:pt idx="6">
                        <c:v>Error Handling and Logging Verification Requirements Total</c:v>
                      </c:pt>
                      <c:pt idx="7">
                        <c:v>Data Protection Verification Requirements Total</c:v>
                      </c:pt>
                      <c:pt idx="8">
                        <c:v>Communications Verification Requirements Total</c:v>
                      </c:pt>
                      <c:pt idx="9">
                        <c:v>Malicious Code Verification Requirements Total</c:v>
                      </c:pt>
                      <c:pt idx="10">
                        <c:v>Business Logic Verification Requirements Total</c:v>
                      </c:pt>
                      <c:pt idx="11">
                        <c:v>File and Resources Verification Requirements Total</c:v>
                      </c:pt>
                      <c:pt idx="12">
                        <c:v>API and Web Service Verification Requirements Total</c:v>
                      </c:pt>
                      <c:pt idx="13">
                        <c:v>Configuration Verification Requirements Total</c:v>
                      </c:pt>
                    </c:strCache>
                  </c:strRef>
                </c:cat>
                <c:val>
                  <c:numRef>
                    <c:extLst xmlns:c15="http://schemas.microsoft.com/office/drawing/2012/chart">
                      <c:ext xmlns:c15="http://schemas.microsoft.com/office/drawing/2012/chart" uri="{02D57815-91ED-43cb-92C2-25804820EDAC}">
                        <c15:formulaRef>
                          <c15:sqref>'Score Card 4.0'!$E$5:$E$82</c15:sqref>
                        </c15:formulaRef>
                      </c:ext>
                    </c:extLst>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xmlns:c15="http://schemas.microsoft.com/office/drawing/2012/chart">
                  <c:ext xmlns:c16="http://schemas.microsoft.com/office/drawing/2014/chart" uri="{C3380CC4-5D6E-409C-BE32-E72D297353CC}">
                    <c16:uniqueId val="{00000002-29DE-4829-8AE2-0B23EE8A1AB5}"/>
                  </c:ext>
                </c:extLst>
              </c15:ser>
            </c15:filteredRadarSeries>
            <c15:filteredRadarSeries>
              <c15:ser>
                <c:idx val="3"/>
                <c:order val="3"/>
                <c:spPr>
                  <a:ln w="34925" cap="rnd">
                    <a:solidFill>
                      <a:schemeClr val="accent4"/>
                    </a:solidFill>
                    <a:round/>
                  </a:ln>
                  <a:effectLst>
                    <a:outerShdw blurRad="57150" dist="19050" dir="5400000" algn="ctr" rotWithShape="0">
                      <a:srgbClr val="000000">
                        <a:alpha val="63000"/>
                      </a:srgbClr>
                    </a:outerShdw>
                  </a:effectLst>
                </c:spPr>
                <c:marker>
                  <c:symbol val="none"/>
                </c:marker>
                <c:cat>
                  <c:strRef>
                    <c:extLst xmlns:c15="http://schemas.microsoft.com/office/drawing/2012/chart">
                      <c:ext xmlns:c15="http://schemas.microsoft.com/office/drawing/2012/chart" uri="{02D57815-91ED-43cb-92C2-25804820EDAC}">
                        <c15:formulaRef>
                          <c15:sqref>'Score Card 4.0'!$B$5:$B$82</c15:sqref>
                        </c15:formulaRef>
                      </c:ext>
                    </c:extLst>
                    <c:strCache>
                      <c:ptCount val="14"/>
                      <c:pt idx="0">
                        <c:v>Architecture, Design and Threat Modeling Requirements Total</c:v>
                      </c:pt>
                      <c:pt idx="1">
                        <c:v>Authentication Verification Requirements Total</c:v>
                      </c:pt>
                      <c:pt idx="2">
                        <c:v>Session Management Verification Requirements Total</c:v>
                      </c:pt>
                      <c:pt idx="3">
                        <c:v>Access Control Verification Requirements Total</c:v>
                      </c:pt>
                      <c:pt idx="4">
                        <c:v>Validation, Sanitization and Encoding Verification Requirements Total</c:v>
                      </c:pt>
                      <c:pt idx="5">
                        <c:v>Stored Cryptography Verification Requirements Total</c:v>
                      </c:pt>
                      <c:pt idx="6">
                        <c:v>Error Handling and Logging Verification Requirements Total</c:v>
                      </c:pt>
                      <c:pt idx="7">
                        <c:v>Data Protection Verification Requirements Total</c:v>
                      </c:pt>
                      <c:pt idx="8">
                        <c:v>Communications Verification Requirements Total</c:v>
                      </c:pt>
                      <c:pt idx="9">
                        <c:v>Malicious Code Verification Requirements Total</c:v>
                      </c:pt>
                      <c:pt idx="10">
                        <c:v>Business Logic Verification Requirements Total</c:v>
                      </c:pt>
                      <c:pt idx="11">
                        <c:v>File and Resources Verification Requirements Total</c:v>
                      </c:pt>
                      <c:pt idx="12">
                        <c:v>API and Web Service Verification Requirements Total</c:v>
                      </c:pt>
                      <c:pt idx="13">
                        <c:v>Configuration Verification Requirements Total</c:v>
                      </c:pt>
                    </c:strCache>
                  </c:strRef>
                </c:cat>
                <c:val>
                  <c:numRef>
                    <c:extLst xmlns:c15="http://schemas.microsoft.com/office/drawing/2012/chart">
                      <c:ext xmlns:c15="http://schemas.microsoft.com/office/drawing/2012/chart" uri="{02D57815-91ED-43cb-92C2-25804820EDAC}">
                        <c15:formulaRef>
                          <c15:sqref>'Score Card 4.0'!$F$5:$F$82</c15:sqref>
                        </c15:formulaRef>
                      </c:ext>
                    </c:extLst>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xmlns:c15="http://schemas.microsoft.com/office/drawing/2012/chart">
                  <c:ext xmlns:c16="http://schemas.microsoft.com/office/drawing/2014/chart" uri="{C3380CC4-5D6E-409C-BE32-E72D297353CC}">
                    <c16:uniqueId val="{00000003-29DE-4829-8AE2-0B23EE8A1AB5}"/>
                  </c:ext>
                </c:extLst>
              </c15:ser>
            </c15:filteredRadarSeries>
            <c15:filteredRadarSeries>
              <c15:ser>
                <c:idx val="4"/>
                <c:order val="4"/>
                <c:spPr>
                  <a:ln w="34925" cap="rnd">
                    <a:solidFill>
                      <a:schemeClr val="accent5"/>
                    </a:solidFill>
                    <a:round/>
                  </a:ln>
                  <a:effectLst>
                    <a:outerShdw blurRad="57150" dist="19050" dir="5400000" algn="ctr" rotWithShape="0">
                      <a:srgbClr val="000000">
                        <a:alpha val="63000"/>
                      </a:srgbClr>
                    </a:outerShdw>
                  </a:effectLst>
                </c:spPr>
                <c:marker>
                  <c:symbol val="none"/>
                </c:marker>
                <c:cat>
                  <c:strRef>
                    <c:extLst xmlns:c15="http://schemas.microsoft.com/office/drawing/2012/chart">
                      <c:ext xmlns:c15="http://schemas.microsoft.com/office/drawing/2012/chart" uri="{02D57815-91ED-43cb-92C2-25804820EDAC}">
                        <c15:formulaRef>
                          <c15:sqref>'Score Card 4.0'!$B$5:$B$82</c15:sqref>
                        </c15:formulaRef>
                      </c:ext>
                    </c:extLst>
                    <c:strCache>
                      <c:ptCount val="14"/>
                      <c:pt idx="0">
                        <c:v>Architecture, Design and Threat Modeling Requirements Total</c:v>
                      </c:pt>
                      <c:pt idx="1">
                        <c:v>Authentication Verification Requirements Total</c:v>
                      </c:pt>
                      <c:pt idx="2">
                        <c:v>Session Management Verification Requirements Total</c:v>
                      </c:pt>
                      <c:pt idx="3">
                        <c:v>Access Control Verification Requirements Total</c:v>
                      </c:pt>
                      <c:pt idx="4">
                        <c:v>Validation, Sanitization and Encoding Verification Requirements Total</c:v>
                      </c:pt>
                      <c:pt idx="5">
                        <c:v>Stored Cryptography Verification Requirements Total</c:v>
                      </c:pt>
                      <c:pt idx="6">
                        <c:v>Error Handling and Logging Verification Requirements Total</c:v>
                      </c:pt>
                      <c:pt idx="7">
                        <c:v>Data Protection Verification Requirements Total</c:v>
                      </c:pt>
                      <c:pt idx="8">
                        <c:v>Communications Verification Requirements Total</c:v>
                      </c:pt>
                      <c:pt idx="9">
                        <c:v>Malicious Code Verification Requirements Total</c:v>
                      </c:pt>
                      <c:pt idx="10">
                        <c:v>Business Logic Verification Requirements Total</c:v>
                      </c:pt>
                      <c:pt idx="11">
                        <c:v>File and Resources Verification Requirements Total</c:v>
                      </c:pt>
                      <c:pt idx="12">
                        <c:v>API and Web Service Verification Requirements Total</c:v>
                      </c:pt>
                      <c:pt idx="13">
                        <c:v>Configuration Verification Requirements Total</c:v>
                      </c:pt>
                    </c:strCache>
                  </c:strRef>
                </c:cat>
                <c:val>
                  <c:numRef>
                    <c:extLst xmlns:c15="http://schemas.microsoft.com/office/drawing/2012/chart">
                      <c:ext xmlns:c15="http://schemas.microsoft.com/office/drawing/2012/chart" uri="{02D57815-91ED-43cb-92C2-25804820EDAC}">
                        <c15:formulaRef>
                          <c15:sqref>'Score Card 4.0'!$G$5:$G$82</c15:sqref>
                        </c15:formulaRef>
                      </c:ext>
                    </c:extLst>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xmlns:c15="http://schemas.microsoft.com/office/drawing/2012/chart">
                  <c:ext xmlns:c16="http://schemas.microsoft.com/office/drawing/2014/chart" uri="{C3380CC4-5D6E-409C-BE32-E72D297353CC}">
                    <c16:uniqueId val="{00000004-29DE-4829-8AE2-0B23EE8A1AB5}"/>
                  </c:ext>
                </c:extLst>
              </c15:ser>
            </c15:filteredRadarSeries>
            <c15:filteredRadarSeries>
              <c15:ser>
                <c:idx val="5"/>
                <c:order val="5"/>
                <c:spPr>
                  <a:ln w="34925" cap="rnd">
                    <a:solidFill>
                      <a:schemeClr val="accent6"/>
                    </a:solidFill>
                    <a:round/>
                  </a:ln>
                  <a:effectLst>
                    <a:outerShdw blurRad="57150" dist="19050" dir="5400000" algn="ctr" rotWithShape="0">
                      <a:srgbClr val="000000">
                        <a:alpha val="63000"/>
                      </a:srgbClr>
                    </a:outerShdw>
                  </a:effectLst>
                </c:spPr>
                <c:marker>
                  <c:symbol val="none"/>
                </c:marker>
                <c:cat>
                  <c:strRef>
                    <c:extLst xmlns:c15="http://schemas.microsoft.com/office/drawing/2012/chart">
                      <c:ext xmlns:c15="http://schemas.microsoft.com/office/drawing/2012/chart" uri="{02D57815-91ED-43cb-92C2-25804820EDAC}">
                        <c15:formulaRef>
                          <c15:sqref>'Score Card 4.0'!$B$5:$B$82</c15:sqref>
                        </c15:formulaRef>
                      </c:ext>
                    </c:extLst>
                    <c:strCache>
                      <c:ptCount val="14"/>
                      <c:pt idx="0">
                        <c:v>Architecture, Design and Threat Modeling Requirements Total</c:v>
                      </c:pt>
                      <c:pt idx="1">
                        <c:v>Authentication Verification Requirements Total</c:v>
                      </c:pt>
                      <c:pt idx="2">
                        <c:v>Session Management Verification Requirements Total</c:v>
                      </c:pt>
                      <c:pt idx="3">
                        <c:v>Access Control Verification Requirements Total</c:v>
                      </c:pt>
                      <c:pt idx="4">
                        <c:v>Validation, Sanitization and Encoding Verification Requirements Total</c:v>
                      </c:pt>
                      <c:pt idx="5">
                        <c:v>Stored Cryptography Verification Requirements Total</c:v>
                      </c:pt>
                      <c:pt idx="6">
                        <c:v>Error Handling and Logging Verification Requirements Total</c:v>
                      </c:pt>
                      <c:pt idx="7">
                        <c:v>Data Protection Verification Requirements Total</c:v>
                      </c:pt>
                      <c:pt idx="8">
                        <c:v>Communications Verification Requirements Total</c:v>
                      </c:pt>
                      <c:pt idx="9">
                        <c:v>Malicious Code Verification Requirements Total</c:v>
                      </c:pt>
                      <c:pt idx="10">
                        <c:v>Business Logic Verification Requirements Total</c:v>
                      </c:pt>
                      <c:pt idx="11">
                        <c:v>File and Resources Verification Requirements Total</c:v>
                      </c:pt>
                      <c:pt idx="12">
                        <c:v>API and Web Service Verification Requirements Total</c:v>
                      </c:pt>
                      <c:pt idx="13">
                        <c:v>Configuration Verification Requirements Total</c:v>
                      </c:pt>
                    </c:strCache>
                  </c:strRef>
                </c:cat>
                <c:val>
                  <c:numRef>
                    <c:extLst xmlns:c15="http://schemas.microsoft.com/office/drawing/2012/chart">
                      <c:ext xmlns:c15="http://schemas.microsoft.com/office/drawing/2012/chart" uri="{02D57815-91ED-43cb-92C2-25804820EDAC}">
                        <c15:formulaRef>
                          <c15:sqref>'Score Card 4.0'!$H$5:$H$82</c15:sqref>
                        </c15:formulaRef>
                      </c:ext>
                    </c:extLst>
                    <c:numCache>
                      <c:formatCode>General</c:formatCode>
                      <c:ptCount val="14"/>
                      <c:pt idx="0">
                        <c:v>42</c:v>
                      </c:pt>
                      <c:pt idx="1">
                        <c:v>57</c:v>
                      </c:pt>
                      <c:pt idx="2">
                        <c:v>20</c:v>
                      </c:pt>
                      <c:pt idx="3">
                        <c:v>10</c:v>
                      </c:pt>
                      <c:pt idx="4">
                        <c:v>30</c:v>
                      </c:pt>
                      <c:pt idx="5">
                        <c:v>16</c:v>
                      </c:pt>
                      <c:pt idx="6">
                        <c:v>13</c:v>
                      </c:pt>
                      <c:pt idx="7">
                        <c:v>17</c:v>
                      </c:pt>
                      <c:pt idx="8">
                        <c:v>8</c:v>
                      </c:pt>
                      <c:pt idx="9">
                        <c:v>10</c:v>
                      </c:pt>
                      <c:pt idx="10">
                        <c:v>8</c:v>
                      </c:pt>
                      <c:pt idx="11">
                        <c:v>15</c:v>
                      </c:pt>
                      <c:pt idx="12">
                        <c:v>15</c:v>
                      </c:pt>
                      <c:pt idx="13">
                        <c:v>25</c:v>
                      </c:pt>
                    </c:numCache>
                  </c:numRef>
                </c:val>
                <c:extLst xmlns:c15="http://schemas.microsoft.com/office/drawing/2012/chart">
                  <c:ext xmlns:c16="http://schemas.microsoft.com/office/drawing/2014/chart" uri="{C3380CC4-5D6E-409C-BE32-E72D297353CC}">
                    <c16:uniqueId val="{00000005-29DE-4829-8AE2-0B23EE8A1AB5}"/>
                  </c:ext>
                </c:extLst>
              </c15:ser>
            </c15:filteredRadarSeries>
          </c:ext>
        </c:extLst>
      </c:radarChart>
      <c:catAx>
        <c:axId val="55011071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113992"/>
        <c:crosses val="autoZero"/>
        <c:auto val="1"/>
        <c:lblAlgn val="ctr"/>
        <c:lblOffset val="100"/>
        <c:noMultiLvlLbl val="0"/>
      </c:catAx>
      <c:valAx>
        <c:axId val="550113992"/>
        <c:scaling>
          <c:orientation val="minMax"/>
        </c:scaling>
        <c:delete val="0"/>
        <c:axPos val="l"/>
        <c:majorGridlines>
          <c:spPr>
            <a:ln w="9525" cap="flat" cmpd="sng" algn="ctr">
              <a:solidFill>
                <a:schemeClr val="tx1">
                  <a:lumMod val="15000"/>
                  <a:lumOff val="85000"/>
                </a:schemeClr>
              </a:solidFill>
              <a:round/>
            </a:ln>
            <a:effectLst/>
          </c:spPr>
        </c:majorGridlines>
        <c:numFmt formatCode="#,##0.00_);[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11071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mailto:=HYPERLINK(%22mailto:jay052005@outlook.com?subject=OWASP%20ASVS%20Scoring%20%20feedback%22,%22Contact%22)" TargetMode="Externa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13</xdr:col>
      <xdr:colOff>5906</xdr:colOff>
      <xdr:row>1</xdr:row>
      <xdr:rowOff>147110</xdr:rowOff>
    </xdr:from>
    <xdr:to>
      <xdr:col>15</xdr:col>
      <xdr:colOff>584644</xdr:colOff>
      <xdr:row>4</xdr:row>
      <xdr:rowOff>42513</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11606" y="385235"/>
          <a:ext cx="1797938" cy="60977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88</xdr:row>
      <xdr:rowOff>185736</xdr:rowOff>
    </xdr:from>
    <xdr:to>
      <xdr:col>8</xdr:col>
      <xdr:colOff>200025</xdr:colOff>
      <xdr:row>123</xdr:row>
      <xdr:rowOff>19049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0</xdr:row>
          <xdr:rowOff>69850</xdr:rowOff>
        </xdr:from>
        <xdr:to>
          <xdr:col>1</xdr:col>
          <xdr:colOff>1479550</xdr:colOff>
          <xdr:row>2</xdr:row>
          <xdr:rowOff>76200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V1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xdr:row>
          <xdr:rowOff>114300</xdr:rowOff>
        </xdr:from>
        <xdr:to>
          <xdr:col>1</xdr:col>
          <xdr:colOff>1479550</xdr:colOff>
          <xdr:row>4</xdr:row>
          <xdr:rowOff>127000</xdr:rowOff>
        </xdr:to>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200-00000B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0</xdr:row>
          <xdr:rowOff>38100</xdr:rowOff>
        </xdr:from>
        <xdr:to>
          <xdr:col>1</xdr:col>
          <xdr:colOff>1479550</xdr:colOff>
          <xdr:row>2</xdr:row>
          <xdr:rowOff>50800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V2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xdr:row>
          <xdr:rowOff>88900</xdr:rowOff>
        </xdr:from>
        <xdr:to>
          <xdr:col>1</xdr:col>
          <xdr:colOff>1479550</xdr:colOff>
          <xdr:row>4</xdr:row>
          <xdr:rowOff>107950</xdr:rowOff>
        </xdr:to>
        <xdr:sp macro="" textlink="">
          <xdr:nvSpPr>
            <xdr:cNvPr id="14352" name="Button 16" hidden="1">
              <a:extLst>
                <a:ext uri="{63B3BB69-23CF-44E3-9099-C40C66FF867C}">
                  <a14:compatExt spid="_x0000_s14352"/>
                </a:ext>
                <a:ext uri="{FF2B5EF4-FFF2-40B4-BE49-F238E27FC236}">
                  <a16:creationId xmlns:a16="http://schemas.microsoft.com/office/drawing/2014/main" id="{00000000-0008-0000-0300-0000103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0</xdr:row>
          <xdr:rowOff>50800</xdr:rowOff>
        </xdr:from>
        <xdr:to>
          <xdr:col>1</xdr:col>
          <xdr:colOff>1466850</xdr:colOff>
          <xdr:row>2</xdr:row>
          <xdr:rowOff>57150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400-0000014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V3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xdr:row>
          <xdr:rowOff>107950</xdr:rowOff>
        </xdr:from>
        <xdr:to>
          <xdr:col>1</xdr:col>
          <xdr:colOff>1466850</xdr:colOff>
          <xdr:row>4</xdr:row>
          <xdr:rowOff>114300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400-0000044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0</xdr:row>
          <xdr:rowOff>38100</xdr:rowOff>
        </xdr:from>
        <xdr:to>
          <xdr:col>1</xdr:col>
          <xdr:colOff>1441450</xdr:colOff>
          <xdr:row>2</xdr:row>
          <xdr:rowOff>50800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V4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2</xdr:row>
          <xdr:rowOff>107950</xdr:rowOff>
        </xdr:from>
        <xdr:to>
          <xdr:col>1</xdr:col>
          <xdr:colOff>1441450</xdr:colOff>
          <xdr:row>4</xdr:row>
          <xdr:rowOff>114300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500-0000044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0</xdr:row>
          <xdr:rowOff>31750</xdr:rowOff>
        </xdr:from>
        <xdr:to>
          <xdr:col>1</xdr:col>
          <xdr:colOff>1574800</xdr:colOff>
          <xdr:row>2</xdr:row>
          <xdr:rowOff>38100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V5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xdr:row>
          <xdr:rowOff>88900</xdr:rowOff>
        </xdr:from>
        <xdr:to>
          <xdr:col>1</xdr:col>
          <xdr:colOff>1574800</xdr:colOff>
          <xdr:row>4</xdr:row>
          <xdr:rowOff>95250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600-0000055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0</xdr:row>
          <xdr:rowOff>31750</xdr:rowOff>
        </xdr:from>
        <xdr:to>
          <xdr:col>1</xdr:col>
          <xdr:colOff>1574800</xdr:colOff>
          <xdr:row>2</xdr:row>
          <xdr:rowOff>50800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V6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xdr:row>
          <xdr:rowOff>88900</xdr:rowOff>
        </xdr:from>
        <xdr:to>
          <xdr:col>1</xdr:col>
          <xdr:colOff>1562100</xdr:colOff>
          <xdr:row>4</xdr:row>
          <xdr:rowOff>95250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700-0000045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0</xdr:row>
          <xdr:rowOff>31750</xdr:rowOff>
        </xdr:from>
        <xdr:to>
          <xdr:col>1</xdr:col>
          <xdr:colOff>1555750</xdr:colOff>
          <xdr:row>2</xdr:row>
          <xdr:rowOff>38100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V7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xdr:row>
          <xdr:rowOff>69850</xdr:rowOff>
        </xdr:from>
        <xdr:to>
          <xdr:col>1</xdr:col>
          <xdr:colOff>1555750</xdr:colOff>
          <xdr:row>4</xdr:row>
          <xdr:rowOff>88900</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800-000005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0</xdr:row>
          <xdr:rowOff>38100</xdr:rowOff>
        </xdr:from>
        <xdr:to>
          <xdr:col>1</xdr:col>
          <xdr:colOff>1555750</xdr:colOff>
          <xdr:row>2</xdr:row>
          <xdr:rowOff>50800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V8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xdr:row>
          <xdr:rowOff>88900</xdr:rowOff>
        </xdr:from>
        <xdr:to>
          <xdr:col>1</xdr:col>
          <xdr:colOff>1555750</xdr:colOff>
          <xdr:row>4</xdr:row>
          <xdr:rowOff>107950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900-0000045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31750</xdr:rowOff>
        </xdr:from>
        <xdr:to>
          <xdr:col>1</xdr:col>
          <xdr:colOff>1562100</xdr:colOff>
          <xdr:row>2</xdr:row>
          <xdr:rowOff>50800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V9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xdr:row>
          <xdr:rowOff>88900</xdr:rowOff>
        </xdr:from>
        <xdr:to>
          <xdr:col>1</xdr:col>
          <xdr:colOff>1555750</xdr:colOff>
          <xdr:row>4</xdr:row>
          <xdr:rowOff>95250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A00-0000046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38100</xdr:rowOff>
        </xdr:from>
        <xdr:to>
          <xdr:col>1</xdr:col>
          <xdr:colOff>1562100</xdr:colOff>
          <xdr:row>2</xdr:row>
          <xdr:rowOff>50800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B00-0000016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V10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xdr:row>
          <xdr:rowOff>88900</xdr:rowOff>
        </xdr:from>
        <xdr:to>
          <xdr:col>1</xdr:col>
          <xdr:colOff>1562100</xdr:colOff>
          <xdr:row>4</xdr:row>
          <xdr:rowOff>107950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B00-0000046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146050</xdr:colOff>
          <xdr:row>0</xdr:row>
          <xdr:rowOff>38100</xdr:rowOff>
        </xdr:from>
        <xdr:to>
          <xdr:col>1</xdr:col>
          <xdr:colOff>1504950</xdr:colOff>
          <xdr:row>2</xdr:row>
          <xdr:rowOff>50800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C00-0000016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V11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2</xdr:row>
          <xdr:rowOff>107950</xdr:rowOff>
        </xdr:from>
        <xdr:to>
          <xdr:col>1</xdr:col>
          <xdr:colOff>1504950</xdr:colOff>
          <xdr:row>4</xdr:row>
          <xdr:rowOff>114300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C00-0000046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50800</xdr:rowOff>
        </xdr:from>
        <xdr:to>
          <xdr:col>1</xdr:col>
          <xdr:colOff>1555750</xdr:colOff>
          <xdr:row>2</xdr:row>
          <xdr:rowOff>69850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D00-0000027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V12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95250</xdr:rowOff>
        </xdr:from>
        <xdr:to>
          <xdr:col>1</xdr:col>
          <xdr:colOff>1555750</xdr:colOff>
          <xdr:row>4</xdr:row>
          <xdr:rowOff>107950</xdr:rowOff>
        </xdr:to>
        <xdr:sp macro="" textlink="">
          <xdr:nvSpPr>
            <xdr:cNvPr id="28677" name="Button 5" hidden="1">
              <a:extLst>
                <a:ext uri="{63B3BB69-23CF-44E3-9099-C40C66FF867C}">
                  <a14:compatExt spid="_x0000_s28677"/>
                </a:ext>
                <a:ext uri="{FF2B5EF4-FFF2-40B4-BE49-F238E27FC236}">
                  <a16:creationId xmlns:a16="http://schemas.microsoft.com/office/drawing/2014/main" id="{00000000-0008-0000-0D00-0000057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57150</xdr:rowOff>
        </xdr:from>
        <xdr:to>
          <xdr:col>1</xdr:col>
          <xdr:colOff>1504950</xdr:colOff>
          <xdr:row>2</xdr:row>
          <xdr:rowOff>69850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V13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2</xdr:row>
          <xdr:rowOff>107950</xdr:rowOff>
        </xdr:from>
        <xdr:to>
          <xdr:col>1</xdr:col>
          <xdr:colOff>1504950</xdr:colOff>
          <xdr:row>4</xdr:row>
          <xdr:rowOff>127000</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E00-0000048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31750</xdr:rowOff>
        </xdr:from>
        <xdr:to>
          <xdr:col>1</xdr:col>
          <xdr:colOff>1536700</xdr:colOff>
          <xdr:row>2</xdr:row>
          <xdr:rowOff>50800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F00-0000018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V14 Answers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95250</xdr:rowOff>
        </xdr:from>
        <xdr:to>
          <xdr:col>1</xdr:col>
          <xdr:colOff>1536700</xdr:colOff>
          <xdr:row>4</xdr:row>
          <xdr:rowOff>107950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F00-0000038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800000"/>
                  </a:solidFill>
                  <a:latin typeface="Franklin Gothic Heavy"/>
                </a:rPr>
                <a:t>Reset All Answers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7AB4415-49E3-466C-814D-10C3D37CD55A}" name="Table1" displayName="Table1" ref="L1:S287" tableType="xml" totalsRowShown="0" headerRowDxfId="11" dataDxfId="9" headerRowBorderDxfId="10" tableBorderDxfId="8">
  <autoFilter ref="L1:S287" xr:uid="{8FD8B81B-96E2-46A8-81A1-A1D71D97B41E}"/>
  <tableColumns count="8">
    <tableColumn id="1" xr3:uid="{B638A22F-5387-4998-8283-0E0ED73F4201}" uniqueName="ControlNumber" name="Control" dataDxfId="7">
      <calculatedColumnFormula>E2</calculatedColumnFormula>
      <xmlColumnPr mapId="1" xpath="/ASVS_Verifications/Control/ControlNumber" xmlDataType="string"/>
    </tableColumn>
    <tableColumn id="2" xr3:uid="{E13489B2-1A83-4B3B-A2F1-28A425125177}" uniqueName="VerificationNumber" name="Category" dataDxfId="6">
      <calculatedColumnFormula>A2</calculatedColumnFormula>
      <xmlColumnPr mapId="1" xpath="/ASVS_Verifications/Control/ControlNumber/@VerificationNumber" xmlDataType="string"/>
    </tableColumn>
    <tableColumn id="3" xr3:uid="{E00AD161-6202-4DAF-A2BF-0E93A5755AE3}" uniqueName="SubVerificationNumber" name="Sub Category" dataDxfId="5">
      <calculatedColumnFormula>C2</calculatedColumnFormula>
      <xmlColumnPr mapId="1" xpath="/ASVS_Verifications/Control/ControlNumber/@SubVerificationNumber" xmlDataType="string"/>
    </tableColumn>
    <tableColumn id="4" xr3:uid="{75968DB6-53B0-467F-A0D6-4579BB18A135}" uniqueName="ControlDescription" name="Verification Description" dataDxfId="4">
      <calculatedColumnFormula>F2</calculatedColumnFormula>
      <xmlColumnPr mapId="1" xpath="/ASVS_Verifications/Control/ControlDescription" xmlDataType="string"/>
    </tableColumn>
    <tableColumn id="5" xr3:uid="{94936006-74EF-4F08-BEEA-D8907F86D9C3}" uniqueName="ControlResult" name="Result" dataDxfId="3">
      <calculatedColumnFormula>G2</calculatedColumnFormula>
      <xmlColumnPr mapId="1" xpath="/ASVS_Verifications/Control/ControlResult" xmlDataType="string"/>
    </tableColumn>
    <tableColumn id="6" xr3:uid="{A3D92FF8-AC08-4F00-B473-BEBF53814989}" uniqueName="Level1" name="L1" dataDxfId="2">
      <calculatedColumnFormula>H2</calculatedColumnFormula>
      <xmlColumnPr mapId="1" xpath="/ASVS_Verifications/Control/Level1" xmlDataType="boolean"/>
    </tableColumn>
    <tableColumn id="7" xr3:uid="{DB9DC5A8-9425-49F7-8ED0-793B4AC00D64}" uniqueName="Level2" name="L2" dataDxfId="1">
      <calculatedColumnFormula>I2</calculatedColumnFormula>
      <xmlColumnPr mapId="1" xpath="/ASVS_Verifications/Control/Level2" xmlDataType="boolean"/>
    </tableColumn>
    <tableColumn id="8" xr3:uid="{342C6445-5755-411B-B5F0-33A0B0784888}" uniqueName="Level3" name="L3" dataDxfId="0">
      <calculatedColumnFormula>J2</calculatedColumnFormula>
      <xmlColumnPr mapId="1" xpath="/ASVS_Verifications/Control/Level3" xmlDataType="boolean"/>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owasp.org/index.php/OWASP_Proactive_Controls" TargetMode="External"/><Relationship Id="rId13" Type="http://schemas.openxmlformats.org/officeDocument/2006/relationships/hyperlink" Target="https://www.owasp.org/index.php/OWASP_Proactive_Controls" TargetMode="External"/><Relationship Id="rId18" Type="http://schemas.openxmlformats.org/officeDocument/2006/relationships/ctrlProp" Target="../ctrlProps/ctrlProp2.xml"/><Relationship Id="rId3" Type="http://schemas.openxmlformats.org/officeDocument/2006/relationships/hyperlink" Target="https://www.owasp.org/index.php/OWASP_Proactive_Controls" TargetMode="External"/><Relationship Id="rId7" Type="http://schemas.openxmlformats.org/officeDocument/2006/relationships/hyperlink" Target="https://www.owasp.org/index.php/OWASP_Proactive_Controls" TargetMode="External"/><Relationship Id="rId12" Type="http://schemas.openxmlformats.org/officeDocument/2006/relationships/hyperlink" Target="https://www.owasp.org/index.php/OWASP_Proactive_Controls" TargetMode="External"/><Relationship Id="rId17" Type="http://schemas.openxmlformats.org/officeDocument/2006/relationships/ctrlProp" Target="../ctrlProps/ctrlProp1.xml"/><Relationship Id="rId2" Type="http://schemas.openxmlformats.org/officeDocument/2006/relationships/hyperlink" Target="https://www.owasp.org/index.php/OWASP_Proactive_Controls" TargetMode="External"/><Relationship Id="rId16" Type="http://schemas.openxmlformats.org/officeDocument/2006/relationships/vmlDrawing" Target="../drawings/vmlDrawing2.vml"/><Relationship Id="rId1" Type="http://schemas.openxmlformats.org/officeDocument/2006/relationships/hyperlink" Target="https://www.owasp.org/index.php/OWASP_Proactive_Controls" TargetMode="External"/><Relationship Id="rId6" Type="http://schemas.openxmlformats.org/officeDocument/2006/relationships/hyperlink" Target="https://www.owasp.org/index.php/OWASP_Proactive_Controls" TargetMode="External"/><Relationship Id="rId11" Type="http://schemas.openxmlformats.org/officeDocument/2006/relationships/hyperlink" Target="https://www.owasp.org/index.php/OWASP_Proactive_Controls" TargetMode="External"/><Relationship Id="rId5" Type="http://schemas.openxmlformats.org/officeDocument/2006/relationships/hyperlink" Target="https://www.owasp.org/index.php/OWASP_Proactive_Controls" TargetMode="External"/><Relationship Id="rId15" Type="http://schemas.openxmlformats.org/officeDocument/2006/relationships/drawing" Target="../drawings/drawing3.xml"/><Relationship Id="rId10" Type="http://schemas.openxmlformats.org/officeDocument/2006/relationships/hyperlink" Target="https://www.owasp.org/index.php/OWASP_Proactive_Controls" TargetMode="External"/><Relationship Id="rId4" Type="http://schemas.openxmlformats.org/officeDocument/2006/relationships/hyperlink" Target="https://www.owasp.org/index.php/OWASP_Proactive_Controls" TargetMode="External"/><Relationship Id="rId9" Type="http://schemas.openxmlformats.org/officeDocument/2006/relationships/hyperlink" Target="https://www.owasp.org/index.php/OWASP_Proactive_Controls" TargetMode="External"/><Relationship Id="rId1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owasp.org/index.php/OWASP_Proactive_Controls" TargetMode="External"/><Relationship Id="rId13" Type="http://schemas.openxmlformats.org/officeDocument/2006/relationships/drawing" Target="../drawings/drawing4.xml"/><Relationship Id="rId3" Type="http://schemas.openxmlformats.org/officeDocument/2006/relationships/hyperlink" Target="https://www.owasp.org/index.php/OWASP_Proactive_Controls" TargetMode="External"/><Relationship Id="rId7" Type="http://schemas.openxmlformats.org/officeDocument/2006/relationships/hyperlink" Target="https://www.owasp.org/index.php/OWASP_Proactive_Controls" TargetMode="External"/><Relationship Id="rId12" Type="http://schemas.openxmlformats.org/officeDocument/2006/relationships/hyperlink" Target="https://www.owasp.org/index.php/OWASP_Proactive_Controls" TargetMode="External"/><Relationship Id="rId2" Type="http://schemas.openxmlformats.org/officeDocument/2006/relationships/hyperlink" Target="https://www.owasp.org/index.php/OWASP_Proactive_Controls" TargetMode="External"/><Relationship Id="rId16" Type="http://schemas.openxmlformats.org/officeDocument/2006/relationships/ctrlProp" Target="../ctrlProps/ctrlProp4.xml"/><Relationship Id="rId1" Type="http://schemas.openxmlformats.org/officeDocument/2006/relationships/hyperlink" Target="https://www.owasp.org/index.php/OWASP_Proactive_Controls" TargetMode="External"/><Relationship Id="rId6" Type="http://schemas.openxmlformats.org/officeDocument/2006/relationships/hyperlink" Target="https://www.owasp.org/index.php/OWASP_Proactive_Controls" TargetMode="External"/><Relationship Id="rId11" Type="http://schemas.openxmlformats.org/officeDocument/2006/relationships/hyperlink" Target="https://www.owasp.org/index.php/OWASP_Proactive_Controls" TargetMode="External"/><Relationship Id="rId5" Type="http://schemas.openxmlformats.org/officeDocument/2006/relationships/hyperlink" Target="https://www.owasp.org/index.php/OWASP_Proactive_Controls" TargetMode="External"/><Relationship Id="rId15" Type="http://schemas.openxmlformats.org/officeDocument/2006/relationships/ctrlProp" Target="../ctrlProps/ctrlProp3.xml"/><Relationship Id="rId10" Type="http://schemas.openxmlformats.org/officeDocument/2006/relationships/hyperlink" Target="https://www.owasp.org/index.php/OWASP_Proactive_Controls" TargetMode="External"/><Relationship Id="rId4" Type="http://schemas.openxmlformats.org/officeDocument/2006/relationships/hyperlink" Target="https://www.owasp.org/index.php/OWASP_Proactive_Controls" TargetMode="External"/><Relationship Id="rId9" Type="http://schemas.openxmlformats.org/officeDocument/2006/relationships/hyperlink" Target="https://www.owasp.org/index.php/OWASP_Proactive_Controls" TargetMode="External"/><Relationship Id="rId1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8" Type="http://schemas.openxmlformats.org/officeDocument/2006/relationships/hyperlink" Target="https://www.owasp.org/index.php/OWASP_Proactive_Controls" TargetMode="External"/><Relationship Id="rId13" Type="http://schemas.openxmlformats.org/officeDocument/2006/relationships/ctrlProp" Target="../ctrlProps/ctrlProp5.xml"/><Relationship Id="rId3" Type="http://schemas.openxmlformats.org/officeDocument/2006/relationships/hyperlink" Target="https://www.owasp.org/index.php/OWASP_Proactive_Controls" TargetMode="External"/><Relationship Id="rId7" Type="http://schemas.openxmlformats.org/officeDocument/2006/relationships/hyperlink" Target="https://www.owasp.org/index.php/OWASP_Proactive_Controls" TargetMode="External"/><Relationship Id="rId12" Type="http://schemas.openxmlformats.org/officeDocument/2006/relationships/vmlDrawing" Target="../drawings/vmlDrawing4.vml"/><Relationship Id="rId2" Type="http://schemas.openxmlformats.org/officeDocument/2006/relationships/hyperlink" Target="https://www.owasp.org/index.php/OWASP_Proactive_Controls" TargetMode="External"/><Relationship Id="rId1" Type="http://schemas.openxmlformats.org/officeDocument/2006/relationships/hyperlink" Target="https://www.owasp.org/index.php/OWASP_Proactive_Controls" TargetMode="External"/><Relationship Id="rId6" Type="http://schemas.openxmlformats.org/officeDocument/2006/relationships/hyperlink" Target="https://www.owasp.org/index.php/OWASP_Proactive_Controls" TargetMode="External"/><Relationship Id="rId11" Type="http://schemas.openxmlformats.org/officeDocument/2006/relationships/drawing" Target="../drawings/drawing5.xml"/><Relationship Id="rId5" Type="http://schemas.openxmlformats.org/officeDocument/2006/relationships/hyperlink" Target="https://www.owasp.org/index.php/OWASP_Proactive_Controls" TargetMode="External"/><Relationship Id="rId10" Type="http://schemas.openxmlformats.org/officeDocument/2006/relationships/printerSettings" Target="../printerSettings/printerSettings4.bin"/><Relationship Id="rId4" Type="http://schemas.openxmlformats.org/officeDocument/2006/relationships/hyperlink" Target="https://www.owasp.org/index.php/OWASP_Proactive_Controls" TargetMode="External"/><Relationship Id="rId9" Type="http://schemas.openxmlformats.org/officeDocument/2006/relationships/hyperlink" Target="https://www.owasp.org/index.php/OWASP_Proactive_Controls" TargetMode="External"/><Relationship Id="rId1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owasp.org/index.php/OWASP_Proactive_Controls" TargetMode="External"/><Relationship Id="rId7" Type="http://schemas.openxmlformats.org/officeDocument/2006/relationships/ctrlProp" Target="../ctrlProps/ctrlProp8.xml"/><Relationship Id="rId2" Type="http://schemas.openxmlformats.org/officeDocument/2006/relationships/hyperlink" Target="https://www.owasp.org/index.php/OWASP_Proactive_Controls" TargetMode="External"/><Relationship Id="rId1" Type="http://schemas.openxmlformats.org/officeDocument/2006/relationships/hyperlink" Target="https://www.owasp.org/index.php/OWASP_Proactive_Controls" TargetMode="External"/><Relationship Id="rId6" Type="http://schemas.openxmlformats.org/officeDocument/2006/relationships/ctrlProp" Target="../ctrlProps/ctrlProp7.xml"/><Relationship Id="rId5" Type="http://schemas.openxmlformats.org/officeDocument/2006/relationships/vmlDrawing" Target="../drawings/vmlDrawing5.v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owasp.org/index.php/OWASP_Proactive_Controls" TargetMode="External"/><Relationship Id="rId13" Type="http://schemas.openxmlformats.org/officeDocument/2006/relationships/hyperlink" Target="https://www.owasp.org/index.php/OWASP_Proactive_Controls" TargetMode="External"/><Relationship Id="rId18" Type="http://schemas.openxmlformats.org/officeDocument/2006/relationships/ctrlProp" Target="../ctrlProps/ctrlProp10.xml"/><Relationship Id="rId3" Type="http://schemas.openxmlformats.org/officeDocument/2006/relationships/hyperlink" Target="https://www.owasp.org/index.php/OWASP_Proactive_Controls" TargetMode="External"/><Relationship Id="rId7" Type="http://schemas.openxmlformats.org/officeDocument/2006/relationships/hyperlink" Target="https://www.owasp.org/index.php/OWASP_Proactive_Controls" TargetMode="External"/><Relationship Id="rId12" Type="http://schemas.openxmlformats.org/officeDocument/2006/relationships/hyperlink" Target="https://www.owasp.org/index.php/OWASP_Proactive_Controls" TargetMode="External"/><Relationship Id="rId17" Type="http://schemas.openxmlformats.org/officeDocument/2006/relationships/ctrlProp" Target="../ctrlProps/ctrlProp9.xml"/><Relationship Id="rId2" Type="http://schemas.openxmlformats.org/officeDocument/2006/relationships/hyperlink" Target="https://www.owasp.org/index.php/OWASP_Proactive_Controls" TargetMode="External"/><Relationship Id="rId16" Type="http://schemas.openxmlformats.org/officeDocument/2006/relationships/vmlDrawing" Target="../drawings/vmlDrawing6.vml"/><Relationship Id="rId1" Type="http://schemas.openxmlformats.org/officeDocument/2006/relationships/hyperlink" Target="https://www.owasp.org/index.php/OWASP_Proactive_Controls" TargetMode="External"/><Relationship Id="rId6" Type="http://schemas.openxmlformats.org/officeDocument/2006/relationships/hyperlink" Target="https://www.owasp.org/index.php/OWASP_Proactive_Controls" TargetMode="External"/><Relationship Id="rId11" Type="http://schemas.openxmlformats.org/officeDocument/2006/relationships/hyperlink" Target="https://www.owasp.org/index.php/OWASP_Proactive_Controls" TargetMode="External"/><Relationship Id="rId5" Type="http://schemas.openxmlformats.org/officeDocument/2006/relationships/hyperlink" Target="https://www.owasp.org/index.php/OWASP_Proactive_Controls" TargetMode="External"/><Relationship Id="rId15" Type="http://schemas.openxmlformats.org/officeDocument/2006/relationships/drawing" Target="../drawings/drawing7.xml"/><Relationship Id="rId10" Type="http://schemas.openxmlformats.org/officeDocument/2006/relationships/hyperlink" Target="https://www.owasp.org/index.php/OWASP_Proactive_Controls" TargetMode="External"/><Relationship Id="rId4" Type="http://schemas.openxmlformats.org/officeDocument/2006/relationships/hyperlink" Target="https://www.owasp.org/index.php/OWASP_Proactive_Controls" TargetMode="External"/><Relationship Id="rId9" Type="http://schemas.openxmlformats.org/officeDocument/2006/relationships/hyperlink" Target="https://www.owasp.org/index.php/OWASP_Proactive_Controls" TargetMode="External"/><Relationship Id="rId14" Type="http://schemas.openxmlformats.org/officeDocument/2006/relationships/hyperlink" Target="https://www.owasp.org/index.php/OWASP_Proactive_Control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owasp.org/index.php/OWASP_Proactive_Controls" TargetMode="External"/><Relationship Id="rId13" Type="http://schemas.openxmlformats.org/officeDocument/2006/relationships/hyperlink" Target="https://www.owasp.org/index.php/OWASP_Proactive_Controls" TargetMode="External"/><Relationship Id="rId18" Type="http://schemas.openxmlformats.org/officeDocument/2006/relationships/hyperlink" Target="https://www.owasp.org/index.php/OWASP_Proactive_Controls" TargetMode="External"/><Relationship Id="rId26" Type="http://schemas.openxmlformats.org/officeDocument/2006/relationships/vmlDrawing" Target="../drawings/vmlDrawing7.vml"/><Relationship Id="rId3" Type="http://schemas.openxmlformats.org/officeDocument/2006/relationships/hyperlink" Target="https://www.owasp.org/index.php/OWASP_Proactive_Controls" TargetMode="External"/><Relationship Id="rId21" Type="http://schemas.openxmlformats.org/officeDocument/2006/relationships/hyperlink" Target="https://www.owasp.org/index.php/OWASP_Proactive_Controls" TargetMode="External"/><Relationship Id="rId7" Type="http://schemas.openxmlformats.org/officeDocument/2006/relationships/hyperlink" Target="https://www.owasp.org/index.php/OWASP_Proactive_Controls" TargetMode="External"/><Relationship Id="rId12" Type="http://schemas.openxmlformats.org/officeDocument/2006/relationships/hyperlink" Target="https://www.owasp.org/index.php/OWASP_Proactive_Controls" TargetMode="External"/><Relationship Id="rId17" Type="http://schemas.openxmlformats.org/officeDocument/2006/relationships/hyperlink" Target="https://www.owasp.org/index.php/OWASP_Proactive_Controls" TargetMode="External"/><Relationship Id="rId25" Type="http://schemas.openxmlformats.org/officeDocument/2006/relationships/drawing" Target="../drawings/drawing8.xml"/><Relationship Id="rId2" Type="http://schemas.openxmlformats.org/officeDocument/2006/relationships/hyperlink" Target="https://www.owasp.org/index.php/OWASP_Proactive_Controls" TargetMode="External"/><Relationship Id="rId16" Type="http://schemas.openxmlformats.org/officeDocument/2006/relationships/hyperlink" Target="https://www.owasp.org/index.php/OWASP_Proactive_Controls" TargetMode="External"/><Relationship Id="rId20" Type="http://schemas.openxmlformats.org/officeDocument/2006/relationships/hyperlink" Target="https://www.owasp.org/index.php/OWASP_Proactive_Controls" TargetMode="External"/><Relationship Id="rId1" Type="http://schemas.openxmlformats.org/officeDocument/2006/relationships/hyperlink" Target="https://www.owasp.org/index.php/OWASP_Proactive_Controls" TargetMode="External"/><Relationship Id="rId6" Type="http://schemas.openxmlformats.org/officeDocument/2006/relationships/hyperlink" Target="https://www.owasp.org/index.php/OWASP_Proactive_Controls" TargetMode="External"/><Relationship Id="rId11" Type="http://schemas.openxmlformats.org/officeDocument/2006/relationships/hyperlink" Target="https://www.owasp.org/index.php/OWASP_Proactive_Controls" TargetMode="External"/><Relationship Id="rId24" Type="http://schemas.openxmlformats.org/officeDocument/2006/relationships/hyperlink" Target="https://www.owasp.org/index.php/OWASP_Proactive_Controls" TargetMode="External"/><Relationship Id="rId5" Type="http://schemas.openxmlformats.org/officeDocument/2006/relationships/hyperlink" Target="https://www.owasp.org/index.php/OWASP_Proactive_Controls" TargetMode="External"/><Relationship Id="rId15" Type="http://schemas.openxmlformats.org/officeDocument/2006/relationships/hyperlink" Target="https://www.owasp.org/index.php/OWASP_Proactive_Controls" TargetMode="External"/><Relationship Id="rId23" Type="http://schemas.openxmlformats.org/officeDocument/2006/relationships/hyperlink" Target="https://www.owasp.org/index.php/OWASP_Proactive_Controls" TargetMode="External"/><Relationship Id="rId28" Type="http://schemas.openxmlformats.org/officeDocument/2006/relationships/ctrlProp" Target="../ctrlProps/ctrlProp12.xml"/><Relationship Id="rId10" Type="http://schemas.openxmlformats.org/officeDocument/2006/relationships/hyperlink" Target="https://www.owasp.org/index.php/OWASP_Proactive_Controls" TargetMode="External"/><Relationship Id="rId19" Type="http://schemas.openxmlformats.org/officeDocument/2006/relationships/hyperlink" Target="https://www.owasp.org/index.php/OWASP_Proactive_Controls" TargetMode="External"/><Relationship Id="rId4" Type="http://schemas.openxmlformats.org/officeDocument/2006/relationships/hyperlink" Target="https://www.owasp.org/index.php/OWASP_Proactive_Controls" TargetMode="External"/><Relationship Id="rId9" Type="http://schemas.openxmlformats.org/officeDocument/2006/relationships/hyperlink" Target="https://www.owasp.org/index.php/Cross-Site_Request_Forgery_(CSRF)_Prevention_Cheat_Sheet" TargetMode="External"/><Relationship Id="rId14" Type="http://schemas.openxmlformats.org/officeDocument/2006/relationships/hyperlink" Target="https://www.owasp.org/index.php/OWASP_Proactive_Controls" TargetMode="External"/><Relationship Id="rId22" Type="http://schemas.openxmlformats.org/officeDocument/2006/relationships/hyperlink" Target="https://www.owasp.org/index.php/OWASP_Proactive_Controls" TargetMode="External"/><Relationship Id="rId27"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owasp.org/index.php/OWASP_Proactive_Controls" TargetMode="External"/><Relationship Id="rId13" Type="http://schemas.openxmlformats.org/officeDocument/2006/relationships/vmlDrawing" Target="../drawings/vmlDrawing8.vml"/><Relationship Id="rId3" Type="http://schemas.openxmlformats.org/officeDocument/2006/relationships/hyperlink" Target="https://www.owasp.org/index.php/OWASP_Proactive_Controls" TargetMode="External"/><Relationship Id="rId7" Type="http://schemas.openxmlformats.org/officeDocument/2006/relationships/hyperlink" Target="https://www.owasp.org/index.php/OWASP_Proactive_Controls" TargetMode="External"/><Relationship Id="rId12" Type="http://schemas.openxmlformats.org/officeDocument/2006/relationships/drawing" Target="../drawings/drawing9.xml"/><Relationship Id="rId2" Type="http://schemas.openxmlformats.org/officeDocument/2006/relationships/hyperlink" Target="https://www.owasp.org/index.php/OWASP_Proactive_Controls" TargetMode="External"/><Relationship Id="rId1" Type="http://schemas.openxmlformats.org/officeDocument/2006/relationships/hyperlink" Target="https://www.owasp.org/index.php/OWASP_Proactive_Controls" TargetMode="External"/><Relationship Id="rId6" Type="http://schemas.openxmlformats.org/officeDocument/2006/relationships/hyperlink" Target="https://www.owasp.org/index.php/OWASP_Proactive_Controls" TargetMode="External"/><Relationship Id="rId11" Type="http://schemas.openxmlformats.org/officeDocument/2006/relationships/hyperlink" Target="https://www.owasp.org/index.php/OWASP_Proactive_Controls" TargetMode="External"/><Relationship Id="rId5" Type="http://schemas.openxmlformats.org/officeDocument/2006/relationships/hyperlink" Target="https://www.owasp.org/index.php/OWASP_Proactive_Controls" TargetMode="External"/><Relationship Id="rId15" Type="http://schemas.openxmlformats.org/officeDocument/2006/relationships/ctrlProp" Target="../ctrlProps/ctrlProp14.xml"/><Relationship Id="rId10" Type="http://schemas.openxmlformats.org/officeDocument/2006/relationships/hyperlink" Target="https://www.owasp.org/index.php/OWASP_Proactive_Controls" TargetMode="External"/><Relationship Id="rId4" Type="http://schemas.openxmlformats.org/officeDocument/2006/relationships/hyperlink" Target="https://www.owasp.org/index.php/OWASP_Proactive_Controls" TargetMode="External"/><Relationship Id="rId9" Type="http://schemas.openxmlformats.org/officeDocument/2006/relationships/hyperlink" Target="https://www.owasp.org/index.php/OWASP_Proactive_Controls" TargetMode="External"/><Relationship Id="rId1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owasp.org/index.php/OWASP_Proactive_Controls" TargetMode="External"/><Relationship Id="rId1" Type="http://schemas.openxmlformats.org/officeDocument/2006/relationships/hyperlink" Target="https://www.owasp.org/index.php/OWASP_Proactive_Controls" TargetMode="Externa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hyperlink" Target="https://www.owasp.org/index.php/OWASP_Proactive_Controls" TargetMode="Externa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5.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6.bin"/><Relationship Id="rId1" Type="http://schemas.openxmlformats.org/officeDocument/2006/relationships/hyperlink" Target="https://www.owasp.org/index.php/OWASP_Proactive_Controls" TargetMode="Externa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7.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hyperlink" Target="https://www.owasp.org/index.php/Cross-Site_Request_Forgery_(CSRF)_Prevention_Cheat_Sheet" TargetMode="Externa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hyperlink" Target="https://www.owasp.org/index.php/OWASP_Proactive_Controls" TargetMode="External"/><Relationship Id="rId7" Type="http://schemas.openxmlformats.org/officeDocument/2006/relationships/ctrlProp" Target="../ctrlProps/ctrlProp27.xml"/><Relationship Id="rId2" Type="http://schemas.openxmlformats.org/officeDocument/2006/relationships/hyperlink" Target="https://www.owasp.org/index.php/OWASP_Proactive_Controls" TargetMode="External"/><Relationship Id="rId1" Type="http://schemas.openxmlformats.org/officeDocument/2006/relationships/hyperlink" Target="https://www.owasp.org/index.php/OWASP_Proactive_Controls" TargetMode="External"/><Relationship Id="rId6" Type="http://schemas.openxmlformats.org/officeDocument/2006/relationships/vmlDrawing" Target="../drawings/vmlDrawing15.vml"/><Relationship Id="rId5" Type="http://schemas.openxmlformats.org/officeDocument/2006/relationships/drawing" Target="../drawings/drawing16.xml"/><Relationship Id="rId4" Type="http://schemas.openxmlformats.org/officeDocument/2006/relationships/hyperlink" Target="https://www.owasp.org/index.php/OWASP_Proactive_Controls"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D1A11-604E-4CA6-9178-C5FB2B728C01}">
  <sheetPr codeName="Sheet1"/>
  <dimension ref="A1:P18"/>
  <sheetViews>
    <sheetView showGridLines="0" showRowColHeaders="0" tabSelected="1" workbookViewId="0">
      <selection activeCell="B18" sqref="B18:C18"/>
    </sheetView>
  </sheetViews>
  <sheetFormatPr defaultColWidth="9.1796875" defaultRowHeight="14.5" x14ac:dyDescent="0.35"/>
  <cols>
    <col min="1" max="1" width="0.81640625" style="13" customWidth="1"/>
    <col min="2" max="3" width="14.7265625" style="1" customWidth="1"/>
    <col min="4" max="9" width="9.1796875" style="1"/>
    <col min="10" max="10" width="9.1796875" style="13"/>
    <col min="11" max="15" width="9.1796875" style="1"/>
    <col min="16" max="16" width="9.1796875" style="1" customWidth="1"/>
    <col min="17" max="16384" width="9.1796875" style="1"/>
  </cols>
  <sheetData>
    <row r="1" spans="2:16" s="2" customFormat="1" ht="18.75" customHeight="1" x14ac:dyDescent="0.45">
      <c r="B1" s="101" t="s">
        <v>874</v>
      </c>
      <c r="C1" s="101"/>
      <c r="D1" s="101"/>
      <c r="E1" s="101"/>
      <c r="F1" s="101"/>
      <c r="G1" s="101"/>
      <c r="H1" s="101"/>
      <c r="I1" s="101"/>
      <c r="J1" s="101"/>
      <c r="K1" s="101"/>
      <c r="L1" s="101"/>
      <c r="M1" s="101"/>
      <c r="N1" s="102" t="s">
        <v>835</v>
      </c>
      <c r="O1" s="102"/>
      <c r="P1" s="102"/>
    </row>
    <row r="2" spans="2:16" s="2" customFormat="1" ht="18.75" customHeight="1" x14ac:dyDescent="0.45">
      <c r="B2" s="101"/>
      <c r="C2" s="101"/>
      <c r="D2" s="101"/>
      <c r="E2" s="101"/>
      <c r="F2" s="101"/>
      <c r="G2" s="101"/>
      <c r="H2" s="101"/>
      <c r="I2" s="101"/>
      <c r="J2" s="101"/>
      <c r="K2" s="101"/>
      <c r="L2" s="101"/>
      <c r="M2" s="101"/>
      <c r="N2" s="103" t="str">
        <f>HYPERLINK("mailto:jay052005@outlook.com?subject=OWASP%20ASVS%20Scoring%20 feedback","Contact")</f>
        <v>Contact</v>
      </c>
      <c r="O2" s="103"/>
      <c r="P2" s="103"/>
    </row>
    <row r="3" spans="2:16" s="2" customFormat="1" ht="18.75" customHeight="1" x14ac:dyDescent="0.45">
      <c r="B3" s="101"/>
      <c r="C3" s="101"/>
      <c r="D3" s="101"/>
      <c r="E3" s="101"/>
      <c r="F3" s="101"/>
      <c r="G3" s="101"/>
      <c r="H3" s="101"/>
      <c r="I3" s="101"/>
      <c r="J3" s="101"/>
      <c r="K3" s="101"/>
      <c r="L3" s="101"/>
      <c r="M3" s="101"/>
      <c r="N3" s="103"/>
      <c r="O3" s="103"/>
      <c r="P3" s="103"/>
    </row>
    <row r="4" spans="2:16" s="2" customFormat="1" ht="18.75" customHeight="1" thickBot="1" x14ac:dyDescent="0.5">
      <c r="B4" s="101"/>
      <c r="C4" s="101"/>
      <c r="D4" s="101"/>
      <c r="E4" s="101"/>
      <c r="F4" s="101"/>
      <c r="G4" s="101"/>
      <c r="H4" s="101"/>
      <c r="I4" s="101"/>
      <c r="J4" s="101"/>
      <c r="K4" s="101"/>
      <c r="L4" s="101"/>
      <c r="M4" s="101"/>
      <c r="N4" s="103"/>
      <c r="O4" s="103"/>
      <c r="P4" s="103"/>
    </row>
    <row r="5" spans="2:16" x14ac:dyDescent="0.35">
      <c r="B5" s="92" t="s">
        <v>877</v>
      </c>
      <c r="C5" s="93"/>
      <c r="D5" s="93"/>
      <c r="E5" s="93"/>
      <c r="F5" s="93"/>
      <c r="G5" s="93"/>
      <c r="H5" s="93"/>
      <c r="I5" s="93"/>
      <c r="J5" s="93"/>
      <c r="K5" s="93"/>
      <c r="L5" s="93"/>
      <c r="M5" s="93"/>
      <c r="N5" s="93"/>
      <c r="O5" s="93"/>
      <c r="P5" s="94"/>
    </row>
    <row r="6" spans="2:16" x14ac:dyDescent="0.35">
      <c r="B6" s="95"/>
      <c r="C6" s="96"/>
      <c r="D6" s="96"/>
      <c r="E6" s="96"/>
      <c r="F6" s="96"/>
      <c r="G6" s="96"/>
      <c r="H6" s="96"/>
      <c r="I6" s="96"/>
      <c r="J6" s="96"/>
      <c r="K6" s="96"/>
      <c r="L6" s="96"/>
      <c r="M6" s="96"/>
      <c r="N6" s="96"/>
      <c r="O6" s="96"/>
      <c r="P6" s="97"/>
    </row>
    <row r="7" spans="2:16" x14ac:dyDescent="0.35">
      <c r="B7" s="95"/>
      <c r="C7" s="96"/>
      <c r="D7" s="96"/>
      <c r="E7" s="96"/>
      <c r="F7" s="96"/>
      <c r="G7" s="96"/>
      <c r="H7" s="96"/>
      <c r="I7" s="96"/>
      <c r="J7" s="96"/>
      <c r="K7" s="96"/>
      <c r="L7" s="96"/>
      <c r="M7" s="96"/>
      <c r="N7" s="96"/>
      <c r="O7" s="96"/>
      <c r="P7" s="97"/>
    </row>
    <row r="8" spans="2:16" x14ac:dyDescent="0.35">
      <c r="B8" s="95"/>
      <c r="C8" s="96"/>
      <c r="D8" s="96"/>
      <c r="E8" s="96"/>
      <c r="F8" s="96"/>
      <c r="G8" s="96"/>
      <c r="H8" s="96"/>
      <c r="I8" s="96"/>
      <c r="J8" s="96"/>
      <c r="K8" s="96"/>
      <c r="L8" s="96"/>
      <c r="M8" s="96"/>
      <c r="N8" s="96"/>
      <c r="O8" s="96"/>
      <c r="P8" s="97"/>
    </row>
    <row r="9" spans="2:16" x14ac:dyDescent="0.35">
      <c r="B9" s="95"/>
      <c r="C9" s="96"/>
      <c r="D9" s="96"/>
      <c r="E9" s="96"/>
      <c r="F9" s="96"/>
      <c r="G9" s="96"/>
      <c r="H9" s="96"/>
      <c r="I9" s="96"/>
      <c r="J9" s="96"/>
      <c r="K9" s="96"/>
      <c r="L9" s="96"/>
      <c r="M9" s="96"/>
      <c r="N9" s="96"/>
      <c r="O9" s="96"/>
      <c r="P9" s="97"/>
    </row>
    <row r="10" spans="2:16" x14ac:dyDescent="0.35">
      <c r="B10" s="95"/>
      <c r="C10" s="96"/>
      <c r="D10" s="96"/>
      <c r="E10" s="96"/>
      <c r="F10" s="96"/>
      <c r="G10" s="96"/>
      <c r="H10" s="96"/>
      <c r="I10" s="96"/>
      <c r="J10" s="96"/>
      <c r="K10" s="96"/>
      <c r="L10" s="96"/>
      <c r="M10" s="96"/>
      <c r="N10" s="96"/>
      <c r="O10" s="96"/>
      <c r="P10" s="97"/>
    </row>
    <row r="11" spans="2:16" x14ac:dyDescent="0.35">
      <c r="B11" s="95"/>
      <c r="C11" s="96"/>
      <c r="D11" s="96"/>
      <c r="E11" s="96"/>
      <c r="F11" s="96"/>
      <c r="G11" s="96"/>
      <c r="H11" s="96"/>
      <c r="I11" s="96"/>
      <c r="J11" s="96"/>
      <c r="K11" s="96"/>
      <c r="L11" s="96"/>
      <c r="M11" s="96"/>
      <c r="N11" s="96"/>
      <c r="O11" s="96"/>
      <c r="P11" s="97"/>
    </row>
    <row r="12" spans="2:16" ht="22" customHeight="1" thickBot="1" x14ac:dyDescent="0.4">
      <c r="B12" s="98"/>
      <c r="C12" s="99"/>
      <c r="D12" s="99"/>
      <c r="E12" s="99"/>
      <c r="F12" s="99"/>
      <c r="G12" s="99"/>
      <c r="H12" s="99"/>
      <c r="I12" s="99"/>
      <c r="J12" s="99"/>
      <c r="K12" s="99"/>
      <c r="L12" s="99"/>
      <c r="M12" s="99"/>
      <c r="N12" s="99"/>
      <c r="O12" s="99"/>
      <c r="P12" s="100"/>
    </row>
    <row r="13" spans="2:16" s="16" customFormat="1" ht="24" thickBot="1" x14ac:dyDescent="0.6">
      <c r="B13" s="66" t="s">
        <v>60</v>
      </c>
      <c r="C13" s="67"/>
      <c r="D13" s="67"/>
      <c r="E13" s="67"/>
      <c r="F13" s="67"/>
      <c r="G13" s="67"/>
      <c r="H13" s="67"/>
      <c r="I13" s="67"/>
      <c r="J13" s="67"/>
      <c r="K13" s="67"/>
      <c r="L13" s="67"/>
      <c r="M13" s="67"/>
      <c r="N13" s="67"/>
      <c r="O13" s="67"/>
      <c r="P13" s="67"/>
    </row>
    <row r="14" spans="2:16" s="2" customFormat="1" ht="19" thickTop="1" x14ac:dyDescent="0.45">
      <c r="B14" s="106">
        <v>0.35</v>
      </c>
      <c r="C14" s="106"/>
      <c r="D14" s="65" t="s">
        <v>875</v>
      </c>
    </row>
    <row r="15" spans="2:16" s="2" customFormat="1" ht="18.5" x14ac:dyDescent="0.45">
      <c r="B15" s="106">
        <v>0.7</v>
      </c>
      <c r="C15" s="106"/>
      <c r="D15" s="65" t="s">
        <v>876</v>
      </c>
    </row>
    <row r="16" spans="2:16" s="2" customFormat="1" ht="18.5" x14ac:dyDescent="0.45">
      <c r="B16" s="105" t="s">
        <v>57</v>
      </c>
      <c r="C16" s="105"/>
      <c r="D16" s="65" t="s">
        <v>880</v>
      </c>
    </row>
    <row r="17" spans="2:4" s="2" customFormat="1" ht="18.5" x14ac:dyDescent="0.45">
      <c r="B17" s="105" t="s">
        <v>35</v>
      </c>
      <c r="C17" s="105"/>
      <c r="D17" s="65" t="s">
        <v>879</v>
      </c>
    </row>
    <row r="18" spans="2:4" ht="18.5" x14ac:dyDescent="0.45">
      <c r="B18" s="104" t="s">
        <v>867</v>
      </c>
      <c r="C18" s="105"/>
      <c r="D18" s="65" t="s">
        <v>878</v>
      </c>
    </row>
  </sheetData>
  <sheetProtection algorithmName="SHA-512" hashValue="jvKYpQ3mdHwi8JzCelFa7EF7wtT/3x0PxcFk1kK2bMeSGlCnLzla3lEXWhXoCl/TQ2/sgDaVYyYcAJjc8Y7VPA==" saltValue="a+Pg9BfISXknW1VMb0gEsw==" spinCount="100000" sheet="1" objects="1" scenarios="1" formatCells="0"/>
  <mergeCells count="9">
    <mergeCell ref="B5:P12"/>
    <mergeCell ref="B1:M4"/>
    <mergeCell ref="N1:P1"/>
    <mergeCell ref="N2:P4"/>
    <mergeCell ref="B18:C18"/>
    <mergeCell ref="B17:C17"/>
    <mergeCell ref="B14:C14"/>
    <mergeCell ref="B15:C15"/>
    <mergeCell ref="B16:C16"/>
  </mergeCells>
  <dataValidations count="3">
    <dataValidation type="list" allowBlank="1" showInputMessage="1" showErrorMessage="1" promptTitle="Include Not Applicable?" prompt="Select yes or no to include &quot;Not Applicable&quot; answers in the score calculation" sqref="B16" xr:uid="{F85CE91C-CE77-47D7-9AA8-4E8312D857FF}">
      <formula1>INCLUDE_NA</formula1>
    </dataValidation>
    <dataValidation type="list" allowBlank="1" showInputMessage="1" showErrorMessage="1" sqref="B17:C17" xr:uid="{09B1EAAA-DE88-4E25-AC27-DF88F5663B22}">
      <formula1>ASSESSMENT_LEVEL</formula1>
    </dataValidation>
    <dataValidation type="list" allowBlank="1" showInputMessage="1" sqref="B18:C18" xr:uid="{BB2ED316-6A07-489F-B1B2-47040AFB0E15}">
      <formula1>THEMES</formula1>
    </dataValidation>
  </dataValidation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70345-D673-4C6F-A0E5-2AEE23CFC544}">
  <sheetPr codeName="Sheet7">
    <outlinePr summaryBelow="0"/>
  </sheetPr>
  <dimension ref="A1:K87"/>
  <sheetViews>
    <sheetView showGridLines="0" showRowColHeaders="0" workbookViewId="0">
      <selection activeCell="A5" sqref="A5"/>
    </sheetView>
  </sheetViews>
  <sheetFormatPr defaultColWidth="9.1796875" defaultRowHeight="14.5" outlineLevelRow="2" x14ac:dyDescent="0.35"/>
  <cols>
    <col min="1" max="1" width="5" style="30" customWidth="1"/>
    <col min="2" max="2" width="41.1796875" style="13" customWidth="1"/>
    <col min="3" max="3" width="11.7265625" style="30" customWidth="1"/>
    <col min="4" max="4" width="69.7265625" style="13" customWidth="1"/>
    <col min="5" max="5" width="13.54296875" style="13" customWidth="1"/>
    <col min="6" max="6" width="13.26953125" style="13" customWidth="1"/>
    <col min="7" max="7" width="13.453125" style="13" customWidth="1"/>
    <col min="8" max="8" width="12.1796875" style="13" customWidth="1"/>
    <col min="9" max="9" width="11.54296875" style="13" customWidth="1"/>
    <col min="10" max="16384" width="9.1796875" style="13"/>
  </cols>
  <sheetData>
    <row r="1" spans="1:9" ht="38.25" customHeight="1" thickBot="1" x14ac:dyDescent="0.55000000000000004">
      <c r="A1" s="82"/>
      <c r="B1" s="83" t="s">
        <v>39</v>
      </c>
      <c r="C1" s="82" t="str">
        <f>SELECTED_ASSESSMENT_LEVEL</f>
        <v>Advanced</v>
      </c>
      <c r="D1" s="84"/>
      <c r="E1" s="85"/>
      <c r="F1" s="85" t="s">
        <v>61</v>
      </c>
      <c r="G1" s="85" t="str">
        <f>INCLUDE_NA_ANSWER</f>
        <v>Yes</v>
      </c>
      <c r="H1" s="85"/>
      <c r="I1" s="85"/>
    </row>
    <row r="2" spans="1:9" ht="15" thickTop="1" x14ac:dyDescent="0.35">
      <c r="A2" s="13"/>
      <c r="C2" s="13"/>
    </row>
    <row r="3" spans="1:9" s="28" customFormat="1" ht="42" customHeight="1" thickBot="1" x14ac:dyDescent="0.5">
      <c r="A3" s="27"/>
      <c r="B3" s="27" t="s">
        <v>793</v>
      </c>
      <c r="C3" s="27" t="s">
        <v>791</v>
      </c>
      <c r="D3" s="27" t="s">
        <v>790</v>
      </c>
      <c r="E3" s="27" t="str">
        <f>SCORE_PASS</f>
        <v>Pass</v>
      </c>
      <c r="F3" s="27" t="str">
        <f>SCORE_FAIL</f>
        <v>Fail</v>
      </c>
      <c r="G3" s="27" t="str">
        <f>SCORE_NA</f>
        <v>Not Applicable</v>
      </c>
      <c r="H3" s="27" t="s">
        <v>37</v>
      </c>
      <c r="I3" s="27" t="s">
        <v>38</v>
      </c>
    </row>
    <row r="4" spans="1:9" ht="19" thickTop="1" x14ac:dyDescent="0.45">
      <c r="A4" s="31"/>
      <c r="B4" s="34" t="s">
        <v>794</v>
      </c>
      <c r="C4" s="31"/>
      <c r="D4" s="32"/>
      <c r="E4" s="32">
        <f ca="1">SUBTOTAL(9,E6:E87)</f>
        <v>0</v>
      </c>
      <c r="F4" s="33">
        <f ca="1">SUBTOTAL(9,F6:F87)</f>
        <v>0</v>
      </c>
      <c r="G4" s="33">
        <f ca="1">SUBTOTAL(9,G6:G87)</f>
        <v>0</v>
      </c>
      <c r="H4" s="32">
        <f>SUBTOTAL(9,H6:H87)</f>
        <v>286</v>
      </c>
      <c r="I4" s="89">
        <f t="shared" ref="I4:I35" ca="1" si="0">IF(INCLUDE_NA_ANSWER="Yes", IF((E4+F4+G4)&lt;H4, 0,IF((E4+F4+G4)=0,0,E4/(E4+F4+G4))), IF((E4+F4+G4)&lt;H4,0,IF((E4+F4)=0,0,E4/(E4+F4))))</f>
        <v>0</v>
      </c>
    </row>
    <row r="5" spans="1:9" ht="18.5" outlineLevel="1" collapsed="1" x14ac:dyDescent="0.45">
      <c r="A5" s="31"/>
      <c r="B5" s="50" t="s">
        <v>808</v>
      </c>
      <c r="C5" s="31"/>
      <c r="D5" s="32"/>
      <c r="E5" s="32">
        <f ca="1">SUBTOTAL(9,E6:E17)</f>
        <v>0</v>
      </c>
      <c r="F5" s="33">
        <f ca="1">SUBTOTAL(9,F6:F17)</f>
        <v>0</v>
      </c>
      <c r="G5" s="33">
        <f ca="1">SUBTOTAL(9,G6:G17)</f>
        <v>0</v>
      </c>
      <c r="H5" s="32">
        <f>SUBTOTAL(9,H6:H17)</f>
        <v>42</v>
      </c>
      <c r="I5" s="89">
        <f t="shared" ca="1" si="0"/>
        <v>0</v>
      </c>
    </row>
    <row r="6" spans="1:9" ht="18.5" hidden="1" outlineLevel="2" x14ac:dyDescent="0.45">
      <c r="A6" s="29" t="s">
        <v>40</v>
      </c>
      <c r="B6" s="51" t="s">
        <v>172</v>
      </c>
      <c r="C6" s="29" t="s">
        <v>78</v>
      </c>
      <c r="D6" s="12" t="s">
        <v>63</v>
      </c>
      <c r="E6" s="12">
        <f ca="1">COUNTIF(INDIRECT("VERIFY"&amp;MID($C6, 2, 5)), $E$3)</f>
        <v>0</v>
      </c>
      <c r="F6" s="18">
        <f ca="1">COUNTIF(INDIRECT("VERIFY"&amp;MID($C6, 2, 4)), $F$3)</f>
        <v>0</v>
      </c>
      <c r="G6" s="18">
        <f ca="1">COUNTIF(INDIRECT("VERIFY"&amp;MID($C6, 2, 4)), $G$3)</f>
        <v>0</v>
      </c>
      <c r="H6" s="12">
        <f>TOTAL_ASVS_V1.1</f>
        <v>7</v>
      </c>
      <c r="I6" s="90">
        <f t="shared" ca="1" si="0"/>
        <v>0</v>
      </c>
    </row>
    <row r="7" spans="1:9" ht="18.5" hidden="1" outlineLevel="2" x14ac:dyDescent="0.45">
      <c r="A7" s="29" t="s">
        <v>40</v>
      </c>
      <c r="B7" s="51" t="s">
        <v>172</v>
      </c>
      <c r="C7" s="29" t="s">
        <v>88</v>
      </c>
      <c r="D7" s="12" t="s">
        <v>89</v>
      </c>
      <c r="E7" s="12">
        <f t="shared" ref="E7:E17" ca="1" si="1">COUNTIF(INDIRECT("VERIFY"&amp;MID($C7, 2, 5)), $E$3)</f>
        <v>0</v>
      </c>
      <c r="F7" s="18">
        <f t="shared" ref="F7:F17" ca="1" si="2">COUNTIF(INDIRECT("VERIFY"&amp;MID($C7, 2, 4)), $F$3)</f>
        <v>0</v>
      </c>
      <c r="G7" s="18">
        <f t="shared" ref="G7:G17" ca="1" si="3">COUNTIF(INDIRECT("VERIFY"&amp;MID($C7, 2, 4)), $G$3)</f>
        <v>0</v>
      </c>
      <c r="H7" s="12">
        <f>TOTAL_ASVS_V1.2</f>
        <v>4</v>
      </c>
      <c r="I7" s="90">
        <f t="shared" ca="1" si="0"/>
        <v>0</v>
      </c>
    </row>
    <row r="8" spans="1:9" ht="18.5" hidden="1" outlineLevel="2" x14ac:dyDescent="0.45">
      <c r="A8" s="29" t="s">
        <v>40</v>
      </c>
      <c r="B8" s="51" t="s">
        <v>172</v>
      </c>
      <c r="C8" s="29" t="s">
        <v>90</v>
      </c>
      <c r="D8" s="12" t="s">
        <v>91</v>
      </c>
      <c r="E8" s="12">
        <f t="shared" ca="1" si="1"/>
        <v>0</v>
      </c>
      <c r="F8" s="18">
        <f t="shared" ca="1" si="2"/>
        <v>0</v>
      </c>
      <c r="G8" s="18">
        <f t="shared" ca="1" si="3"/>
        <v>0</v>
      </c>
      <c r="H8" s="12">
        <f>TOTAL_ASVS_V1.4</f>
        <v>5</v>
      </c>
      <c r="I8" s="90">
        <f t="shared" ca="1" si="0"/>
        <v>0</v>
      </c>
    </row>
    <row r="9" spans="1:9" ht="18.5" hidden="1" outlineLevel="2" x14ac:dyDescent="0.45">
      <c r="A9" s="29" t="s">
        <v>40</v>
      </c>
      <c r="B9" s="51" t="s">
        <v>172</v>
      </c>
      <c r="C9" s="29" t="s">
        <v>102</v>
      </c>
      <c r="D9" s="12" t="s">
        <v>103</v>
      </c>
      <c r="E9" s="12">
        <f t="shared" ca="1" si="1"/>
        <v>0</v>
      </c>
      <c r="F9" s="18">
        <f t="shared" ca="1" si="2"/>
        <v>0</v>
      </c>
      <c r="G9" s="18">
        <f t="shared" ca="1" si="3"/>
        <v>0</v>
      </c>
      <c r="H9" s="12">
        <f>TOTAL_ASVS_V1.5</f>
        <v>4</v>
      </c>
      <c r="I9" s="90">
        <f t="shared" ca="1" si="0"/>
        <v>0</v>
      </c>
    </row>
    <row r="10" spans="1:9" ht="18.5" hidden="1" outlineLevel="2" x14ac:dyDescent="0.45">
      <c r="A10" s="29" t="s">
        <v>40</v>
      </c>
      <c r="B10" s="51" t="s">
        <v>172</v>
      </c>
      <c r="C10" s="29" t="s">
        <v>112</v>
      </c>
      <c r="D10" s="12" t="s">
        <v>113</v>
      </c>
      <c r="E10" s="12">
        <f t="shared" ca="1" si="1"/>
        <v>0</v>
      </c>
      <c r="F10" s="18">
        <f t="shared" ca="1" si="2"/>
        <v>0</v>
      </c>
      <c r="G10" s="18">
        <f t="shared" ca="1" si="3"/>
        <v>0</v>
      </c>
      <c r="H10" s="12">
        <f>TOTAL_ASVS_V1.6</f>
        <v>4</v>
      </c>
      <c r="I10" s="90">
        <f t="shared" ca="1" si="0"/>
        <v>0</v>
      </c>
    </row>
    <row r="11" spans="1:9" ht="18.5" hidden="1" outlineLevel="2" x14ac:dyDescent="0.45">
      <c r="A11" s="29" t="s">
        <v>40</v>
      </c>
      <c r="B11" s="51" t="s">
        <v>172</v>
      </c>
      <c r="C11" s="29" t="s">
        <v>122</v>
      </c>
      <c r="D11" s="12" t="s">
        <v>123</v>
      </c>
      <c r="E11" s="12">
        <f t="shared" ca="1" si="1"/>
        <v>0</v>
      </c>
      <c r="F11" s="18">
        <f t="shared" ca="1" si="2"/>
        <v>0</v>
      </c>
      <c r="G11" s="18">
        <f t="shared" ca="1" si="3"/>
        <v>0</v>
      </c>
      <c r="H11" s="12">
        <f>TOTAL_ASVS_V1.7</f>
        <v>2</v>
      </c>
      <c r="I11" s="90">
        <f t="shared" ca="1" si="0"/>
        <v>0</v>
      </c>
    </row>
    <row r="12" spans="1:9" ht="18.5" hidden="1" outlineLevel="2" x14ac:dyDescent="0.45">
      <c r="A12" s="29" t="s">
        <v>40</v>
      </c>
      <c r="B12" s="51" t="s">
        <v>172</v>
      </c>
      <c r="C12" s="29" t="s">
        <v>128</v>
      </c>
      <c r="D12" s="12" t="s">
        <v>129</v>
      </c>
      <c r="E12" s="12">
        <f t="shared" ca="1" si="1"/>
        <v>0</v>
      </c>
      <c r="F12" s="18">
        <f t="shared" ca="1" si="2"/>
        <v>0</v>
      </c>
      <c r="G12" s="18">
        <f t="shared" ca="1" si="3"/>
        <v>0</v>
      </c>
      <c r="H12" s="12">
        <f>TOTAL_ASVS_V1.8</f>
        <v>2</v>
      </c>
      <c r="I12" s="90">
        <f t="shared" ca="1" si="0"/>
        <v>0</v>
      </c>
    </row>
    <row r="13" spans="1:9" ht="18.5" hidden="1" outlineLevel="2" x14ac:dyDescent="0.45">
      <c r="A13" s="29" t="s">
        <v>40</v>
      </c>
      <c r="B13" s="51" t="s">
        <v>172</v>
      </c>
      <c r="C13" s="29" t="s">
        <v>134</v>
      </c>
      <c r="D13" s="12" t="s">
        <v>135</v>
      </c>
      <c r="E13" s="12">
        <f t="shared" ca="1" si="1"/>
        <v>0</v>
      </c>
      <c r="F13" s="18">
        <f t="shared" ca="1" si="2"/>
        <v>0</v>
      </c>
      <c r="G13" s="18">
        <f t="shared" ca="1" si="3"/>
        <v>0</v>
      </c>
      <c r="H13" s="12">
        <f>TOTAL_ASVS_V1.9</f>
        <v>2</v>
      </c>
      <c r="I13" s="90">
        <f t="shared" ca="1" si="0"/>
        <v>0</v>
      </c>
    </row>
    <row r="14" spans="1:9" ht="18.5" hidden="1" outlineLevel="2" x14ac:dyDescent="0.45">
      <c r="A14" s="29" t="s">
        <v>40</v>
      </c>
      <c r="B14" s="51" t="s">
        <v>172</v>
      </c>
      <c r="C14" s="29" t="s">
        <v>140</v>
      </c>
      <c r="D14" s="12" t="s">
        <v>141</v>
      </c>
      <c r="E14" s="12">
        <f t="shared" ca="1" si="1"/>
        <v>0</v>
      </c>
      <c r="F14" s="18">
        <f t="shared" ca="1" si="2"/>
        <v>0</v>
      </c>
      <c r="G14" s="18">
        <f t="shared" ca="1" si="3"/>
        <v>0</v>
      </c>
      <c r="H14" s="12">
        <f>TOTAL_ASVS_V1.10</f>
        <v>1</v>
      </c>
      <c r="I14" s="90">
        <f t="shared" ca="1" si="0"/>
        <v>0</v>
      </c>
    </row>
    <row r="15" spans="1:9" ht="18.5" hidden="1" outlineLevel="2" x14ac:dyDescent="0.45">
      <c r="A15" s="29" t="s">
        <v>40</v>
      </c>
      <c r="B15" s="51" t="s">
        <v>172</v>
      </c>
      <c r="C15" s="29" t="s">
        <v>144</v>
      </c>
      <c r="D15" s="12" t="s">
        <v>145</v>
      </c>
      <c r="E15" s="12">
        <f t="shared" ca="1" si="1"/>
        <v>0</v>
      </c>
      <c r="F15" s="18">
        <f t="shared" ca="1" si="2"/>
        <v>0</v>
      </c>
      <c r="G15" s="18">
        <f t="shared" ca="1" si="3"/>
        <v>0</v>
      </c>
      <c r="H15" s="12">
        <f>TOTAL_ASVS_V1.11</f>
        <v>3</v>
      </c>
      <c r="I15" s="90">
        <f t="shared" ca="1" si="0"/>
        <v>0</v>
      </c>
    </row>
    <row r="16" spans="1:9" ht="18.5" hidden="1" outlineLevel="2" x14ac:dyDescent="0.45">
      <c r="A16" s="29" t="s">
        <v>40</v>
      </c>
      <c r="B16" s="51" t="s">
        <v>172</v>
      </c>
      <c r="C16" s="29" t="s">
        <v>152</v>
      </c>
      <c r="D16" s="12" t="s">
        <v>153</v>
      </c>
      <c r="E16" s="12">
        <f t="shared" ca="1" si="1"/>
        <v>0</v>
      </c>
      <c r="F16" s="18">
        <f t="shared" ca="1" si="2"/>
        <v>0</v>
      </c>
      <c r="G16" s="18">
        <f t="shared" ca="1" si="3"/>
        <v>0</v>
      </c>
      <c r="H16" s="12">
        <f>TOTAL_ASVS_V1.12</f>
        <v>2</v>
      </c>
      <c r="I16" s="90">
        <f t="shared" ca="1" si="0"/>
        <v>0</v>
      </c>
    </row>
    <row r="17" spans="1:9" ht="18.5" hidden="1" outlineLevel="2" x14ac:dyDescent="0.45">
      <c r="A17" s="29" t="s">
        <v>40</v>
      </c>
      <c r="B17" s="51" t="s">
        <v>172</v>
      </c>
      <c r="C17" s="29" t="s">
        <v>158</v>
      </c>
      <c r="D17" s="12" t="s">
        <v>159</v>
      </c>
      <c r="E17" s="12">
        <f t="shared" ca="1" si="1"/>
        <v>0</v>
      </c>
      <c r="F17" s="18">
        <f t="shared" ca="1" si="2"/>
        <v>0</v>
      </c>
      <c r="G17" s="18">
        <f t="shared" ca="1" si="3"/>
        <v>0</v>
      </c>
      <c r="H17" s="12">
        <f>TOTAL_ASVS_V1.14</f>
        <v>6</v>
      </c>
      <c r="I17" s="90">
        <f t="shared" ca="1" si="0"/>
        <v>0</v>
      </c>
    </row>
    <row r="18" spans="1:9" ht="18.5" outlineLevel="1" collapsed="1" x14ac:dyDescent="0.45">
      <c r="A18" s="29"/>
      <c r="B18" s="52" t="s">
        <v>807</v>
      </c>
      <c r="C18" s="29"/>
      <c r="D18" s="12"/>
      <c r="E18" s="12">
        <f ca="1">SUBTOTAL(9,E19:E28)</f>
        <v>0</v>
      </c>
      <c r="F18" s="18">
        <f ca="1">SUBTOTAL(9,F19:F28)</f>
        <v>0</v>
      </c>
      <c r="G18" s="18">
        <f ca="1">SUBTOTAL(9,G19:G28)</f>
        <v>0</v>
      </c>
      <c r="H18" s="12">
        <f>SUBTOTAL(9,H19:H28)</f>
        <v>57</v>
      </c>
      <c r="I18" s="90">
        <f t="shared" ca="1" si="0"/>
        <v>0</v>
      </c>
    </row>
    <row r="19" spans="1:9" ht="18.5" hidden="1" outlineLevel="2" x14ac:dyDescent="0.45">
      <c r="A19" s="29" t="s">
        <v>41</v>
      </c>
      <c r="B19" s="51" t="s">
        <v>174</v>
      </c>
      <c r="C19" s="29" t="s">
        <v>175</v>
      </c>
      <c r="D19" s="12" t="s">
        <v>176</v>
      </c>
      <c r="E19" s="12">
        <f ca="1">COUNTIF(INDIRECT("VERIFY"&amp;MID($C19, 2, 5)), $E$3)</f>
        <v>0</v>
      </c>
      <c r="F19" s="18">
        <f ca="1">COUNTIF(INDIRECT("VERIFY"&amp;MID($C19, 2, 5)), $F$3)</f>
        <v>0</v>
      </c>
      <c r="G19" s="18">
        <f ca="1">COUNTIF(INDIRECT("VERIFY"&amp;MID($C19, 2, 5)), $G$3)</f>
        <v>0</v>
      </c>
      <c r="H19" s="12">
        <f>TOTAL_ASVS_V2.1</f>
        <v>12</v>
      </c>
      <c r="I19" s="90">
        <f t="shared" ca="1" si="0"/>
        <v>0</v>
      </c>
    </row>
    <row r="20" spans="1:9" ht="18.5" hidden="1" outlineLevel="2" x14ac:dyDescent="0.45">
      <c r="A20" s="29" t="s">
        <v>41</v>
      </c>
      <c r="B20" s="51" t="s">
        <v>174</v>
      </c>
      <c r="C20" s="29" t="s">
        <v>202</v>
      </c>
      <c r="D20" s="12" t="s">
        <v>203</v>
      </c>
      <c r="E20" s="12">
        <f t="shared" ref="E20:E28" ca="1" si="4">COUNTIF(INDIRECT("VERIFY"&amp;MID($C20, 2, 5)), $E$3)</f>
        <v>0</v>
      </c>
      <c r="F20" s="18">
        <f t="shared" ref="F20:F28" ca="1" si="5">COUNTIF(INDIRECT("VERIFY"&amp;MID($C20, 2, 5)), $F$3)</f>
        <v>0</v>
      </c>
      <c r="G20" s="18">
        <f t="shared" ref="G20:G28" ca="1" si="6">COUNTIF(INDIRECT("VERIFY"&amp;MID($C20, 2, 5)), $G$3)</f>
        <v>0</v>
      </c>
      <c r="H20" s="12">
        <f>TOTAL_ASVS_V2.2</f>
        <v>7</v>
      </c>
      <c r="I20" s="90">
        <f t="shared" ca="1" si="0"/>
        <v>0</v>
      </c>
    </row>
    <row r="21" spans="1:9" ht="18.5" hidden="1" outlineLevel="2" x14ac:dyDescent="0.45">
      <c r="A21" s="29" t="s">
        <v>41</v>
      </c>
      <c r="B21" s="51" t="s">
        <v>174</v>
      </c>
      <c r="C21" s="29" t="s">
        <v>224</v>
      </c>
      <c r="D21" s="12" t="s">
        <v>225</v>
      </c>
      <c r="E21" s="12">
        <f t="shared" ca="1" si="4"/>
        <v>0</v>
      </c>
      <c r="F21" s="18">
        <f t="shared" ca="1" si="5"/>
        <v>0</v>
      </c>
      <c r="G21" s="18">
        <f t="shared" ca="1" si="6"/>
        <v>0</v>
      </c>
      <c r="H21" s="12">
        <f>TOTAL_ASVS_V2.3</f>
        <v>3</v>
      </c>
      <c r="I21" s="90">
        <f t="shared" ca="1" si="0"/>
        <v>0</v>
      </c>
    </row>
    <row r="22" spans="1:9" ht="18.5" hidden="1" outlineLevel="2" x14ac:dyDescent="0.45">
      <c r="A22" s="29" t="s">
        <v>41</v>
      </c>
      <c r="B22" s="51" t="s">
        <v>174</v>
      </c>
      <c r="C22" s="29" t="s">
        <v>235</v>
      </c>
      <c r="D22" s="12" t="s">
        <v>236</v>
      </c>
      <c r="E22" s="12">
        <f t="shared" ca="1" si="4"/>
        <v>0</v>
      </c>
      <c r="F22" s="18">
        <f t="shared" ca="1" si="5"/>
        <v>0</v>
      </c>
      <c r="G22" s="18">
        <f t="shared" ca="1" si="6"/>
        <v>0</v>
      </c>
      <c r="H22" s="12">
        <f>TOTAL_ASVS_V2.4</f>
        <v>5</v>
      </c>
      <c r="I22" s="90">
        <f t="shared" ca="1" si="0"/>
        <v>0</v>
      </c>
    </row>
    <row r="23" spans="1:9" ht="18.5" hidden="1" outlineLevel="2" x14ac:dyDescent="0.45">
      <c r="A23" s="29" t="s">
        <v>41</v>
      </c>
      <c r="B23" s="51" t="s">
        <v>174</v>
      </c>
      <c r="C23" s="29" t="s">
        <v>247</v>
      </c>
      <c r="D23" s="12" t="s">
        <v>248</v>
      </c>
      <c r="E23" s="12">
        <f t="shared" ca="1" si="4"/>
        <v>0</v>
      </c>
      <c r="F23" s="18">
        <f t="shared" ca="1" si="5"/>
        <v>0</v>
      </c>
      <c r="G23" s="18">
        <f t="shared" ca="1" si="6"/>
        <v>0</v>
      </c>
      <c r="H23" s="12">
        <f>TOTAL_ASVS_V2.5</f>
        <v>7</v>
      </c>
      <c r="I23" s="90">
        <f t="shared" ca="1" si="0"/>
        <v>0</v>
      </c>
    </row>
    <row r="24" spans="1:9" ht="18.5" hidden="1" outlineLevel="2" x14ac:dyDescent="0.45">
      <c r="A24" s="29" t="s">
        <v>41</v>
      </c>
      <c r="B24" s="51" t="s">
        <v>174</v>
      </c>
      <c r="C24" s="29" t="s">
        <v>265</v>
      </c>
      <c r="D24" s="12" t="s">
        <v>264</v>
      </c>
      <c r="E24" s="12">
        <f t="shared" ca="1" si="4"/>
        <v>0</v>
      </c>
      <c r="F24" s="18">
        <f t="shared" ca="1" si="5"/>
        <v>0</v>
      </c>
      <c r="G24" s="18">
        <f t="shared" ca="1" si="6"/>
        <v>0</v>
      </c>
      <c r="H24" s="12">
        <f>TOTAL_ASVS_V2.6</f>
        <v>3</v>
      </c>
      <c r="I24" s="90">
        <f t="shared" ca="1" si="0"/>
        <v>0</v>
      </c>
    </row>
    <row r="25" spans="1:9" ht="18.5" hidden="1" outlineLevel="2" x14ac:dyDescent="0.45">
      <c r="A25" s="29" t="s">
        <v>41</v>
      </c>
      <c r="B25" s="51" t="s">
        <v>174</v>
      </c>
      <c r="C25" s="29" t="s">
        <v>273</v>
      </c>
      <c r="D25" s="12" t="s">
        <v>274</v>
      </c>
      <c r="E25" s="12">
        <f t="shared" ca="1" si="4"/>
        <v>0</v>
      </c>
      <c r="F25" s="18">
        <f t="shared" ca="1" si="5"/>
        <v>0</v>
      </c>
      <c r="G25" s="18">
        <f t="shared" ca="1" si="6"/>
        <v>0</v>
      </c>
      <c r="H25" s="12">
        <f>TOTAL_ASVS_V2.7</f>
        <v>6</v>
      </c>
      <c r="I25" s="90">
        <f t="shared" ca="1" si="0"/>
        <v>0</v>
      </c>
    </row>
    <row r="26" spans="1:9" ht="18.5" hidden="1" outlineLevel="2" x14ac:dyDescent="0.45">
      <c r="A26" s="29" t="s">
        <v>41</v>
      </c>
      <c r="B26" s="51" t="s">
        <v>174</v>
      </c>
      <c r="C26" s="29" t="s">
        <v>288</v>
      </c>
      <c r="D26" s="12" t="s">
        <v>289</v>
      </c>
      <c r="E26" s="12">
        <f t="shared" ca="1" si="4"/>
        <v>0</v>
      </c>
      <c r="F26" s="18">
        <f t="shared" ca="1" si="5"/>
        <v>0</v>
      </c>
      <c r="G26" s="18">
        <f t="shared" ca="1" si="6"/>
        <v>0</v>
      </c>
      <c r="H26" s="12">
        <f>TOTAL_ASVS_V2.8</f>
        <v>7</v>
      </c>
      <c r="I26" s="90">
        <f t="shared" ca="1" si="0"/>
        <v>0</v>
      </c>
    </row>
    <row r="27" spans="1:9" ht="18.5" hidden="1" outlineLevel="2" x14ac:dyDescent="0.45">
      <c r="A27" s="29" t="s">
        <v>41</v>
      </c>
      <c r="B27" s="51" t="s">
        <v>174</v>
      </c>
      <c r="C27" s="29" t="s">
        <v>308</v>
      </c>
      <c r="D27" s="12" t="s">
        <v>309</v>
      </c>
      <c r="E27" s="12">
        <f t="shared" ca="1" si="4"/>
        <v>0</v>
      </c>
      <c r="F27" s="18">
        <f t="shared" ca="1" si="5"/>
        <v>0</v>
      </c>
      <c r="G27" s="18">
        <f t="shared" ca="1" si="6"/>
        <v>0</v>
      </c>
      <c r="H27" s="12">
        <f>TOTAL_ASVS_V2.9</f>
        <v>3</v>
      </c>
      <c r="I27" s="90">
        <f t="shared" ca="1" si="0"/>
        <v>0</v>
      </c>
    </row>
    <row r="28" spans="1:9" ht="18.5" hidden="1" outlineLevel="2" x14ac:dyDescent="0.45">
      <c r="A28" s="29" t="s">
        <v>41</v>
      </c>
      <c r="B28" s="51" t="s">
        <v>174</v>
      </c>
      <c r="C28" s="29" t="s">
        <v>316</v>
      </c>
      <c r="D28" s="12" t="s">
        <v>317</v>
      </c>
      <c r="E28" s="12">
        <f t="shared" ca="1" si="4"/>
        <v>0</v>
      </c>
      <c r="F28" s="18">
        <f t="shared" ca="1" si="5"/>
        <v>0</v>
      </c>
      <c r="G28" s="18">
        <f t="shared" ca="1" si="6"/>
        <v>0</v>
      </c>
      <c r="H28" s="12">
        <f>TOTAL_ASVS_V2.10</f>
        <v>4</v>
      </c>
      <c r="I28" s="90">
        <f t="shared" ca="1" si="0"/>
        <v>0</v>
      </c>
    </row>
    <row r="29" spans="1:9" ht="18.5" outlineLevel="1" collapsed="1" x14ac:dyDescent="0.45">
      <c r="A29" s="29"/>
      <c r="B29" s="52" t="s">
        <v>806</v>
      </c>
      <c r="C29" s="29"/>
      <c r="D29" s="12"/>
      <c r="E29" s="12">
        <f ca="1">SUBTOTAL(9,E30:E36)</f>
        <v>0</v>
      </c>
      <c r="F29" s="18">
        <f ca="1">SUBTOTAL(9,F30:F36)</f>
        <v>0</v>
      </c>
      <c r="G29" s="18">
        <f ca="1">SUBTOTAL(9,G30:G36)</f>
        <v>0</v>
      </c>
      <c r="H29" s="12">
        <f>SUBTOTAL(9,H30:H36)</f>
        <v>20</v>
      </c>
      <c r="I29" s="90">
        <f t="shared" ca="1" si="0"/>
        <v>0</v>
      </c>
    </row>
    <row r="30" spans="1:9" ht="18.5" hidden="1" outlineLevel="2" x14ac:dyDescent="0.45">
      <c r="A30" s="29" t="s">
        <v>42</v>
      </c>
      <c r="B30" s="53" t="s">
        <v>328</v>
      </c>
      <c r="C30" s="29" t="s">
        <v>330</v>
      </c>
      <c r="D30" s="12" t="s">
        <v>329</v>
      </c>
      <c r="E30" s="12">
        <f ca="1">COUNTIF(INDIRECT("VERIFY"&amp;MID($C30, 2, 5)), $E$3)</f>
        <v>0</v>
      </c>
      <c r="F30" s="18">
        <f ca="1">COUNTIF(INDIRECT("VERIFY"&amp;MID($C30, 2, 5)), $F$3)</f>
        <v>0</v>
      </c>
      <c r="G30" s="18">
        <f ca="1">COUNTIF(INDIRECT("VERIFY"&amp;MID($C30, 2, 5)), $G$3)</f>
        <v>0</v>
      </c>
      <c r="H30" s="12">
        <f>TOTAL_ASVS_V3.1</f>
        <v>1</v>
      </c>
      <c r="I30" s="90">
        <f t="shared" ca="1" si="0"/>
        <v>0</v>
      </c>
    </row>
    <row r="31" spans="1:9" ht="18.5" hidden="1" outlineLevel="2" x14ac:dyDescent="0.45">
      <c r="A31" s="29" t="s">
        <v>42</v>
      </c>
      <c r="B31" s="53" t="s">
        <v>328</v>
      </c>
      <c r="C31" s="29" t="s">
        <v>333</v>
      </c>
      <c r="D31" s="12" t="s">
        <v>334</v>
      </c>
      <c r="E31" s="12">
        <f t="shared" ref="E31:E36" ca="1" si="7">COUNTIF(INDIRECT("VERIFY"&amp;MID($C31, 2, 5)), $E$3)</f>
        <v>0</v>
      </c>
      <c r="F31" s="18">
        <f t="shared" ref="F31:F36" ca="1" si="8">COUNTIF(INDIRECT("VERIFY"&amp;MID($C31, 2, 5)), $F$3)</f>
        <v>0</v>
      </c>
      <c r="G31" s="18">
        <f t="shared" ref="G31:G36" ca="1" si="9">COUNTIF(INDIRECT("VERIFY"&amp;MID($C31, 2, 5)), $G$3)</f>
        <v>0</v>
      </c>
      <c r="H31" s="12">
        <f>TOTAL_ASVS_V3.2</f>
        <v>4</v>
      </c>
      <c r="I31" s="90">
        <f t="shared" ca="1" si="0"/>
        <v>0</v>
      </c>
    </row>
    <row r="32" spans="1:9" ht="18.5" hidden="1" outlineLevel="2" x14ac:dyDescent="0.45">
      <c r="A32" s="29" t="s">
        <v>42</v>
      </c>
      <c r="B32" s="53" t="s">
        <v>328</v>
      </c>
      <c r="C32" s="29" t="s">
        <v>343</v>
      </c>
      <c r="D32" s="12" t="s">
        <v>344</v>
      </c>
      <c r="E32" s="12">
        <f t="shared" ca="1" si="7"/>
        <v>0</v>
      </c>
      <c r="F32" s="18">
        <f t="shared" ca="1" si="8"/>
        <v>0</v>
      </c>
      <c r="G32" s="18">
        <f t="shared" ca="1" si="9"/>
        <v>0</v>
      </c>
      <c r="H32" s="12">
        <f>TOTAL_ASVS_V3.3</f>
        <v>4</v>
      </c>
      <c r="I32" s="90">
        <f t="shared" ca="1" si="0"/>
        <v>0</v>
      </c>
    </row>
    <row r="33" spans="1:9" ht="18.5" hidden="1" outlineLevel="2" x14ac:dyDescent="0.45">
      <c r="A33" s="29" t="s">
        <v>42</v>
      </c>
      <c r="B33" s="53" t="s">
        <v>328</v>
      </c>
      <c r="C33" s="29" t="s">
        <v>353</v>
      </c>
      <c r="D33" s="12" t="s">
        <v>354</v>
      </c>
      <c r="E33" s="12">
        <f t="shared" ca="1" si="7"/>
        <v>0</v>
      </c>
      <c r="F33" s="18">
        <f t="shared" ca="1" si="8"/>
        <v>0</v>
      </c>
      <c r="G33" s="18">
        <f t="shared" ca="1" si="9"/>
        <v>0</v>
      </c>
      <c r="H33" s="12">
        <f>TOTAL_ASVS_V3.4</f>
        <v>5</v>
      </c>
      <c r="I33" s="90">
        <f t="shared" ca="1" si="0"/>
        <v>0</v>
      </c>
    </row>
    <row r="34" spans="1:9" ht="18.5" hidden="1" outlineLevel="2" x14ac:dyDescent="0.45">
      <c r="A34" s="29" t="s">
        <v>42</v>
      </c>
      <c r="B34" s="53" t="s">
        <v>328</v>
      </c>
      <c r="C34" s="29" t="s">
        <v>366</v>
      </c>
      <c r="D34" s="12" t="s">
        <v>367</v>
      </c>
      <c r="E34" s="12">
        <f t="shared" ca="1" si="7"/>
        <v>0</v>
      </c>
      <c r="F34" s="18">
        <f t="shared" ca="1" si="8"/>
        <v>0</v>
      </c>
      <c r="G34" s="18">
        <f t="shared" ca="1" si="9"/>
        <v>0</v>
      </c>
      <c r="H34" s="12">
        <f>TOTAL_ASVS_V3.5</f>
        <v>3</v>
      </c>
      <c r="I34" s="90">
        <f t="shared" ca="1" si="0"/>
        <v>0</v>
      </c>
    </row>
    <row r="35" spans="1:9" ht="18.5" hidden="1" outlineLevel="2" x14ac:dyDescent="0.45">
      <c r="A35" s="29" t="s">
        <v>42</v>
      </c>
      <c r="B35" s="53" t="s">
        <v>328</v>
      </c>
      <c r="C35" s="29" t="s">
        <v>375</v>
      </c>
      <c r="D35" s="12" t="s">
        <v>376</v>
      </c>
      <c r="E35" s="12">
        <f t="shared" ca="1" si="7"/>
        <v>0</v>
      </c>
      <c r="F35" s="18">
        <f t="shared" ca="1" si="8"/>
        <v>0</v>
      </c>
      <c r="G35" s="18">
        <f t="shared" ca="1" si="9"/>
        <v>0</v>
      </c>
      <c r="H35" s="12">
        <f>TOTAL_ASVS_V3.6</f>
        <v>2</v>
      </c>
      <c r="I35" s="90">
        <f t="shared" ca="1" si="0"/>
        <v>0</v>
      </c>
    </row>
    <row r="36" spans="1:9" ht="18.5" hidden="1" outlineLevel="2" x14ac:dyDescent="0.45">
      <c r="A36" s="29" t="s">
        <v>42</v>
      </c>
      <c r="B36" s="53" t="s">
        <v>328</v>
      </c>
      <c r="C36" s="29" t="s">
        <v>382</v>
      </c>
      <c r="D36" s="12" t="s">
        <v>383</v>
      </c>
      <c r="E36" s="12">
        <f t="shared" ca="1" si="7"/>
        <v>0</v>
      </c>
      <c r="F36" s="18">
        <f t="shared" ca="1" si="8"/>
        <v>0</v>
      </c>
      <c r="G36" s="18">
        <f t="shared" ca="1" si="9"/>
        <v>0</v>
      </c>
      <c r="H36" s="12">
        <f>TOTAL_ASVS_V3.7</f>
        <v>1</v>
      </c>
      <c r="I36" s="90">
        <f t="shared" ref="I36:I67" ca="1" si="10">IF(INCLUDE_NA_ANSWER="Yes", IF((E36+F36+G36)&lt;H36, 0,IF((E36+F36+G36)=0,0,E36/(E36+F36+G36))), IF((E36+F36+G36)&lt;H36,0,IF((E36+F36)=0,0,E36/(E36+F36))))</f>
        <v>0</v>
      </c>
    </row>
    <row r="37" spans="1:9" ht="18.5" outlineLevel="1" collapsed="1" x14ac:dyDescent="0.45">
      <c r="A37" s="29"/>
      <c r="B37" s="52" t="s">
        <v>805</v>
      </c>
      <c r="C37" s="29"/>
      <c r="D37" s="12"/>
      <c r="E37" s="12">
        <f ca="1">SUBTOTAL(9,E38:E40)</f>
        <v>0</v>
      </c>
      <c r="F37" s="18">
        <f ca="1">SUBTOTAL(9,F38:F40)</f>
        <v>0</v>
      </c>
      <c r="G37" s="18">
        <f ca="1">SUBTOTAL(9,G38:G40)</f>
        <v>0</v>
      </c>
      <c r="H37" s="12">
        <f>SUBTOTAL(9,H38:H40)</f>
        <v>10</v>
      </c>
      <c r="I37" s="90">
        <f t="shared" ca="1" si="10"/>
        <v>0</v>
      </c>
    </row>
    <row r="38" spans="1:9" ht="18.5" hidden="1" outlineLevel="2" x14ac:dyDescent="0.45">
      <c r="A38" s="29" t="s">
        <v>43</v>
      </c>
      <c r="B38" s="53" t="s">
        <v>387</v>
      </c>
      <c r="C38" s="29" t="s">
        <v>388</v>
      </c>
      <c r="D38" s="12" t="s">
        <v>389</v>
      </c>
      <c r="E38" s="12">
        <f ca="1">COUNTIF(INDIRECT("VERIFY"&amp;MID($C38, 2, 5)), $E$3)</f>
        <v>0</v>
      </c>
      <c r="F38" s="18">
        <f ca="1">COUNTIF(INDIRECT("VERIFY"&amp;MID($C38, 2, 5)), $F$3)</f>
        <v>0</v>
      </c>
      <c r="G38" s="18">
        <f ca="1">COUNTIF(INDIRECT("VERIFY"&amp;MID($C38, 2, 5)), $G$3)</f>
        <v>0</v>
      </c>
      <c r="H38" s="12">
        <f>TOTAL_ASVS_V4.1</f>
        <v>5</v>
      </c>
      <c r="I38" s="90">
        <f t="shared" ca="1" si="10"/>
        <v>0</v>
      </c>
    </row>
    <row r="39" spans="1:9" ht="18.5" hidden="1" outlineLevel="2" x14ac:dyDescent="0.45">
      <c r="A39" s="29" t="s">
        <v>43</v>
      </c>
      <c r="B39" s="53" t="s">
        <v>387</v>
      </c>
      <c r="C39" s="29" t="s">
        <v>399</v>
      </c>
      <c r="D39" s="12" t="s">
        <v>400</v>
      </c>
      <c r="E39" s="12">
        <f t="shared" ref="E39:E40" ca="1" si="11">COUNTIF(INDIRECT("VERIFY"&amp;MID($C39, 2, 5)), $E$3)</f>
        <v>0</v>
      </c>
      <c r="F39" s="18">
        <f t="shared" ref="F39:F40" ca="1" si="12">COUNTIF(INDIRECT("VERIFY"&amp;MID($C39, 2, 5)), $F$3)</f>
        <v>0</v>
      </c>
      <c r="G39" s="18">
        <f t="shared" ref="G39:G40" ca="1" si="13">COUNTIF(INDIRECT("VERIFY"&amp;MID($C39, 2, 5)), $G$3)</f>
        <v>0</v>
      </c>
      <c r="H39" s="12">
        <f>TOTAL_ASVS_V4.2</f>
        <v>2</v>
      </c>
      <c r="I39" s="90">
        <f t="shared" ca="1" si="10"/>
        <v>0</v>
      </c>
    </row>
    <row r="40" spans="1:9" ht="18.5" hidden="1" outlineLevel="2" x14ac:dyDescent="0.45">
      <c r="A40" s="29" t="s">
        <v>43</v>
      </c>
      <c r="B40" s="53" t="s">
        <v>387</v>
      </c>
      <c r="C40" s="29" t="s">
        <v>405</v>
      </c>
      <c r="D40" s="12" t="s">
        <v>406</v>
      </c>
      <c r="E40" s="12">
        <f t="shared" ca="1" si="11"/>
        <v>0</v>
      </c>
      <c r="F40" s="18">
        <f t="shared" ca="1" si="12"/>
        <v>0</v>
      </c>
      <c r="G40" s="18">
        <f t="shared" ca="1" si="13"/>
        <v>0</v>
      </c>
      <c r="H40" s="12">
        <f>TOTAL_ASVS_V4.3</f>
        <v>3</v>
      </c>
      <c r="I40" s="90">
        <f t="shared" ca="1" si="10"/>
        <v>0</v>
      </c>
    </row>
    <row r="41" spans="1:9" ht="18.5" outlineLevel="1" collapsed="1" x14ac:dyDescent="0.45">
      <c r="A41" s="29"/>
      <c r="B41" s="52" t="s">
        <v>804</v>
      </c>
      <c r="C41" s="29"/>
      <c r="D41" s="12"/>
      <c r="E41" s="12">
        <f ca="1">SUBTOTAL(9,E42:E46)</f>
        <v>0</v>
      </c>
      <c r="F41" s="18">
        <f ca="1">SUBTOTAL(9,F42:F46)</f>
        <v>0</v>
      </c>
      <c r="G41" s="18">
        <f ca="1">SUBTOTAL(9,G42:G46)</f>
        <v>0</v>
      </c>
      <c r="H41" s="12">
        <f>SUBTOTAL(9,H42:H46)</f>
        <v>30</v>
      </c>
      <c r="I41" s="90">
        <f t="shared" ca="1" si="10"/>
        <v>0</v>
      </c>
    </row>
    <row r="42" spans="1:9" ht="18.5" hidden="1" outlineLevel="2" x14ac:dyDescent="0.45">
      <c r="A42" s="29" t="s">
        <v>44</v>
      </c>
      <c r="B42" s="53" t="s">
        <v>412</v>
      </c>
      <c r="C42" s="29" t="s">
        <v>413</v>
      </c>
      <c r="D42" s="12" t="s">
        <v>414</v>
      </c>
      <c r="E42" s="12">
        <f ca="1">COUNTIF(INDIRECT("VERIFY"&amp;MID($C42, 2, 5)), $E$3)</f>
        <v>0</v>
      </c>
      <c r="F42" s="18">
        <f ca="1">COUNTIF(INDIRECT("VERIFY"&amp;MID($C42, 2, 5)), $F$3)</f>
        <v>0</v>
      </c>
      <c r="G42" s="18">
        <f ca="1">COUNTIF(INDIRECT("VERIFY"&amp;MID($C42, 2, 5)), $G$3)</f>
        <v>0</v>
      </c>
      <c r="H42" s="12">
        <f>TOTAL_ASVS_V5.1</f>
        <v>5</v>
      </c>
      <c r="I42" s="90">
        <f t="shared" ca="1" si="10"/>
        <v>0</v>
      </c>
    </row>
    <row r="43" spans="1:9" ht="18.5" hidden="1" outlineLevel="2" x14ac:dyDescent="0.45">
      <c r="A43" s="29" t="s">
        <v>44</v>
      </c>
      <c r="B43" s="53" t="s">
        <v>412</v>
      </c>
      <c r="C43" s="29" t="s">
        <v>809</v>
      </c>
      <c r="D43" s="12" t="s">
        <v>458</v>
      </c>
      <c r="E43" s="12">
        <f t="shared" ref="E43:E46" ca="1" si="14">COUNTIF(INDIRECT("VERIFY"&amp;MID($C43, 2, 5)), $E$3)</f>
        <v>0</v>
      </c>
      <c r="F43" s="18">
        <f t="shared" ref="F43:F46" ca="1" si="15">COUNTIF(INDIRECT("VERIFY"&amp;MID($C43, 2, 5)), $F$3)</f>
        <v>0</v>
      </c>
      <c r="G43" s="18">
        <f t="shared" ref="G43:G46" ca="1" si="16">COUNTIF(INDIRECT("VERIFY"&amp;MID($C43, 2, 5)), $G$3)</f>
        <v>0</v>
      </c>
      <c r="H43" s="12">
        <f>TOTAL_ASVS_V5.2</f>
        <v>8</v>
      </c>
      <c r="I43" s="90">
        <f t="shared" ca="1" si="10"/>
        <v>0</v>
      </c>
    </row>
    <row r="44" spans="1:9" ht="18.5" hidden="1" outlineLevel="2" x14ac:dyDescent="0.45">
      <c r="A44" s="29" t="s">
        <v>44</v>
      </c>
      <c r="B44" s="53" t="s">
        <v>412</v>
      </c>
      <c r="C44" s="29" t="s">
        <v>436</v>
      </c>
      <c r="D44" s="12" t="s">
        <v>435</v>
      </c>
      <c r="E44" s="12">
        <f t="shared" ca="1" si="14"/>
        <v>0</v>
      </c>
      <c r="F44" s="18">
        <f t="shared" ca="1" si="15"/>
        <v>0</v>
      </c>
      <c r="G44" s="18">
        <f t="shared" ca="1" si="16"/>
        <v>0</v>
      </c>
      <c r="H44" s="12">
        <f>TOTAL_ASVS_V5.3</f>
        <v>10</v>
      </c>
      <c r="I44" s="90">
        <f t="shared" ca="1" si="10"/>
        <v>0</v>
      </c>
    </row>
    <row r="45" spans="1:9" ht="18.5" hidden="1" outlineLevel="2" x14ac:dyDescent="0.45">
      <c r="A45" s="29" t="s">
        <v>44</v>
      </c>
      <c r="B45" s="53" t="s">
        <v>412</v>
      </c>
      <c r="C45" s="29" t="s">
        <v>457</v>
      </c>
      <c r="D45" s="12" t="s">
        <v>458</v>
      </c>
      <c r="E45" s="12">
        <f t="shared" ca="1" si="14"/>
        <v>0</v>
      </c>
      <c r="F45" s="18">
        <f t="shared" ca="1" si="15"/>
        <v>0</v>
      </c>
      <c r="G45" s="18">
        <f t="shared" ca="1" si="16"/>
        <v>0</v>
      </c>
      <c r="H45" s="12">
        <f>TOTAL_ASVS_V5.4</f>
        <v>3</v>
      </c>
      <c r="I45" s="90">
        <f t="shared" ca="1" si="10"/>
        <v>0</v>
      </c>
    </row>
    <row r="46" spans="1:9" ht="18.5" hidden="1" outlineLevel="2" x14ac:dyDescent="0.45">
      <c r="A46" s="29" t="s">
        <v>44</v>
      </c>
      <c r="B46" s="53" t="s">
        <v>412</v>
      </c>
      <c r="C46" s="29" t="s">
        <v>465</v>
      </c>
      <c r="D46" s="12" t="s">
        <v>466</v>
      </c>
      <c r="E46" s="12">
        <f t="shared" ca="1" si="14"/>
        <v>0</v>
      </c>
      <c r="F46" s="18">
        <f t="shared" ca="1" si="15"/>
        <v>0</v>
      </c>
      <c r="G46" s="18">
        <f t="shared" ca="1" si="16"/>
        <v>0</v>
      </c>
      <c r="H46" s="12">
        <f>TOTAL_ASVS_V5.5</f>
        <v>4</v>
      </c>
      <c r="I46" s="90">
        <f t="shared" ca="1" si="10"/>
        <v>0</v>
      </c>
    </row>
    <row r="47" spans="1:9" ht="18.5" outlineLevel="1" collapsed="1" x14ac:dyDescent="0.45">
      <c r="A47" s="29"/>
      <c r="B47" s="52" t="s">
        <v>803</v>
      </c>
      <c r="C47" s="29"/>
      <c r="D47" s="12"/>
      <c r="E47" s="12">
        <f ca="1">SUBTOTAL(9,E48:E51)</f>
        <v>0</v>
      </c>
      <c r="F47" s="18">
        <f ca="1">SUBTOTAL(9,F48:F51)</f>
        <v>0</v>
      </c>
      <c r="G47" s="18">
        <f ca="1">SUBTOTAL(9,G48:G51)</f>
        <v>0</v>
      </c>
      <c r="H47" s="12">
        <f>SUBTOTAL(9,H48:H51)</f>
        <v>16</v>
      </c>
      <c r="I47" s="90">
        <f t="shared" ca="1" si="10"/>
        <v>0</v>
      </c>
    </row>
    <row r="48" spans="1:9" ht="18.5" hidden="1" outlineLevel="2" x14ac:dyDescent="0.45">
      <c r="A48" s="29" t="s">
        <v>477</v>
      </c>
      <c r="B48" s="53" t="s">
        <v>476</v>
      </c>
      <c r="C48" s="29" t="s">
        <v>479</v>
      </c>
      <c r="D48" s="12" t="s">
        <v>480</v>
      </c>
      <c r="E48" s="12">
        <f ca="1">COUNTIF(INDIRECT("VERIFY"&amp;MID($C48, 2, 5)), $E$3)</f>
        <v>0</v>
      </c>
      <c r="F48" s="18">
        <f ca="1">COUNTIF(INDIRECT("VERIFY"&amp;MID($C48, 2, 5)), $F$3)</f>
        <v>0</v>
      </c>
      <c r="G48" s="18">
        <f ca="1">COUNTIF(INDIRECT("VERIFY"&amp;MID($C48, 2, 5)), $G$3)</f>
        <v>0</v>
      </c>
      <c r="H48" s="12">
        <f>TOTAL_ASVS_V6.1</f>
        <v>3</v>
      </c>
      <c r="I48" s="90">
        <f t="shared" ca="1" si="10"/>
        <v>0</v>
      </c>
    </row>
    <row r="49" spans="1:9" ht="18.5" hidden="1" outlineLevel="2" x14ac:dyDescent="0.45">
      <c r="A49" s="29" t="s">
        <v>477</v>
      </c>
      <c r="B49" s="53" t="s">
        <v>476</v>
      </c>
      <c r="C49" s="29" t="s">
        <v>486</v>
      </c>
      <c r="D49" s="12" t="s">
        <v>487</v>
      </c>
      <c r="E49" s="12">
        <f t="shared" ref="E49:E51" ca="1" si="17">COUNTIF(INDIRECT("VERIFY"&amp;MID($C49, 2, 5)), $E$3)</f>
        <v>0</v>
      </c>
      <c r="F49" s="18">
        <f t="shared" ref="F49:F51" ca="1" si="18">COUNTIF(INDIRECT("VERIFY"&amp;MID($C49, 2, 5)), $F$3)</f>
        <v>0</v>
      </c>
      <c r="G49" s="18">
        <f t="shared" ref="G49:G51" ca="1" si="19">COUNTIF(INDIRECT("VERIFY"&amp;MID($C49, 2, 5)), $G$3)</f>
        <v>0</v>
      </c>
      <c r="H49" s="12">
        <f>TOTAL_ASVS_V6.2</f>
        <v>8</v>
      </c>
      <c r="I49" s="90">
        <f t="shared" ca="1" si="10"/>
        <v>0</v>
      </c>
    </row>
    <row r="50" spans="1:9" ht="18.5" hidden="1" outlineLevel="2" x14ac:dyDescent="0.45">
      <c r="A50" s="29" t="s">
        <v>477</v>
      </c>
      <c r="B50" s="53" t="s">
        <v>476</v>
      </c>
      <c r="C50" s="29" t="s">
        <v>504</v>
      </c>
      <c r="D50" s="12" t="s">
        <v>505</v>
      </c>
      <c r="E50" s="12">
        <f t="shared" ca="1" si="17"/>
        <v>0</v>
      </c>
      <c r="F50" s="18">
        <f t="shared" ca="1" si="18"/>
        <v>0</v>
      </c>
      <c r="G50" s="18">
        <f t="shared" ca="1" si="19"/>
        <v>0</v>
      </c>
      <c r="H50" s="12">
        <f>TOTAL_ASVS_V6.3</f>
        <v>3</v>
      </c>
      <c r="I50" s="90">
        <f t="shared" ca="1" si="10"/>
        <v>0</v>
      </c>
    </row>
    <row r="51" spans="1:9" ht="18.5" hidden="1" outlineLevel="2" x14ac:dyDescent="0.45">
      <c r="A51" s="29" t="s">
        <v>477</v>
      </c>
      <c r="B51" s="53" t="s">
        <v>476</v>
      </c>
      <c r="C51" s="29" t="s">
        <v>511</v>
      </c>
      <c r="D51" s="12" t="s">
        <v>512</v>
      </c>
      <c r="E51" s="12">
        <f t="shared" ca="1" si="17"/>
        <v>0</v>
      </c>
      <c r="F51" s="18">
        <f t="shared" ca="1" si="18"/>
        <v>0</v>
      </c>
      <c r="G51" s="18">
        <f t="shared" ca="1" si="19"/>
        <v>0</v>
      </c>
      <c r="H51" s="12">
        <f>TOTAL_ASVS_V6.4</f>
        <v>2</v>
      </c>
      <c r="I51" s="90">
        <f t="shared" ca="1" si="10"/>
        <v>0</v>
      </c>
    </row>
    <row r="52" spans="1:9" ht="18.5" outlineLevel="1" collapsed="1" x14ac:dyDescent="0.45">
      <c r="A52" s="29"/>
      <c r="B52" s="52" t="s">
        <v>802</v>
      </c>
      <c r="C52" s="29"/>
      <c r="D52" s="12"/>
      <c r="E52" s="12">
        <f ca="1">SUBTOTAL(9,E53:E56)</f>
        <v>0</v>
      </c>
      <c r="F52" s="18">
        <f ca="1">SUBTOTAL(9,F53:F56)</f>
        <v>0</v>
      </c>
      <c r="G52" s="18">
        <f ca="1">SUBTOTAL(9,G53:G56)</f>
        <v>0</v>
      </c>
      <c r="H52" s="12">
        <f>SUBTOTAL(9,H53:H56)</f>
        <v>13</v>
      </c>
      <c r="I52" s="90">
        <f t="shared" ca="1" si="10"/>
        <v>0</v>
      </c>
    </row>
    <row r="53" spans="1:9" ht="18.5" hidden="1" outlineLevel="2" x14ac:dyDescent="0.45">
      <c r="A53" s="29" t="s">
        <v>45</v>
      </c>
      <c r="B53" s="53" t="s">
        <v>518</v>
      </c>
      <c r="C53" s="29" t="s">
        <v>519</v>
      </c>
      <c r="D53" s="12" t="s">
        <v>520</v>
      </c>
      <c r="E53" s="12">
        <f ca="1">COUNTIF(INDIRECT("VERIFY"&amp;MID($C53, 2, 5)), $E$3)</f>
        <v>0</v>
      </c>
      <c r="F53" s="18">
        <f ca="1">COUNTIF(INDIRECT("VERIFY"&amp;MID($C53, 2, 5)), $F$3)</f>
        <v>0</v>
      </c>
      <c r="G53" s="18">
        <f ca="1">COUNTIF(INDIRECT("VERIFY"&amp;MID($C53, 2, 5)), $G$3)</f>
        <v>0</v>
      </c>
      <c r="H53" s="12">
        <f>TOTAL_ASVS_V7.1</f>
        <v>4</v>
      </c>
      <c r="I53" s="90">
        <f t="shared" ca="1" si="10"/>
        <v>0</v>
      </c>
    </row>
    <row r="54" spans="1:9" ht="18.5" hidden="1" outlineLevel="2" x14ac:dyDescent="0.45">
      <c r="A54" s="29" t="s">
        <v>45</v>
      </c>
      <c r="B54" s="53" t="s">
        <v>518</v>
      </c>
      <c r="C54" s="29" t="s">
        <v>527</v>
      </c>
      <c r="D54" s="12" t="s">
        <v>528</v>
      </c>
      <c r="E54" s="12">
        <f t="shared" ref="E54:E56" ca="1" si="20">COUNTIF(INDIRECT("VERIFY"&amp;MID($C54, 2, 5)), $E$3)</f>
        <v>0</v>
      </c>
      <c r="F54" s="18">
        <f t="shared" ref="F54:F56" ca="1" si="21">COUNTIF(INDIRECT("VERIFY"&amp;MID($C54, 2, 5)), $F$3)</f>
        <v>0</v>
      </c>
      <c r="G54" s="18">
        <f t="shared" ref="G54:G56" ca="1" si="22">COUNTIF(INDIRECT("VERIFY"&amp;MID($C54, 2, 5)), $G$3)</f>
        <v>0</v>
      </c>
      <c r="H54" s="12">
        <f>TOTAL_ASVS_V7.2</f>
        <v>2</v>
      </c>
      <c r="I54" s="90">
        <f t="shared" ca="1" si="10"/>
        <v>0</v>
      </c>
    </row>
    <row r="55" spans="1:9" ht="18.5" hidden="1" outlineLevel="2" x14ac:dyDescent="0.45">
      <c r="A55" s="29" t="s">
        <v>45</v>
      </c>
      <c r="B55" s="53" t="s">
        <v>518</v>
      </c>
      <c r="C55" s="29" t="s">
        <v>532</v>
      </c>
      <c r="D55" s="12" t="s">
        <v>533</v>
      </c>
      <c r="E55" s="12">
        <f t="shared" ca="1" si="20"/>
        <v>0</v>
      </c>
      <c r="F55" s="18">
        <f t="shared" ca="1" si="21"/>
        <v>0</v>
      </c>
      <c r="G55" s="18">
        <f t="shared" ca="1" si="22"/>
        <v>0</v>
      </c>
      <c r="H55" s="12">
        <f>TOTAL_ASVS_V7.3</f>
        <v>4</v>
      </c>
      <c r="I55" s="90">
        <f t="shared" ca="1" si="10"/>
        <v>0</v>
      </c>
    </row>
    <row r="56" spans="1:9" ht="18.5" hidden="1" outlineLevel="2" x14ac:dyDescent="0.45">
      <c r="A56" s="29" t="s">
        <v>45</v>
      </c>
      <c r="B56" s="53" t="s">
        <v>518</v>
      </c>
      <c r="C56" s="29" t="s">
        <v>542</v>
      </c>
      <c r="D56" s="12" t="s">
        <v>543</v>
      </c>
      <c r="E56" s="12">
        <f t="shared" ca="1" si="20"/>
        <v>0</v>
      </c>
      <c r="F56" s="18">
        <f t="shared" ca="1" si="21"/>
        <v>0</v>
      </c>
      <c r="G56" s="18">
        <f t="shared" ca="1" si="22"/>
        <v>0</v>
      </c>
      <c r="H56" s="12">
        <f>TOTAL_ASVS_V7.4</f>
        <v>3</v>
      </c>
      <c r="I56" s="90">
        <f t="shared" ca="1" si="10"/>
        <v>0</v>
      </c>
    </row>
    <row r="57" spans="1:9" ht="18.5" outlineLevel="1" collapsed="1" x14ac:dyDescent="0.45">
      <c r="A57" s="29"/>
      <c r="B57" s="52" t="s">
        <v>801</v>
      </c>
      <c r="C57" s="29"/>
      <c r="D57" s="12"/>
      <c r="E57" s="12">
        <f ca="1">SUBTOTAL(9,E58:E60)</f>
        <v>0</v>
      </c>
      <c r="F57" s="18">
        <f ca="1">SUBTOTAL(9,F58:F60)</f>
        <v>0</v>
      </c>
      <c r="G57" s="18">
        <f ca="1">SUBTOTAL(9,G58:G60)</f>
        <v>0</v>
      </c>
      <c r="H57" s="12">
        <f>SUBTOTAL(9,H58:H60)</f>
        <v>17</v>
      </c>
      <c r="I57" s="90">
        <f t="shared" ca="1" si="10"/>
        <v>0</v>
      </c>
    </row>
    <row r="58" spans="1:9" ht="18.5" hidden="1" outlineLevel="2" x14ac:dyDescent="0.45">
      <c r="A58" s="29" t="s">
        <v>46</v>
      </c>
      <c r="B58" s="53" t="s">
        <v>551</v>
      </c>
      <c r="C58" s="29" t="s">
        <v>552</v>
      </c>
      <c r="D58" s="12" t="s">
        <v>553</v>
      </c>
      <c r="E58" s="12">
        <f ca="1">COUNTIF(INDIRECT("VERIFY"&amp;MID($C58, 2, 5)), $E$3)</f>
        <v>0</v>
      </c>
      <c r="F58" s="18">
        <f ca="1">COUNTIF(INDIRECT("VERIFY"&amp;MID($C58, 2, 5)), $F$3)</f>
        <v>0</v>
      </c>
      <c r="G58" s="18">
        <f ca="1">COUNTIF(INDIRECT("VERIFY"&amp;MID($C58, 2, 5)), $G$3)</f>
        <v>0</v>
      </c>
      <c r="H58" s="12">
        <f>TOTAL_ASVS_V8.1</f>
        <v>6</v>
      </c>
      <c r="I58" s="90">
        <f t="shared" ca="1" si="10"/>
        <v>0</v>
      </c>
    </row>
    <row r="59" spans="1:9" ht="18.5" hidden="1" outlineLevel="2" x14ac:dyDescent="0.45">
      <c r="A59" s="29" t="s">
        <v>46</v>
      </c>
      <c r="B59" s="53" t="s">
        <v>551</v>
      </c>
      <c r="C59" s="29" t="s">
        <v>565</v>
      </c>
      <c r="D59" s="12" t="s">
        <v>566</v>
      </c>
      <c r="E59" s="12">
        <f t="shared" ref="E59:E60" ca="1" si="23">COUNTIF(INDIRECT("VERIFY"&amp;MID($C59, 2, 5)), $E$3)</f>
        <v>0</v>
      </c>
      <c r="F59" s="18">
        <f t="shared" ref="F59:F60" ca="1" si="24">COUNTIF(INDIRECT("VERIFY"&amp;MID($C59, 2, 5)), $F$3)</f>
        <v>0</v>
      </c>
      <c r="G59" s="18">
        <f t="shared" ref="G59:G60" ca="1" si="25">COUNTIF(INDIRECT("VERIFY"&amp;MID($C59, 2, 5)), $G$3)</f>
        <v>0</v>
      </c>
      <c r="H59" s="12">
        <f>TOTAL_ASVS_V8.2</f>
        <v>3</v>
      </c>
      <c r="I59" s="90">
        <f t="shared" ca="1" si="10"/>
        <v>0</v>
      </c>
    </row>
    <row r="60" spans="1:9" ht="18.5" hidden="1" outlineLevel="2" x14ac:dyDescent="0.45">
      <c r="A60" s="29" t="s">
        <v>46</v>
      </c>
      <c r="B60" s="53" t="s">
        <v>551</v>
      </c>
      <c r="C60" s="29" t="s">
        <v>572</v>
      </c>
      <c r="D60" s="12" t="s">
        <v>573</v>
      </c>
      <c r="E60" s="12">
        <f t="shared" ca="1" si="23"/>
        <v>0</v>
      </c>
      <c r="F60" s="18">
        <f t="shared" ca="1" si="24"/>
        <v>0</v>
      </c>
      <c r="G60" s="18">
        <f t="shared" ca="1" si="25"/>
        <v>0</v>
      </c>
      <c r="H60" s="12">
        <f>TOTAL_ASVS_V8.3</f>
        <v>8</v>
      </c>
      <c r="I60" s="90">
        <f t="shared" ca="1" si="10"/>
        <v>0</v>
      </c>
    </row>
    <row r="61" spans="1:9" ht="18.5" outlineLevel="1" collapsed="1" x14ac:dyDescent="0.45">
      <c r="A61" s="29"/>
      <c r="B61" s="52" t="s">
        <v>800</v>
      </c>
      <c r="C61" s="29"/>
      <c r="D61" s="12"/>
      <c r="E61" s="12">
        <f ca="1">SUBTOTAL(9,E62:E63)</f>
        <v>0</v>
      </c>
      <c r="F61" s="18">
        <f ca="1">SUBTOTAL(9,F62:F63)</f>
        <v>0</v>
      </c>
      <c r="G61" s="18">
        <f ca="1">SUBTOTAL(9,G62:G63)</f>
        <v>0</v>
      </c>
      <c r="H61" s="12">
        <f>SUBTOTAL(9,H62:H63)</f>
        <v>8</v>
      </c>
      <c r="I61" s="90">
        <f t="shared" ca="1" si="10"/>
        <v>0</v>
      </c>
    </row>
    <row r="62" spans="1:9" ht="18.5" hidden="1" outlineLevel="2" x14ac:dyDescent="0.45">
      <c r="A62" s="29" t="s">
        <v>47</v>
      </c>
      <c r="B62" s="53" t="s">
        <v>591</v>
      </c>
      <c r="C62" s="29" t="s">
        <v>592</v>
      </c>
      <c r="D62" s="12" t="s">
        <v>593</v>
      </c>
      <c r="E62" s="12">
        <f ca="1">COUNTIF(INDIRECT("VERIFY"&amp;MID($C62, 2, 5)), $E$3)</f>
        <v>0</v>
      </c>
      <c r="F62" s="18">
        <f ca="1">COUNTIF(INDIRECT("VERIFY"&amp;MID($C62, 2, 5)), $F$3)</f>
        <v>0</v>
      </c>
      <c r="G62" s="18">
        <f ca="1">COUNTIF(INDIRECT("VERIFY"&amp;MID($C62, 2, 5)), $G$3)</f>
        <v>0</v>
      </c>
      <c r="H62" s="12">
        <f>TOTAL_ASVS_V9.1</f>
        <v>3</v>
      </c>
      <c r="I62" s="90">
        <f t="shared" ca="1" si="10"/>
        <v>0</v>
      </c>
    </row>
    <row r="63" spans="1:9" ht="18.5" hidden="1" outlineLevel="2" x14ac:dyDescent="0.45">
      <c r="A63" s="29" t="s">
        <v>47</v>
      </c>
      <c r="B63" s="53" t="s">
        <v>591</v>
      </c>
      <c r="C63" s="29" t="s">
        <v>600</v>
      </c>
      <c r="D63" s="12" t="s">
        <v>601</v>
      </c>
      <c r="E63" s="12">
        <f ca="1">COUNTIF(INDIRECT("VERIFY"&amp;MID($C63, 2, 5)), $E$3)</f>
        <v>0</v>
      </c>
      <c r="F63" s="18">
        <f ca="1">COUNTIF(INDIRECT("VERIFY"&amp;MID($C63, 2, 5)), $F$3)</f>
        <v>0</v>
      </c>
      <c r="G63" s="18">
        <f ca="1">COUNTIF(INDIRECT("VERIFY"&amp;MID($C63, 2, 5)), $G$3)</f>
        <v>0</v>
      </c>
      <c r="H63" s="12">
        <f>TOTAL_ASVS_V9.2</f>
        <v>5</v>
      </c>
      <c r="I63" s="90">
        <f t="shared" ca="1" si="10"/>
        <v>0</v>
      </c>
    </row>
    <row r="64" spans="1:9" ht="18.5" outlineLevel="1" collapsed="1" x14ac:dyDescent="0.45">
      <c r="A64" s="29"/>
      <c r="B64" s="52" t="s">
        <v>799</v>
      </c>
      <c r="C64" s="29"/>
      <c r="D64" s="12"/>
      <c r="E64" s="12">
        <f ca="1">SUBTOTAL(9,E65:E67)</f>
        <v>0</v>
      </c>
      <c r="F64" s="18">
        <f ca="1">SUBTOTAL(9,F65:F67)</f>
        <v>0</v>
      </c>
      <c r="G64" s="18">
        <f ca="1">SUBTOTAL(9,G65:G67)</f>
        <v>0</v>
      </c>
      <c r="H64" s="12">
        <f>SUBTOTAL(9,H65:H67)</f>
        <v>10</v>
      </c>
      <c r="I64" s="90">
        <f t="shared" ca="1" si="10"/>
        <v>0</v>
      </c>
    </row>
    <row r="65" spans="1:11" ht="18.5" hidden="1" outlineLevel="2" x14ac:dyDescent="0.45">
      <c r="A65" s="29" t="s">
        <v>48</v>
      </c>
      <c r="B65" s="53" t="s">
        <v>611</v>
      </c>
      <c r="C65" s="29" t="s">
        <v>615</v>
      </c>
      <c r="D65" s="12" t="s">
        <v>614</v>
      </c>
      <c r="E65" s="12">
        <f ca="1">COUNTIF(INDIRECT("VERIFY"&amp;MID($C65, 2, 5)), $E$3)</f>
        <v>0</v>
      </c>
      <c r="F65" s="18">
        <f ca="1">COUNTIF(INDIRECT("VERIFY"&amp;MID($C65, 2, 5)), $F$3)</f>
        <v>0</v>
      </c>
      <c r="G65" s="18">
        <f ca="1">COUNTIF(INDIRECT("VERIFY"&amp;MID($C65, 2, 5)), $G$3)</f>
        <v>0</v>
      </c>
      <c r="H65" s="12">
        <f>TOTAL_ASVS_V10.1</f>
        <v>1</v>
      </c>
      <c r="I65" s="90">
        <f t="shared" ca="1" si="10"/>
        <v>0</v>
      </c>
    </row>
    <row r="66" spans="1:11" ht="18.5" hidden="1" outlineLevel="2" x14ac:dyDescent="0.45">
      <c r="A66" s="29" t="s">
        <v>48</v>
      </c>
      <c r="B66" s="53" t="s">
        <v>611</v>
      </c>
      <c r="C66" s="29" t="s">
        <v>616</v>
      </c>
      <c r="D66" s="12" t="s">
        <v>617</v>
      </c>
      <c r="E66" s="12">
        <f ca="1">COUNTIF(INDIRECT("VERIFY"&amp;MID($C66, 2, 5)), $E$3)</f>
        <v>0</v>
      </c>
      <c r="F66" s="18">
        <f ca="1">COUNTIF(INDIRECT("VERIFY"&amp;MID($C66, 2, 5)), $F$3)</f>
        <v>0</v>
      </c>
      <c r="G66" s="18">
        <f ca="1">COUNTIF(INDIRECT("VERIFY"&amp;MID($C66, 2, 5)), $G$3)</f>
        <v>0</v>
      </c>
      <c r="H66" s="12">
        <f>TOTAL_ASVS_V10.2</f>
        <v>6</v>
      </c>
      <c r="I66" s="90">
        <f t="shared" ca="1" si="10"/>
        <v>0</v>
      </c>
    </row>
    <row r="67" spans="1:11" ht="18.5" hidden="1" outlineLevel="2" x14ac:dyDescent="0.45">
      <c r="A67" s="29" t="s">
        <v>48</v>
      </c>
      <c r="B67" s="53" t="s">
        <v>611</v>
      </c>
      <c r="C67" s="29" t="s">
        <v>630</v>
      </c>
      <c r="D67" s="12" t="s">
        <v>631</v>
      </c>
      <c r="E67" s="12">
        <f ca="1">COUNTIF(INDIRECT("VERIFY"&amp;MID($C67, 2, 5)), $E$3)</f>
        <v>0</v>
      </c>
      <c r="F67" s="18">
        <f ca="1">COUNTIF(INDIRECT("VERIFY"&amp;MID($C67, 2, 5)), $F$3)</f>
        <v>0</v>
      </c>
      <c r="G67" s="18">
        <f ca="1">COUNTIF(INDIRECT("VERIFY"&amp;MID($C67, 2, 5)), $G$3)</f>
        <v>0</v>
      </c>
      <c r="H67" s="12">
        <f>TOTAL_ASVS_V10.3</f>
        <v>3</v>
      </c>
      <c r="I67" s="90">
        <f t="shared" ca="1" si="10"/>
        <v>0</v>
      </c>
    </row>
    <row r="68" spans="1:11" ht="18.5" outlineLevel="1" collapsed="1" x14ac:dyDescent="0.45">
      <c r="A68" s="29"/>
      <c r="B68" s="52" t="s">
        <v>798</v>
      </c>
      <c r="C68" s="29"/>
      <c r="D68" s="12"/>
      <c r="E68" s="12">
        <f ca="1">SUBTOTAL(9,E69:E69)</f>
        <v>0</v>
      </c>
      <c r="F68" s="18">
        <f ca="1">SUBTOTAL(9,F69:F69)</f>
        <v>0</v>
      </c>
      <c r="G68" s="18">
        <f ca="1">SUBTOTAL(9,G69:G69)</f>
        <v>0</v>
      </c>
      <c r="H68" s="12">
        <f>SUBTOTAL(9,H69:H69)</f>
        <v>8</v>
      </c>
      <c r="I68" s="90">
        <f t="shared" ref="I68:I87" ca="1" si="26">IF(INCLUDE_NA_ANSWER="Yes", IF((E68+F68+G68)&lt;H68, 0,IF((E68+F68+G68)=0,0,E68/(E68+F68+G68))), IF((E68+F68+G68)&lt;H68,0,IF((E68+F68)=0,0,E68/(E68+F68))))</f>
        <v>0</v>
      </c>
    </row>
    <row r="69" spans="1:11" ht="18.5" hidden="1" outlineLevel="2" x14ac:dyDescent="0.45">
      <c r="A69" s="29" t="s">
        <v>49</v>
      </c>
      <c r="B69" s="53" t="s">
        <v>639</v>
      </c>
      <c r="C69" s="29" t="s">
        <v>640</v>
      </c>
      <c r="D69" s="12" t="s">
        <v>641</v>
      </c>
      <c r="E69" s="12">
        <f ca="1">COUNTIF(INDIRECT("VERIFY"&amp;MID($C69, 2, 5)), $E$3)</f>
        <v>0</v>
      </c>
      <c r="F69" s="18">
        <f ca="1">COUNTIF(INDIRECT("VERIFY"&amp;MID($C69, 2, 5)), $F$3)</f>
        <v>0</v>
      </c>
      <c r="G69" s="18">
        <f ca="1">COUNTIF(INDIRECT("VERIFY"&amp;MID($C69, 2, 5)), $G$3)</f>
        <v>0</v>
      </c>
      <c r="H69" s="12">
        <f>TOTAL_ASVS_V11.1</f>
        <v>8</v>
      </c>
      <c r="I69" s="90">
        <f t="shared" ca="1" si="26"/>
        <v>0</v>
      </c>
    </row>
    <row r="70" spans="1:11" ht="18.5" outlineLevel="1" collapsed="1" x14ac:dyDescent="0.45">
      <c r="A70" s="29"/>
      <c r="B70" s="52" t="s">
        <v>797</v>
      </c>
      <c r="C70" s="29"/>
      <c r="D70" s="12"/>
      <c r="E70" s="12">
        <f ca="1">SUBTOTAL(9,E71:E76)</f>
        <v>0</v>
      </c>
      <c r="F70" s="18">
        <f ca="1">SUBTOTAL(9,F71:F76)</f>
        <v>0</v>
      </c>
      <c r="G70" s="18">
        <f ca="1">SUBTOTAL(9,G71:G76)</f>
        <v>0</v>
      </c>
      <c r="H70" s="12">
        <f>SUBTOTAL(9,H71:H76)</f>
        <v>15</v>
      </c>
      <c r="I70" s="90">
        <f t="shared" ca="1" si="26"/>
        <v>0</v>
      </c>
    </row>
    <row r="71" spans="1:11" ht="18.5" hidden="1" outlineLevel="2" x14ac:dyDescent="0.45">
      <c r="A71" s="29" t="s">
        <v>661</v>
      </c>
      <c r="B71" s="53" t="s">
        <v>660</v>
      </c>
      <c r="C71" s="29" t="s">
        <v>662</v>
      </c>
      <c r="D71" s="12" t="s">
        <v>663</v>
      </c>
      <c r="E71" s="12">
        <f ca="1">COUNTIF(INDIRECT("VERIFY"&amp;MID($C71, 2, 5)), $E$3)</f>
        <v>0</v>
      </c>
      <c r="F71" s="18">
        <f ca="1">COUNTIF(INDIRECT("VERIFY"&amp;MID($C71, 2, 5)), $F$3)</f>
        <v>0</v>
      </c>
      <c r="G71" s="18">
        <f ca="1">COUNTIF(INDIRECT("VERIFY"&amp;MID($C71, 2, 5)), $G$3)</f>
        <v>0</v>
      </c>
      <c r="H71" s="12">
        <f>TOTAL_ASVS_V12.1</f>
        <v>3</v>
      </c>
      <c r="I71" s="90">
        <f t="shared" ca="1" si="26"/>
        <v>0</v>
      </c>
    </row>
    <row r="72" spans="1:11" ht="18.5" hidden="1" outlineLevel="2" x14ac:dyDescent="0.45">
      <c r="A72" s="29" t="s">
        <v>661</v>
      </c>
      <c r="B72" s="53" t="s">
        <v>660</v>
      </c>
      <c r="C72" s="29" t="s">
        <v>670</v>
      </c>
      <c r="D72" s="12" t="s">
        <v>671</v>
      </c>
      <c r="E72" s="12">
        <f ca="1">COUNTIF(INDIRECT("VERIFY"&amp;MID($C72, 2, 5)), $E$3)</f>
        <v>0</v>
      </c>
      <c r="F72" s="18">
        <f ca="1">COUNTIF(INDIRECT("VERIFY"&amp;MID($C72, 2, 5)), $F$3)</f>
        <v>0</v>
      </c>
      <c r="G72" s="18">
        <f ca="1">COUNTIF(INDIRECT("VERIFY"&amp;MID($C72, 2, 5)), $G$3)</f>
        <v>0</v>
      </c>
      <c r="H72" s="12">
        <f>TOTAL_ASVS_V12.2</f>
        <v>1</v>
      </c>
      <c r="I72" s="90">
        <f t="shared" ca="1" si="26"/>
        <v>0</v>
      </c>
    </row>
    <row r="73" spans="1:11" ht="18.5" hidden="1" outlineLevel="2" x14ac:dyDescent="0.45">
      <c r="A73" s="29" t="s">
        <v>661</v>
      </c>
      <c r="B73" s="53" t="s">
        <v>660</v>
      </c>
      <c r="C73" s="29" t="s">
        <v>674</v>
      </c>
      <c r="D73" s="12" t="s">
        <v>675</v>
      </c>
      <c r="E73" s="12">
        <f t="shared" ref="E73:E75" ca="1" si="27">COUNTIF(INDIRECT("VERIFY"&amp;MID($C73, 2, 5)), $E$3)</f>
        <v>0</v>
      </c>
      <c r="F73" s="18">
        <f t="shared" ref="F73:F75" ca="1" si="28">COUNTIF(INDIRECT("VERIFY"&amp;MID($C73, 2, 5)), $F$3)</f>
        <v>0</v>
      </c>
      <c r="G73" s="18">
        <f t="shared" ref="G73:G75" ca="1" si="29">COUNTIF(INDIRECT("VERIFY"&amp;MID($C73, 2, 5)), $G$3)</f>
        <v>0</v>
      </c>
      <c r="H73" s="12">
        <f>TOTAL_ASVS_V12.3</f>
        <v>6</v>
      </c>
      <c r="I73" s="90"/>
    </row>
    <row r="74" spans="1:11" ht="18.5" hidden="1" outlineLevel="2" x14ac:dyDescent="0.45">
      <c r="A74" s="29" t="s">
        <v>661</v>
      </c>
      <c r="B74" s="53" t="s">
        <v>660</v>
      </c>
      <c r="C74" s="29" t="s">
        <v>819</v>
      </c>
      <c r="D74" s="12" t="s">
        <v>824</v>
      </c>
      <c r="E74" s="12">
        <f t="shared" ca="1" si="27"/>
        <v>0</v>
      </c>
      <c r="F74" s="18">
        <f t="shared" ca="1" si="28"/>
        <v>0</v>
      </c>
      <c r="G74" s="18">
        <f t="shared" ca="1" si="29"/>
        <v>0</v>
      </c>
      <c r="H74" s="12">
        <f>TOTAL_ASVS_V12.4</f>
        <v>2</v>
      </c>
      <c r="I74" s="90"/>
      <c r="K74" s="13" t="str">
        <f>"VERIFY"&amp;MID($C74, 2, 5)</f>
        <v>VERIFY12.4</v>
      </c>
    </row>
    <row r="75" spans="1:11" ht="18.5" hidden="1" outlineLevel="2" x14ac:dyDescent="0.45">
      <c r="A75" s="29" t="s">
        <v>661</v>
      </c>
      <c r="B75" s="53" t="s">
        <v>660</v>
      </c>
      <c r="C75" s="29" t="s">
        <v>820</v>
      </c>
      <c r="D75" s="12" t="s">
        <v>823</v>
      </c>
      <c r="E75" s="12">
        <f t="shared" ca="1" si="27"/>
        <v>0</v>
      </c>
      <c r="F75" s="18">
        <f t="shared" ca="1" si="28"/>
        <v>0</v>
      </c>
      <c r="G75" s="18">
        <f t="shared" ca="1" si="29"/>
        <v>0</v>
      </c>
      <c r="H75" s="12">
        <f>TOTAL_ASVS_V12.5</f>
        <v>2</v>
      </c>
      <c r="I75" s="90"/>
    </row>
    <row r="76" spans="1:11" ht="18.5" hidden="1" outlineLevel="2" x14ac:dyDescent="0.45">
      <c r="A76" s="29" t="s">
        <v>661</v>
      </c>
      <c r="B76" s="53" t="s">
        <v>660</v>
      </c>
      <c r="C76" s="29" t="s">
        <v>821</v>
      </c>
      <c r="D76" s="12" t="s">
        <v>822</v>
      </c>
      <c r="E76" s="12">
        <f ca="1">COUNTIF(INDIRECT("VERIFY"&amp;MID($C76, 2, 5)), $E$3)</f>
        <v>0</v>
      </c>
      <c r="F76" s="18">
        <f ca="1">COUNTIF(INDIRECT("VERIFY"&amp;MID($C76, 2, 5)), $F$3)</f>
        <v>0</v>
      </c>
      <c r="G76" s="18">
        <f ca="1">COUNTIF(INDIRECT("VERIFY"&amp;MID($C76, 2, 5)), $G$3)</f>
        <v>0</v>
      </c>
      <c r="H76" s="12">
        <f>TOTAL_ASVS_V12.6</f>
        <v>1</v>
      </c>
      <c r="I76" s="90">
        <f t="shared" ca="1" si="26"/>
        <v>0</v>
      </c>
    </row>
    <row r="77" spans="1:11" ht="18.5" outlineLevel="1" collapsed="1" x14ac:dyDescent="0.45">
      <c r="A77" s="29"/>
      <c r="B77" s="52" t="s">
        <v>796</v>
      </c>
      <c r="C77" s="29"/>
      <c r="D77" s="12"/>
      <c r="E77" s="12">
        <f ca="1">SUBTOTAL(9,E78:E81)</f>
        <v>0</v>
      </c>
      <c r="F77" s="18">
        <f ca="1">SUBTOTAL(9,F78:F81)</f>
        <v>0</v>
      </c>
      <c r="G77" s="18">
        <f ca="1">SUBTOTAL(9,G78:G81)</f>
        <v>0</v>
      </c>
      <c r="H77" s="12">
        <f>SUBTOTAL(9,H78:H81)</f>
        <v>15</v>
      </c>
      <c r="I77" s="90">
        <f t="shared" ca="1" si="26"/>
        <v>0</v>
      </c>
    </row>
    <row r="78" spans="1:11" ht="18.5" hidden="1" outlineLevel="2" x14ac:dyDescent="0.45">
      <c r="A78" s="29" t="s">
        <v>50</v>
      </c>
      <c r="B78" s="53" t="s">
        <v>689</v>
      </c>
      <c r="C78" s="29" t="s">
        <v>690</v>
      </c>
      <c r="D78" s="12" t="s">
        <v>701</v>
      </c>
      <c r="E78" s="12">
        <f ca="1">COUNTIF(INDIRECT("VERIFY"&amp;MID($C78, 2, 5)), $E$3)</f>
        <v>0</v>
      </c>
      <c r="F78" s="18">
        <f ca="1">COUNTIF(INDIRECT("VERIFY"&amp;MID($C78, 2, 5)), $F$3)</f>
        <v>0</v>
      </c>
      <c r="G78" s="18">
        <f ca="1">COUNTIF(INDIRECT("VERIFY"&amp;MID($C78, 2, 5)), $G$3)</f>
        <v>0</v>
      </c>
      <c r="H78" s="12">
        <f>TOTAL_ASVS_V13.1</f>
        <v>5</v>
      </c>
      <c r="I78" s="90">
        <f t="shared" ca="1" si="26"/>
        <v>0</v>
      </c>
    </row>
    <row r="79" spans="1:11" ht="18.5" hidden="1" outlineLevel="2" x14ac:dyDescent="0.45">
      <c r="A79" s="29" t="s">
        <v>50</v>
      </c>
      <c r="B79" s="53" t="s">
        <v>689</v>
      </c>
      <c r="C79" s="29" t="s">
        <v>702</v>
      </c>
      <c r="D79" s="12" t="s">
        <v>703</v>
      </c>
      <c r="E79" s="12">
        <f ca="1">COUNTIF(INDIRECT("VERIFY"&amp;MID($C79, 2, 5)), $E$3)</f>
        <v>0</v>
      </c>
      <c r="F79" s="18">
        <f ca="1">COUNTIF(INDIRECT("VERIFY"&amp;MID($C79, 2, 5)), $F$3)</f>
        <v>0</v>
      </c>
      <c r="G79" s="18">
        <f ca="1">COUNTIF(INDIRECT("VERIFY"&amp;MID($C79, 2, 5)), $G$3)</f>
        <v>0</v>
      </c>
      <c r="H79" s="12">
        <f>TOTAL_ASVS_V13.2</f>
        <v>6</v>
      </c>
      <c r="I79" s="90">
        <f t="shared" ca="1" si="26"/>
        <v>0</v>
      </c>
    </row>
    <row r="80" spans="1:11" ht="18.5" hidden="1" outlineLevel="2" x14ac:dyDescent="0.45">
      <c r="A80" s="29" t="s">
        <v>50</v>
      </c>
      <c r="B80" s="53" t="s">
        <v>689</v>
      </c>
      <c r="C80" s="29" t="s">
        <v>716</v>
      </c>
      <c r="D80" s="12" t="s">
        <v>717</v>
      </c>
      <c r="E80" s="12">
        <f ca="1">COUNTIF(INDIRECT("VERIFY"&amp;MID($C80, 2, 5)), $E$3)</f>
        <v>0</v>
      </c>
      <c r="F80" s="18">
        <f ca="1">COUNTIF(INDIRECT("VERIFY"&amp;MID($C80, 2, 5)), $F$3)</f>
        <v>0</v>
      </c>
      <c r="G80" s="18">
        <f ca="1">COUNTIF(INDIRECT("VERIFY"&amp;MID($C80, 2, 5)), $G$3)</f>
        <v>0</v>
      </c>
      <c r="H80" s="12">
        <f>TOTAL_ASVS_V13.3</f>
        <v>2</v>
      </c>
      <c r="I80" s="90">
        <f t="shared" ca="1" si="26"/>
        <v>0</v>
      </c>
    </row>
    <row r="81" spans="1:9" ht="18.5" hidden="1" outlineLevel="2" x14ac:dyDescent="0.45">
      <c r="A81" s="29" t="s">
        <v>50</v>
      </c>
      <c r="B81" s="53" t="s">
        <v>689</v>
      </c>
      <c r="C81" s="29" t="s">
        <v>722</v>
      </c>
      <c r="D81" s="12" t="s">
        <v>723</v>
      </c>
      <c r="E81" s="12">
        <f ca="1">COUNTIF(INDIRECT("VERIFY"&amp;MID($C81, 2, 5)), $E$3)</f>
        <v>0</v>
      </c>
      <c r="F81" s="18">
        <f ca="1">COUNTIF(INDIRECT("VERIFY"&amp;MID($C81, 2, 5)), $F$3)</f>
        <v>0</v>
      </c>
      <c r="G81" s="18">
        <f ca="1">COUNTIF(INDIRECT("VERIFY"&amp;MID($C81, 2, 5)), $G$3)</f>
        <v>0</v>
      </c>
      <c r="H81" s="12">
        <f>TOTAL_ASVS_V13.4</f>
        <v>2</v>
      </c>
      <c r="I81" s="90">
        <f t="shared" ca="1" si="26"/>
        <v>0</v>
      </c>
    </row>
    <row r="82" spans="1:9" ht="18.5" outlineLevel="1" collapsed="1" x14ac:dyDescent="0.45">
      <c r="A82" s="29"/>
      <c r="B82" s="52" t="s">
        <v>795</v>
      </c>
      <c r="C82" s="29"/>
      <c r="D82" s="12"/>
      <c r="E82" s="12">
        <f ca="1">SUBTOTAL(9,E83:E87)</f>
        <v>0</v>
      </c>
      <c r="F82" s="18">
        <f ca="1">SUBTOTAL(9,F83:F87)</f>
        <v>0</v>
      </c>
      <c r="G82" s="18">
        <f ca="1">SUBTOTAL(9,G83:G87)</f>
        <v>0</v>
      </c>
      <c r="H82" s="12">
        <f>SUBTOTAL(9,H83:H87)</f>
        <v>25</v>
      </c>
      <c r="I82" s="90">
        <f t="shared" ca="1" si="26"/>
        <v>0</v>
      </c>
    </row>
    <row r="83" spans="1:9" ht="18.5" hidden="1" outlineLevel="2" x14ac:dyDescent="0.45">
      <c r="A83" s="29" t="s">
        <v>731</v>
      </c>
      <c r="B83" s="11" t="s">
        <v>730</v>
      </c>
      <c r="C83" s="29" t="s">
        <v>732</v>
      </c>
      <c r="D83" s="12" t="s">
        <v>733</v>
      </c>
      <c r="E83" s="12">
        <f ca="1">COUNTIF(INDIRECT("VERIFY"&amp;MID($C83, 2, 5)), $E$3)</f>
        <v>0</v>
      </c>
      <c r="F83" s="18">
        <f ca="1">COUNTIF(INDIRECT("VERIFY"&amp;MID($C83, 2, 5)), $F$3)</f>
        <v>0</v>
      </c>
      <c r="G83" s="18">
        <f ca="1">COUNTIF(INDIRECT("VERIFY"&amp;MID($C83, 2, 5)), $G$3)</f>
        <v>0</v>
      </c>
      <c r="H83" s="12">
        <f>TOTAL_ASVS_V14.1</f>
        <v>5</v>
      </c>
      <c r="I83" s="12">
        <f t="shared" ca="1" si="26"/>
        <v>0</v>
      </c>
    </row>
    <row r="84" spans="1:9" ht="18.5" hidden="1" outlineLevel="2" x14ac:dyDescent="0.45">
      <c r="A84" s="29" t="s">
        <v>731</v>
      </c>
      <c r="B84" s="11" t="s">
        <v>730</v>
      </c>
      <c r="C84" s="29" t="s">
        <v>744</v>
      </c>
      <c r="D84" s="12" t="s">
        <v>745</v>
      </c>
      <c r="E84" s="12">
        <f ca="1">COUNTIF(INDIRECT("VERIFY"&amp;MID($C84, 2, 5)), $E$3)</f>
        <v>0</v>
      </c>
      <c r="F84" s="18">
        <f ca="1">COUNTIF(INDIRECT("VERIFY"&amp;MID($C84, 2, 5)), $F$3)</f>
        <v>0</v>
      </c>
      <c r="G84" s="18">
        <f ca="1">COUNTIF(INDIRECT("VERIFY"&amp;MID($C84, 2, 5)), $G$3)</f>
        <v>0</v>
      </c>
      <c r="H84" s="12">
        <f>TOTAL_ASVS_V14.2</f>
        <v>6</v>
      </c>
      <c r="I84" s="12">
        <f t="shared" ca="1" si="26"/>
        <v>0</v>
      </c>
    </row>
    <row r="85" spans="1:9" ht="18.5" hidden="1" outlineLevel="2" x14ac:dyDescent="0.45">
      <c r="A85" s="29" t="s">
        <v>731</v>
      </c>
      <c r="B85" s="11" t="s">
        <v>730</v>
      </c>
      <c r="C85" s="29" t="s">
        <v>758</v>
      </c>
      <c r="D85" s="12" t="s">
        <v>759</v>
      </c>
      <c r="E85" s="12">
        <f ca="1">COUNTIF(INDIRECT("VERIFY"&amp;MID($C85, 2, 5)), $E$3)</f>
        <v>0</v>
      </c>
      <c r="F85" s="18">
        <f ca="1">COUNTIF(INDIRECT("VERIFY"&amp;MID($C85, 2, 5)), $F$3)</f>
        <v>0</v>
      </c>
      <c r="G85" s="18">
        <f ca="1">COUNTIF(INDIRECT("VERIFY"&amp;MID($C85, 2, 5)), $G$3)</f>
        <v>0</v>
      </c>
      <c r="H85" s="12">
        <f>TOTAL_ASVS_V14.3</f>
        <v>3</v>
      </c>
      <c r="I85" s="12">
        <f t="shared" ca="1" si="26"/>
        <v>0</v>
      </c>
    </row>
    <row r="86" spans="1:9" ht="18.5" hidden="1" outlineLevel="2" x14ac:dyDescent="0.45">
      <c r="A86" s="29" t="s">
        <v>731</v>
      </c>
      <c r="B86" s="11" t="s">
        <v>730</v>
      </c>
      <c r="C86" s="29" t="s">
        <v>765</v>
      </c>
      <c r="D86" s="12" t="s">
        <v>766</v>
      </c>
      <c r="E86" s="12">
        <f ca="1">COUNTIF(INDIRECT("VERIFY"&amp;MID($C86, 2, 5)), $E$3)</f>
        <v>0</v>
      </c>
      <c r="F86" s="18">
        <f ca="1">COUNTIF(INDIRECT("VERIFY"&amp;MID($C86, 2, 5)), $F$3)</f>
        <v>0</v>
      </c>
      <c r="G86" s="18">
        <f ca="1">COUNTIF(INDIRECT("VERIFY"&amp;MID($C86, 2, 5)), $G$3)</f>
        <v>0</v>
      </c>
      <c r="H86" s="12">
        <f>TOTAL_ASVS_V14.4</f>
        <v>7</v>
      </c>
      <c r="I86" s="12">
        <f t="shared" ca="1" si="26"/>
        <v>0</v>
      </c>
    </row>
    <row r="87" spans="1:9" ht="18.5" hidden="1" outlineLevel="2" x14ac:dyDescent="0.45">
      <c r="A87" s="29" t="s">
        <v>731</v>
      </c>
      <c r="B87" s="11" t="s">
        <v>730</v>
      </c>
      <c r="C87" s="29" t="s">
        <v>780</v>
      </c>
      <c r="D87" s="12" t="s">
        <v>781</v>
      </c>
      <c r="E87" s="12">
        <f ca="1">COUNTIF(INDIRECT("VERIFY"&amp;MID($C87, 2, 5)), $E$3)</f>
        <v>0</v>
      </c>
      <c r="F87" s="18">
        <f ca="1">COUNTIF(INDIRECT("VERIFY"&amp;MID($C87, 2, 5)), $F$3)</f>
        <v>0</v>
      </c>
      <c r="G87" s="18">
        <f ca="1">COUNTIF(INDIRECT("VERIFY"&amp;MID($C87, 2, 5)), $G$3)</f>
        <v>0</v>
      </c>
      <c r="H87" s="12">
        <f>TOTAL_ASVS_V14.5</f>
        <v>4</v>
      </c>
      <c r="I87" s="12">
        <f t="shared" ca="1" si="26"/>
        <v>0</v>
      </c>
    </row>
  </sheetData>
  <sheetProtection sheet="1" objects="1" scenarios="1"/>
  <conditionalFormatting sqref="I4:I82">
    <cfRule type="cellIs" dxfId="14" priority="1" stopIfTrue="1" operator="greaterThanOrEqual">
      <formula>formatGreen</formula>
    </cfRule>
    <cfRule type="cellIs" dxfId="13" priority="2" stopIfTrue="1" operator="between">
      <formula>formatRed</formula>
      <formula>formatGreen</formula>
    </cfRule>
    <cfRule type="cellIs" dxfId="12" priority="3" operator="between">
      <formula>0</formula>
      <formula>formatRed</formula>
    </cfRule>
  </conditionalFormatting>
  <dataValidations count="1">
    <dataValidation allowBlank="1" sqref="G1" xr:uid="{420EDCC8-323A-45BC-9C1F-DFC26DA32736}"/>
  </dataValidations>
  <hyperlinks>
    <hyperlink ref="B5" location="'V1'!A1" display="Architecture, Design and Threat Modeling Requirements Total" xr:uid="{6C4F142A-3EE4-49F6-B139-85B58DEECA70}"/>
    <hyperlink ref="B18" location="'V2'!A1" display="Authentication Verification Requirements Total" xr:uid="{7990C1D6-F041-418E-B9EA-B4F1C72860FD}"/>
    <hyperlink ref="B29" location="'V3'!A1" display="Session Management Verification Requirements Total" xr:uid="{14A2113C-0189-47DC-9611-C5A97468C429}"/>
    <hyperlink ref="B37" location="'V4'!A1" display="Access Control Verification Requirements Total" xr:uid="{339DF6C9-7756-4A6D-902E-0C43ED9FCD01}"/>
    <hyperlink ref="B41" location="'V5'!A1" display="Validation, Sanitization and Encoding Verification Requirements Total" xr:uid="{C8F0D6F8-A95A-4C78-AAD9-5E56B1500734}"/>
    <hyperlink ref="B47" location="'V6'!A1" display="Stored Cryptography Verification Requirements Total" xr:uid="{8E3598FD-8038-4E66-B430-FD94C42A7440}"/>
    <hyperlink ref="B52" location="'V7'!A1" display="Error Handling and Logging Verification Requirements Total" xr:uid="{06F79C2A-2A3F-45DA-BEC1-D5AD18C11AB6}"/>
    <hyperlink ref="B57" location="'V8'!A1" display="Data Protection Verification Requirements Total" xr:uid="{75D30FE9-2186-42FD-BFCC-6EE893E28682}"/>
    <hyperlink ref="B61" location="'V9'!A1" display="Communications Verification Requirements Total" xr:uid="{FC2C0B35-1CA6-4D01-9136-69F0C62C7131}"/>
    <hyperlink ref="B64" location="'V10'!A1" display="Malicious Code Verification Requirements Total" xr:uid="{4C377E3C-E9BB-4398-B8FD-4C243A80C93C}"/>
    <hyperlink ref="B68" location="'V11'!A1" display="Business Logic Verification Requirements Total" xr:uid="{0517C377-C9BE-4DA1-BBF3-1FD1FBCE4454}"/>
    <hyperlink ref="B70" location="'V12'!A1" display="File and Resources Verification Requirements Total" xr:uid="{3DBE05B5-6A0B-49FC-AA3C-9FB5F07B8497}"/>
    <hyperlink ref="B77" location="'V13'!A1" display="API and Web Service Verification Requirements Total" xr:uid="{E55E448D-6447-4F39-8F19-68111955F12D}"/>
    <hyperlink ref="B82" location="'V14'!A1" display="Configuration Verification Requirements Total" xr:uid="{D8E2C0DF-2FE2-4099-ADAA-D5CA128768C1}"/>
  </hyperlink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1106A-1FA5-41AE-B9B8-1CAEE4406459}">
  <sheetPr codeName="Sheet2">
    <tabColor theme="3" tint="0.39997558519241921"/>
  </sheetPr>
  <dimension ref="A1:CRF680"/>
  <sheetViews>
    <sheetView showGridLines="0" showRowColHeaders="0" workbookViewId="0">
      <pane ySplit="6" topLeftCell="A7" activePane="bottomLeft" state="frozen"/>
      <selection pane="bottomLeft" activeCell="A7" sqref="A7:A48"/>
    </sheetView>
  </sheetViews>
  <sheetFormatPr defaultRowHeight="14.5" x14ac:dyDescent="0.35"/>
  <cols>
    <col min="1" max="1" width="10.1796875" customWidth="1"/>
    <col min="2" max="2" width="24.1796875" style="20" customWidth="1"/>
    <col min="3" max="3" width="10.1796875" customWidth="1"/>
    <col min="4" max="4" width="31.81640625" customWidth="1"/>
    <col min="5" max="5" width="8.7265625" style="21"/>
    <col min="6" max="6" width="56.1796875" customWidth="1"/>
    <col min="7" max="7" width="19.1796875" customWidth="1"/>
    <col min="8" max="10" width="3.7265625" bestFit="1" customWidth="1"/>
    <col min="12" max="12" width="13.1796875" customWidth="1"/>
    <col min="13" max="13" width="37.26953125" customWidth="1"/>
    <col min="14" max="14" width="47.7265625" style="43" customWidth="1"/>
    <col min="15" max="136" width="8.726562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0</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0</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TOTAL_ASVS_V1</f>
        <v>42</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25.5" customHeight="1" x14ac:dyDescent="0.35">
      <c r="A7" s="107" t="s">
        <v>40</v>
      </c>
      <c r="B7" s="112" t="s">
        <v>172</v>
      </c>
      <c r="C7" s="107" t="s">
        <v>78</v>
      </c>
      <c r="D7" s="108" t="s">
        <v>63</v>
      </c>
      <c r="E7" s="22" t="s">
        <v>64</v>
      </c>
      <c r="F7" s="23" t="s">
        <v>65</v>
      </c>
      <c r="G7" s="91" t="s">
        <v>32</v>
      </c>
      <c r="H7" s="24"/>
      <c r="I7" s="39" t="s">
        <v>812</v>
      </c>
      <c r="J7" s="40" t="s">
        <v>812</v>
      </c>
      <c r="K7" s="4"/>
      <c r="L7" s="4"/>
      <c r="M7" s="109" t="s">
        <v>844</v>
      </c>
      <c r="N7" s="56"/>
    </row>
    <row r="8" spans="1:2502" ht="39" x14ac:dyDescent="0.35">
      <c r="A8" s="107"/>
      <c r="B8" s="112"/>
      <c r="C8" s="107"/>
      <c r="D8" s="108"/>
      <c r="E8" s="22" t="s">
        <v>66</v>
      </c>
      <c r="F8" s="4" t="s">
        <v>67</v>
      </c>
      <c r="G8" s="91" t="s">
        <v>32</v>
      </c>
      <c r="H8" s="24"/>
      <c r="I8" s="39" t="s">
        <v>812</v>
      </c>
      <c r="J8" s="40" t="s">
        <v>812</v>
      </c>
      <c r="K8" s="5">
        <v>1053</v>
      </c>
      <c r="L8" s="4"/>
      <c r="M8" s="110"/>
      <c r="N8" s="56"/>
    </row>
    <row r="9" spans="1:2502" ht="39" x14ac:dyDescent="0.35">
      <c r="A9" s="107"/>
      <c r="B9" s="112"/>
      <c r="C9" s="107"/>
      <c r="D9" s="108"/>
      <c r="E9" s="22" t="s">
        <v>68</v>
      </c>
      <c r="F9" s="4" t="s">
        <v>69</v>
      </c>
      <c r="G9" s="91" t="s">
        <v>32</v>
      </c>
      <c r="H9" s="24"/>
      <c r="I9" s="39" t="s">
        <v>812</v>
      </c>
      <c r="J9" s="40" t="s">
        <v>812</v>
      </c>
      <c r="K9" s="5">
        <v>1110</v>
      </c>
      <c r="L9" s="4"/>
      <c r="M9" s="110"/>
      <c r="N9" s="56"/>
    </row>
    <row r="10" spans="1:2502" ht="26" x14ac:dyDescent="0.35">
      <c r="A10" s="107"/>
      <c r="B10" s="112"/>
      <c r="C10" s="107"/>
      <c r="D10" s="108"/>
      <c r="E10" s="22" t="s">
        <v>70</v>
      </c>
      <c r="F10" s="4" t="s">
        <v>71</v>
      </c>
      <c r="G10" s="91" t="s">
        <v>32</v>
      </c>
      <c r="H10" s="24"/>
      <c r="I10" s="39" t="s">
        <v>812</v>
      </c>
      <c r="J10" s="40" t="s">
        <v>812</v>
      </c>
      <c r="K10" s="5">
        <v>1059</v>
      </c>
      <c r="L10" s="4"/>
      <c r="M10" s="110"/>
      <c r="N10" s="56"/>
    </row>
    <row r="11" spans="1:2502" ht="26" x14ac:dyDescent="0.35">
      <c r="A11" s="107"/>
      <c r="B11" s="112"/>
      <c r="C11" s="107"/>
      <c r="D11" s="108"/>
      <c r="E11" s="22" t="s">
        <v>72</v>
      </c>
      <c r="F11" s="23" t="s">
        <v>73</v>
      </c>
      <c r="G11" s="91" t="s">
        <v>32</v>
      </c>
      <c r="H11" s="24"/>
      <c r="I11" s="39" t="s">
        <v>812</v>
      </c>
      <c r="J11" s="40" t="s">
        <v>812</v>
      </c>
      <c r="K11" s="5">
        <v>1059</v>
      </c>
      <c r="L11" s="4"/>
      <c r="M11" s="110"/>
      <c r="N11" s="56"/>
    </row>
    <row r="12" spans="1:2502" ht="39" x14ac:dyDescent="0.35">
      <c r="A12" s="107"/>
      <c r="B12" s="112"/>
      <c r="C12" s="107"/>
      <c r="D12" s="108"/>
      <c r="E12" s="22" t="s">
        <v>74</v>
      </c>
      <c r="F12" s="23" t="s">
        <v>75</v>
      </c>
      <c r="G12" s="91" t="s">
        <v>32</v>
      </c>
      <c r="H12" s="24"/>
      <c r="I12" s="39" t="s">
        <v>812</v>
      </c>
      <c r="J12" s="40" t="s">
        <v>812</v>
      </c>
      <c r="K12" s="5">
        <v>637</v>
      </c>
      <c r="L12" s="4"/>
      <c r="M12" s="110"/>
      <c r="N12" s="56"/>
    </row>
    <row r="13" spans="1:2502" ht="26" x14ac:dyDescent="0.35">
      <c r="A13" s="107"/>
      <c r="B13" s="112"/>
      <c r="C13" s="107"/>
      <c r="D13" s="108"/>
      <c r="E13" s="22" t="s">
        <v>76</v>
      </c>
      <c r="F13" s="4" t="s">
        <v>77</v>
      </c>
      <c r="G13" s="91" t="s">
        <v>32</v>
      </c>
      <c r="H13" s="24"/>
      <c r="I13" s="39" t="s">
        <v>812</v>
      </c>
      <c r="J13" s="40" t="s">
        <v>812</v>
      </c>
      <c r="K13" s="5">
        <v>637</v>
      </c>
      <c r="L13" s="4"/>
      <c r="M13" s="110"/>
      <c r="N13" s="56"/>
    </row>
    <row r="14" spans="1:2502" ht="39" customHeight="1" x14ac:dyDescent="0.35">
      <c r="A14" s="107"/>
      <c r="B14" s="112"/>
      <c r="C14" s="107" t="s">
        <v>88</v>
      </c>
      <c r="D14" s="108" t="s">
        <v>89</v>
      </c>
      <c r="E14" s="22" t="s">
        <v>80</v>
      </c>
      <c r="F14" s="23" t="s">
        <v>81</v>
      </c>
      <c r="G14" s="91" t="s">
        <v>32</v>
      </c>
      <c r="H14" s="4"/>
      <c r="I14" s="39" t="s">
        <v>812</v>
      </c>
      <c r="J14" s="40" t="s">
        <v>812</v>
      </c>
      <c r="K14" s="5">
        <v>250</v>
      </c>
      <c r="L14" s="24"/>
      <c r="M14" s="110"/>
      <c r="N14" s="41"/>
    </row>
    <row r="15" spans="1:2502" ht="39" x14ac:dyDescent="0.35">
      <c r="A15" s="107"/>
      <c r="B15" s="112"/>
      <c r="C15" s="107"/>
      <c r="D15" s="108"/>
      <c r="E15" s="22" t="s">
        <v>82</v>
      </c>
      <c r="F15" s="23" t="s">
        <v>83</v>
      </c>
      <c r="G15" s="91" t="s">
        <v>32</v>
      </c>
      <c r="H15" s="4"/>
      <c r="I15" s="39" t="s">
        <v>812</v>
      </c>
      <c r="J15" s="40" t="s">
        <v>812</v>
      </c>
      <c r="K15" s="5">
        <v>306</v>
      </c>
      <c r="L15" s="24"/>
      <c r="M15" s="110"/>
      <c r="N15" s="41"/>
    </row>
    <row r="16" spans="1:2502" ht="52" x14ac:dyDescent="0.35">
      <c r="A16" s="107"/>
      <c r="B16" s="112"/>
      <c r="C16" s="107"/>
      <c r="D16" s="108"/>
      <c r="E16" s="22" t="s">
        <v>84</v>
      </c>
      <c r="F16" s="4" t="s">
        <v>85</v>
      </c>
      <c r="G16" s="91" t="s">
        <v>32</v>
      </c>
      <c r="H16" s="4"/>
      <c r="I16" s="39" t="s">
        <v>812</v>
      </c>
      <c r="J16" s="40" t="s">
        <v>812</v>
      </c>
      <c r="K16" s="5">
        <v>306</v>
      </c>
      <c r="L16" s="24"/>
      <c r="M16" s="110"/>
      <c r="N16" s="41"/>
    </row>
    <row r="17" spans="1:14" ht="39" x14ac:dyDescent="0.35">
      <c r="A17" s="107"/>
      <c r="B17" s="112"/>
      <c r="C17" s="107"/>
      <c r="D17" s="108"/>
      <c r="E17" s="22" t="s">
        <v>86</v>
      </c>
      <c r="F17" s="4" t="s">
        <v>87</v>
      </c>
      <c r="G17" s="91" t="s">
        <v>32</v>
      </c>
      <c r="H17" s="4"/>
      <c r="I17" s="39" t="s">
        <v>812</v>
      </c>
      <c r="J17" s="40" t="s">
        <v>812</v>
      </c>
      <c r="K17" s="5">
        <v>306</v>
      </c>
      <c r="L17" s="24"/>
      <c r="M17" s="110"/>
      <c r="N17" s="41"/>
    </row>
    <row r="18" spans="1:14" ht="39" customHeight="1" x14ac:dyDescent="0.35">
      <c r="A18" s="107"/>
      <c r="B18" s="112"/>
      <c r="C18" s="107" t="s">
        <v>90</v>
      </c>
      <c r="D18" s="108" t="s">
        <v>91</v>
      </c>
      <c r="E18" s="22" t="s">
        <v>92</v>
      </c>
      <c r="F18" s="4" t="s">
        <v>93</v>
      </c>
      <c r="G18" s="91" t="s">
        <v>32</v>
      </c>
      <c r="H18" s="4"/>
      <c r="I18" s="39" t="s">
        <v>812</v>
      </c>
      <c r="J18" s="40" t="s">
        <v>812</v>
      </c>
      <c r="K18" s="5">
        <v>602</v>
      </c>
      <c r="L18" s="24"/>
      <c r="M18" s="110"/>
      <c r="N18" s="41"/>
    </row>
    <row r="19" spans="1:14" ht="26" x14ac:dyDescent="0.35">
      <c r="A19" s="107"/>
      <c r="B19" s="112"/>
      <c r="C19" s="107"/>
      <c r="D19" s="108"/>
      <c r="E19" s="22" t="s">
        <v>94</v>
      </c>
      <c r="F19" s="4" t="s">
        <v>95</v>
      </c>
      <c r="G19" s="91" t="s">
        <v>32</v>
      </c>
      <c r="H19" s="4"/>
      <c r="I19" s="39" t="s">
        <v>812</v>
      </c>
      <c r="J19" s="40" t="s">
        <v>812</v>
      </c>
      <c r="K19" s="5">
        <v>284</v>
      </c>
      <c r="L19" s="24"/>
      <c r="M19" s="110"/>
      <c r="N19" s="41"/>
    </row>
    <row r="20" spans="1:14" ht="39" x14ac:dyDescent="0.35">
      <c r="A20" s="107"/>
      <c r="B20" s="112"/>
      <c r="C20" s="107"/>
      <c r="D20" s="108"/>
      <c r="E20" s="22" t="s">
        <v>96</v>
      </c>
      <c r="F20" s="4" t="s">
        <v>97</v>
      </c>
      <c r="G20" s="91" t="s">
        <v>32</v>
      </c>
      <c r="H20" s="4"/>
      <c r="I20" s="39" t="s">
        <v>812</v>
      </c>
      <c r="J20" s="40" t="s">
        <v>812</v>
      </c>
      <c r="K20" s="5">
        <v>272</v>
      </c>
      <c r="L20" s="24"/>
      <c r="M20" s="110"/>
      <c r="N20" s="41"/>
    </row>
    <row r="21" spans="1:14" ht="52" x14ac:dyDescent="0.35">
      <c r="A21" s="107"/>
      <c r="B21" s="112"/>
      <c r="C21" s="107"/>
      <c r="D21" s="108"/>
      <c r="E21" s="22" t="s">
        <v>98</v>
      </c>
      <c r="F21" s="23" t="s">
        <v>99</v>
      </c>
      <c r="G21" s="91" t="s">
        <v>32</v>
      </c>
      <c r="H21" s="4"/>
      <c r="I21" s="39" t="s">
        <v>812</v>
      </c>
      <c r="J21" s="40" t="s">
        <v>812</v>
      </c>
      <c r="K21" s="5">
        <v>284</v>
      </c>
      <c r="L21" s="24"/>
      <c r="M21" s="110"/>
      <c r="N21" s="41"/>
    </row>
    <row r="22" spans="1:14" ht="52" x14ac:dyDescent="0.35">
      <c r="A22" s="107"/>
      <c r="B22" s="112"/>
      <c r="C22" s="107"/>
      <c r="D22" s="108"/>
      <c r="E22" s="22" t="s">
        <v>100</v>
      </c>
      <c r="F22" s="23" t="s">
        <v>101</v>
      </c>
      <c r="G22" s="91" t="s">
        <v>32</v>
      </c>
      <c r="H22" s="4"/>
      <c r="I22" s="39" t="s">
        <v>812</v>
      </c>
      <c r="J22" s="40" t="s">
        <v>812</v>
      </c>
      <c r="K22" s="5">
        <v>275</v>
      </c>
      <c r="L22" s="24"/>
      <c r="M22" s="110"/>
      <c r="N22" s="41"/>
    </row>
    <row r="23" spans="1:14" ht="39" customHeight="1" x14ac:dyDescent="0.35">
      <c r="A23" s="107"/>
      <c r="B23" s="112"/>
      <c r="C23" s="107" t="s">
        <v>102</v>
      </c>
      <c r="D23" s="108" t="s">
        <v>103</v>
      </c>
      <c r="E23" s="22" t="s">
        <v>104</v>
      </c>
      <c r="F23" s="4" t="s">
        <v>105</v>
      </c>
      <c r="G23" s="91" t="s">
        <v>32</v>
      </c>
      <c r="H23" s="4"/>
      <c r="I23" s="39" t="s">
        <v>812</v>
      </c>
      <c r="J23" s="40" t="s">
        <v>812</v>
      </c>
      <c r="K23" s="5">
        <v>1029</v>
      </c>
      <c r="L23" s="24"/>
      <c r="M23" s="110"/>
      <c r="N23" s="41"/>
    </row>
    <row r="24" spans="1:14" ht="52" x14ac:dyDescent="0.35">
      <c r="A24" s="107"/>
      <c r="B24" s="112"/>
      <c r="C24" s="107"/>
      <c r="D24" s="108"/>
      <c r="E24" s="22" t="s">
        <v>106</v>
      </c>
      <c r="F24" s="4" t="s">
        <v>107</v>
      </c>
      <c r="G24" s="91" t="s">
        <v>32</v>
      </c>
      <c r="H24" s="4"/>
      <c r="I24" s="39" t="s">
        <v>812</v>
      </c>
      <c r="J24" s="40" t="s">
        <v>812</v>
      </c>
      <c r="K24" s="5">
        <v>502</v>
      </c>
      <c r="L24" s="24"/>
      <c r="M24" s="110"/>
      <c r="N24" s="41"/>
    </row>
    <row r="25" spans="1:14" x14ac:dyDescent="0.35">
      <c r="A25" s="107"/>
      <c r="B25" s="112"/>
      <c r="C25" s="107"/>
      <c r="D25" s="108"/>
      <c r="E25" s="22" t="s">
        <v>108</v>
      </c>
      <c r="F25" s="23" t="s">
        <v>109</v>
      </c>
      <c r="G25" s="91" t="s">
        <v>32</v>
      </c>
      <c r="H25" s="4"/>
      <c r="I25" s="39" t="s">
        <v>812</v>
      </c>
      <c r="J25" s="40" t="s">
        <v>812</v>
      </c>
      <c r="K25" s="5">
        <v>602</v>
      </c>
      <c r="L25" s="24"/>
      <c r="M25" s="110"/>
      <c r="N25" s="41"/>
    </row>
    <row r="26" spans="1:14" ht="26" x14ac:dyDescent="0.35">
      <c r="A26" s="107"/>
      <c r="B26" s="112"/>
      <c r="C26" s="107"/>
      <c r="D26" s="108"/>
      <c r="E26" s="22" t="s">
        <v>110</v>
      </c>
      <c r="F26" s="23" t="s">
        <v>111</v>
      </c>
      <c r="G26" s="91" t="s">
        <v>32</v>
      </c>
      <c r="H26" s="4"/>
      <c r="I26" s="39" t="s">
        <v>812</v>
      </c>
      <c r="J26" s="40" t="s">
        <v>812</v>
      </c>
      <c r="K26" s="5">
        <v>116</v>
      </c>
      <c r="L26" s="24"/>
      <c r="M26" s="110"/>
      <c r="N26" s="41"/>
    </row>
    <row r="27" spans="1:14" ht="39" customHeight="1" x14ac:dyDescent="0.35">
      <c r="A27" s="107"/>
      <c r="B27" s="112"/>
      <c r="C27" s="107" t="s">
        <v>112</v>
      </c>
      <c r="D27" s="108" t="s">
        <v>113</v>
      </c>
      <c r="E27" s="22" t="s">
        <v>114</v>
      </c>
      <c r="F27" s="4" t="s">
        <v>115</v>
      </c>
      <c r="G27" s="91" t="s">
        <v>32</v>
      </c>
      <c r="H27" s="4"/>
      <c r="I27" s="39" t="s">
        <v>812</v>
      </c>
      <c r="J27" s="40" t="s">
        <v>812</v>
      </c>
      <c r="K27" s="5">
        <v>320</v>
      </c>
      <c r="L27" s="24"/>
      <c r="M27" s="110"/>
      <c r="N27" s="41"/>
    </row>
    <row r="28" spans="1:14" ht="26" x14ac:dyDescent="0.35">
      <c r="A28" s="107"/>
      <c r="B28" s="112"/>
      <c r="C28" s="107"/>
      <c r="D28" s="108"/>
      <c r="E28" s="22" t="s">
        <v>116</v>
      </c>
      <c r="F28" s="4" t="s">
        <v>117</v>
      </c>
      <c r="G28" s="91" t="s">
        <v>32</v>
      </c>
      <c r="H28" s="4"/>
      <c r="I28" s="39" t="s">
        <v>812</v>
      </c>
      <c r="J28" s="40" t="s">
        <v>812</v>
      </c>
      <c r="K28" s="5">
        <v>320</v>
      </c>
      <c r="L28" s="24"/>
      <c r="M28" s="110"/>
      <c r="N28" s="41"/>
    </row>
    <row r="29" spans="1:14" ht="26" x14ac:dyDescent="0.35">
      <c r="A29" s="107"/>
      <c r="B29" s="112"/>
      <c r="C29" s="107"/>
      <c r="D29" s="108"/>
      <c r="E29" s="22" t="s">
        <v>118</v>
      </c>
      <c r="F29" s="4" t="s">
        <v>119</v>
      </c>
      <c r="G29" s="91" t="s">
        <v>32</v>
      </c>
      <c r="H29" s="4"/>
      <c r="I29" s="39" t="s">
        <v>812</v>
      </c>
      <c r="J29" s="40" t="s">
        <v>812</v>
      </c>
      <c r="K29" s="5">
        <v>320</v>
      </c>
      <c r="L29" s="24"/>
      <c r="M29" s="110"/>
      <c r="N29" s="41"/>
    </row>
    <row r="30" spans="1:14" ht="65" x14ac:dyDescent="0.35">
      <c r="A30" s="107"/>
      <c r="B30" s="112"/>
      <c r="C30" s="107"/>
      <c r="D30" s="108"/>
      <c r="E30" s="22" t="s">
        <v>120</v>
      </c>
      <c r="F30" s="4" t="s">
        <v>121</v>
      </c>
      <c r="G30" s="91" t="s">
        <v>32</v>
      </c>
      <c r="H30" s="4"/>
      <c r="I30" s="39" t="s">
        <v>812</v>
      </c>
      <c r="J30" s="40" t="s">
        <v>812</v>
      </c>
      <c r="K30" s="5">
        <v>320</v>
      </c>
      <c r="L30" s="24"/>
      <c r="M30" s="110"/>
      <c r="N30" s="41"/>
    </row>
    <row r="31" spans="1:14" ht="39" customHeight="1" x14ac:dyDescent="0.35">
      <c r="A31" s="107"/>
      <c r="B31" s="112"/>
      <c r="C31" s="107" t="s">
        <v>122</v>
      </c>
      <c r="D31" s="108" t="s">
        <v>123</v>
      </c>
      <c r="E31" s="22" t="s">
        <v>124</v>
      </c>
      <c r="F31" s="23" t="s">
        <v>125</v>
      </c>
      <c r="G31" s="91" t="s">
        <v>32</v>
      </c>
      <c r="H31" s="4"/>
      <c r="I31" s="39" t="s">
        <v>812</v>
      </c>
      <c r="J31" s="40" t="s">
        <v>812</v>
      </c>
      <c r="K31" s="5">
        <v>1009</v>
      </c>
      <c r="L31" s="24"/>
      <c r="M31" s="110"/>
      <c r="N31" s="41"/>
    </row>
    <row r="32" spans="1:14" ht="26" x14ac:dyDescent="0.35">
      <c r="A32" s="107"/>
      <c r="B32" s="112"/>
      <c r="C32" s="107"/>
      <c r="D32" s="108"/>
      <c r="E32" s="22" t="s">
        <v>126</v>
      </c>
      <c r="F32" s="23" t="s">
        <v>127</v>
      </c>
      <c r="G32" s="91" t="s">
        <v>32</v>
      </c>
      <c r="H32" s="4"/>
      <c r="I32" s="39" t="s">
        <v>812</v>
      </c>
      <c r="J32" s="40" t="s">
        <v>812</v>
      </c>
      <c r="K32" s="4"/>
      <c r="L32" s="24"/>
      <c r="M32" s="110"/>
      <c r="N32" s="41"/>
    </row>
    <row r="33" spans="1:14" ht="39" customHeight="1" x14ac:dyDescent="0.35">
      <c r="A33" s="107"/>
      <c r="B33" s="112"/>
      <c r="C33" s="107" t="s">
        <v>128</v>
      </c>
      <c r="D33" s="108" t="s">
        <v>129</v>
      </c>
      <c r="E33" s="22" t="s">
        <v>130</v>
      </c>
      <c r="F33" s="4" t="s">
        <v>131</v>
      </c>
      <c r="G33" s="91" t="s">
        <v>32</v>
      </c>
      <c r="H33" s="4"/>
      <c r="I33" s="39" t="s">
        <v>812</v>
      </c>
      <c r="J33" s="40" t="s">
        <v>812</v>
      </c>
      <c r="K33" s="4"/>
      <c r="L33" s="24"/>
      <c r="M33" s="110"/>
      <c r="N33" s="41"/>
    </row>
    <row r="34" spans="1:14" ht="52" x14ac:dyDescent="0.35">
      <c r="A34" s="107"/>
      <c r="B34" s="112"/>
      <c r="C34" s="107"/>
      <c r="D34" s="108"/>
      <c r="E34" s="22" t="s">
        <v>132</v>
      </c>
      <c r="F34" s="4" t="s">
        <v>133</v>
      </c>
      <c r="G34" s="91" t="s">
        <v>32</v>
      </c>
      <c r="H34" s="4"/>
      <c r="I34" s="39" t="s">
        <v>812</v>
      </c>
      <c r="J34" s="40" t="s">
        <v>812</v>
      </c>
      <c r="K34" s="4"/>
      <c r="L34" s="24"/>
      <c r="M34" s="110"/>
      <c r="N34" s="41"/>
    </row>
    <row r="35" spans="1:14" ht="39" customHeight="1" x14ac:dyDescent="0.35">
      <c r="A35" s="107"/>
      <c r="B35" s="112"/>
      <c r="C35" s="107" t="s">
        <v>134</v>
      </c>
      <c r="D35" s="108" t="s">
        <v>135</v>
      </c>
      <c r="E35" s="22" t="s">
        <v>136</v>
      </c>
      <c r="F35" s="23" t="s">
        <v>137</v>
      </c>
      <c r="G35" s="91" t="s">
        <v>32</v>
      </c>
      <c r="H35" s="4"/>
      <c r="I35" s="39" t="s">
        <v>812</v>
      </c>
      <c r="J35" s="40" t="s">
        <v>812</v>
      </c>
      <c r="K35" s="5">
        <v>319</v>
      </c>
      <c r="L35" s="24"/>
      <c r="M35" s="110"/>
      <c r="N35" s="41"/>
    </row>
    <row r="36" spans="1:14" ht="52" x14ac:dyDescent="0.35">
      <c r="A36" s="107"/>
      <c r="B36" s="112"/>
      <c r="C36" s="107"/>
      <c r="D36" s="108"/>
      <c r="E36" s="22" t="s">
        <v>138</v>
      </c>
      <c r="F36" s="4" t="s">
        <v>139</v>
      </c>
      <c r="G36" s="91" t="s">
        <v>32</v>
      </c>
      <c r="H36" s="4"/>
      <c r="I36" s="39" t="s">
        <v>812</v>
      </c>
      <c r="J36" s="40" t="s">
        <v>812</v>
      </c>
      <c r="K36" s="5">
        <v>295</v>
      </c>
      <c r="L36" s="24"/>
      <c r="M36" s="110"/>
      <c r="N36" s="41"/>
    </row>
    <row r="37" spans="1:14" ht="52" x14ac:dyDescent="0.35">
      <c r="A37" s="107"/>
      <c r="B37" s="112"/>
      <c r="C37" s="47" t="s">
        <v>140</v>
      </c>
      <c r="D37" s="48" t="s">
        <v>141</v>
      </c>
      <c r="E37" s="22" t="s">
        <v>142</v>
      </c>
      <c r="F37" s="4" t="s">
        <v>143</v>
      </c>
      <c r="G37" s="91" t="s">
        <v>32</v>
      </c>
      <c r="H37" s="4"/>
      <c r="I37" s="39" t="s">
        <v>812</v>
      </c>
      <c r="J37" s="40" t="s">
        <v>812</v>
      </c>
      <c r="K37" s="5">
        <v>284</v>
      </c>
      <c r="L37" s="24"/>
      <c r="M37" s="110"/>
      <c r="N37" s="41"/>
    </row>
    <row r="38" spans="1:14" ht="39" customHeight="1" x14ac:dyDescent="0.35">
      <c r="A38" s="107"/>
      <c r="B38" s="112"/>
      <c r="C38" s="107" t="s">
        <v>144</v>
      </c>
      <c r="D38" s="108" t="s">
        <v>145</v>
      </c>
      <c r="E38" s="22" t="s">
        <v>146</v>
      </c>
      <c r="F38" s="4" t="s">
        <v>147</v>
      </c>
      <c r="G38" s="91" t="s">
        <v>32</v>
      </c>
      <c r="H38" s="4"/>
      <c r="I38" s="39" t="s">
        <v>812</v>
      </c>
      <c r="J38" s="40" t="s">
        <v>812</v>
      </c>
      <c r="K38" s="5">
        <v>1059</v>
      </c>
      <c r="L38" s="24"/>
      <c r="M38" s="110"/>
      <c r="N38" s="41"/>
    </row>
    <row r="39" spans="1:14" ht="39" x14ac:dyDescent="0.35">
      <c r="A39" s="107"/>
      <c r="B39" s="112"/>
      <c r="C39" s="107"/>
      <c r="D39" s="108"/>
      <c r="E39" s="22" t="s">
        <v>148</v>
      </c>
      <c r="F39" s="4" t="s">
        <v>149</v>
      </c>
      <c r="G39" s="91" t="s">
        <v>32</v>
      </c>
      <c r="H39" s="4"/>
      <c r="I39" s="39" t="s">
        <v>812</v>
      </c>
      <c r="J39" s="40" t="s">
        <v>812</v>
      </c>
      <c r="K39" s="5">
        <v>362</v>
      </c>
      <c r="L39" s="24"/>
      <c r="M39" s="110"/>
      <c r="N39" s="41"/>
    </row>
    <row r="40" spans="1:14" ht="39" x14ac:dyDescent="0.35">
      <c r="A40" s="107"/>
      <c r="B40" s="112"/>
      <c r="C40" s="107"/>
      <c r="D40" s="108"/>
      <c r="E40" s="22" t="s">
        <v>150</v>
      </c>
      <c r="F40" s="4" t="s">
        <v>151</v>
      </c>
      <c r="G40" s="91" t="s">
        <v>32</v>
      </c>
      <c r="H40" s="4"/>
      <c r="I40" s="4"/>
      <c r="J40" s="40" t="s">
        <v>812</v>
      </c>
      <c r="K40" s="5">
        <v>367</v>
      </c>
      <c r="L40" s="24"/>
      <c r="M40" s="110"/>
      <c r="N40" s="41"/>
    </row>
    <row r="41" spans="1:14" ht="39" customHeight="1" x14ac:dyDescent="0.35">
      <c r="A41" s="107"/>
      <c r="B41" s="112"/>
      <c r="C41" s="107" t="s">
        <v>152</v>
      </c>
      <c r="D41" s="108" t="s">
        <v>153</v>
      </c>
      <c r="E41" s="22" t="s">
        <v>154</v>
      </c>
      <c r="F41" s="4" t="s">
        <v>155</v>
      </c>
      <c r="G41" s="91" t="s">
        <v>32</v>
      </c>
      <c r="H41" s="4"/>
      <c r="I41" s="39" t="s">
        <v>812</v>
      </c>
      <c r="J41" s="40" t="s">
        <v>812</v>
      </c>
      <c r="K41" s="5">
        <v>552</v>
      </c>
      <c r="L41" s="24"/>
      <c r="M41" s="110"/>
      <c r="N41" s="41"/>
    </row>
    <row r="42" spans="1:14" ht="65" x14ac:dyDescent="0.35">
      <c r="A42" s="107"/>
      <c r="B42" s="112"/>
      <c r="C42" s="107"/>
      <c r="D42" s="108"/>
      <c r="E42" s="22" t="s">
        <v>156</v>
      </c>
      <c r="F42" s="4" t="s">
        <v>157</v>
      </c>
      <c r="G42" s="91" t="s">
        <v>32</v>
      </c>
      <c r="H42" s="4"/>
      <c r="I42" s="39" t="s">
        <v>812</v>
      </c>
      <c r="J42" s="40" t="s">
        <v>812</v>
      </c>
      <c r="K42" s="5">
        <v>646</v>
      </c>
      <c r="L42" s="24"/>
      <c r="M42" s="110"/>
      <c r="N42" s="41"/>
    </row>
    <row r="43" spans="1:14" ht="39" x14ac:dyDescent="0.35">
      <c r="A43" s="107"/>
      <c r="B43" s="112"/>
      <c r="C43" s="107" t="s">
        <v>158</v>
      </c>
      <c r="D43" s="108" t="s">
        <v>159</v>
      </c>
      <c r="E43" s="22" t="s">
        <v>160</v>
      </c>
      <c r="F43" s="4" t="s">
        <v>161</v>
      </c>
      <c r="G43" s="91" t="s">
        <v>32</v>
      </c>
      <c r="H43" s="4"/>
      <c r="I43" s="39" t="s">
        <v>812</v>
      </c>
      <c r="J43" s="40" t="s">
        <v>812</v>
      </c>
      <c r="K43" s="5">
        <v>923</v>
      </c>
      <c r="L43" s="24"/>
      <c r="M43" s="110"/>
      <c r="N43" s="41"/>
    </row>
    <row r="44" spans="1:14" ht="26" x14ac:dyDescent="0.35">
      <c r="A44" s="107"/>
      <c r="B44" s="112"/>
      <c r="C44" s="107"/>
      <c r="D44" s="108"/>
      <c r="E44" s="22" t="s">
        <v>162</v>
      </c>
      <c r="F44" s="4" t="s">
        <v>163</v>
      </c>
      <c r="G44" s="91" t="s">
        <v>32</v>
      </c>
      <c r="H44" s="4"/>
      <c r="I44" s="39" t="s">
        <v>812</v>
      </c>
      <c r="J44" s="40" t="s">
        <v>812</v>
      </c>
      <c r="K44" s="5">
        <v>494</v>
      </c>
      <c r="L44" s="24"/>
      <c r="M44" s="110"/>
      <c r="N44" s="41"/>
    </row>
    <row r="45" spans="1:14" ht="26" x14ac:dyDescent="0.35">
      <c r="A45" s="107"/>
      <c r="B45" s="112"/>
      <c r="C45" s="107"/>
      <c r="D45" s="108"/>
      <c r="E45" s="22" t="s">
        <v>164</v>
      </c>
      <c r="F45" s="4" t="s">
        <v>165</v>
      </c>
      <c r="G45" s="91" t="s">
        <v>32</v>
      </c>
      <c r="H45" s="4"/>
      <c r="I45" s="39" t="s">
        <v>812</v>
      </c>
      <c r="J45" s="40" t="s">
        <v>812</v>
      </c>
      <c r="K45" s="5">
        <v>1104</v>
      </c>
      <c r="L45" s="24"/>
      <c r="M45" s="110"/>
      <c r="N45" s="41"/>
    </row>
    <row r="46" spans="1:14" ht="52" x14ac:dyDescent="0.35">
      <c r="A46" s="107"/>
      <c r="B46" s="112"/>
      <c r="C46" s="107"/>
      <c r="D46" s="108"/>
      <c r="E46" s="22" t="s">
        <v>166</v>
      </c>
      <c r="F46" s="4" t="s">
        <v>167</v>
      </c>
      <c r="G46" s="91" t="s">
        <v>32</v>
      </c>
      <c r="H46" s="4"/>
      <c r="I46" s="39" t="s">
        <v>812</v>
      </c>
      <c r="J46" s="40" t="s">
        <v>812</v>
      </c>
      <c r="K46" s="4"/>
      <c r="L46" s="24"/>
      <c r="M46" s="110"/>
      <c r="N46" s="41"/>
    </row>
    <row r="47" spans="1:14" ht="52" x14ac:dyDescent="0.35">
      <c r="A47" s="107"/>
      <c r="B47" s="112"/>
      <c r="C47" s="107"/>
      <c r="D47" s="108"/>
      <c r="E47" s="22" t="s">
        <v>168</v>
      </c>
      <c r="F47" s="23" t="s">
        <v>169</v>
      </c>
      <c r="G47" s="91" t="s">
        <v>32</v>
      </c>
      <c r="H47" s="4"/>
      <c r="I47" s="39" t="s">
        <v>812</v>
      </c>
      <c r="J47" s="40" t="s">
        <v>812</v>
      </c>
      <c r="K47" s="5">
        <v>265</v>
      </c>
      <c r="L47" s="24"/>
      <c r="M47" s="110"/>
      <c r="N47" s="41"/>
    </row>
    <row r="48" spans="1:14" ht="39" x14ac:dyDescent="0.35">
      <c r="A48" s="107"/>
      <c r="B48" s="112"/>
      <c r="C48" s="107"/>
      <c r="D48" s="108"/>
      <c r="E48" s="22" t="s">
        <v>170</v>
      </c>
      <c r="F48" s="4" t="s">
        <v>171</v>
      </c>
      <c r="G48" s="91" t="s">
        <v>32</v>
      </c>
      <c r="H48" s="4"/>
      <c r="I48" s="39" t="s">
        <v>812</v>
      </c>
      <c r="J48" s="40" t="s">
        <v>812</v>
      </c>
      <c r="K48" s="5">
        <v>477</v>
      </c>
      <c r="L48" s="24"/>
      <c r="M48" s="111"/>
      <c r="N48" s="41"/>
    </row>
    <row r="49" spans="2:14" s="13" customFormat="1" x14ac:dyDescent="0.35">
      <c r="B49" s="25"/>
      <c r="E49" s="26"/>
      <c r="N49" s="42"/>
    </row>
    <row r="50" spans="2:14" s="13" customFormat="1" x14ac:dyDescent="0.35">
      <c r="B50" s="25"/>
      <c r="E50" s="26"/>
      <c r="N50" s="42"/>
    </row>
    <row r="51" spans="2:14" s="13" customFormat="1" x14ac:dyDescent="0.35">
      <c r="B51" s="25"/>
      <c r="E51" s="26"/>
      <c r="N51" s="42"/>
    </row>
    <row r="52" spans="2:14" s="13" customFormat="1" x14ac:dyDescent="0.35">
      <c r="B52" s="25"/>
      <c r="E52" s="26"/>
      <c r="N52" s="42"/>
    </row>
    <row r="53" spans="2:14" s="13" customFormat="1" x14ac:dyDescent="0.35">
      <c r="B53" s="25"/>
      <c r="E53" s="26"/>
      <c r="N53" s="42"/>
    </row>
    <row r="54" spans="2:14" s="13" customFormat="1" x14ac:dyDescent="0.35">
      <c r="B54" s="25"/>
      <c r="E54" s="26"/>
      <c r="N54" s="42"/>
    </row>
    <row r="55" spans="2:14" s="13" customFormat="1" x14ac:dyDescent="0.35">
      <c r="B55" s="25"/>
      <c r="E55" s="26"/>
      <c r="N55" s="42"/>
    </row>
    <row r="56" spans="2:14" s="13" customFormat="1" x14ac:dyDescent="0.35">
      <c r="B56" s="25"/>
      <c r="E56" s="26"/>
      <c r="N56" s="42"/>
    </row>
    <row r="57" spans="2:14" s="13" customFormat="1" x14ac:dyDescent="0.35">
      <c r="B57" s="25"/>
      <c r="E57" s="26"/>
      <c r="N57" s="42"/>
    </row>
    <row r="58" spans="2:14" s="13" customFormat="1" x14ac:dyDescent="0.35">
      <c r="B58" s="25"/>
      <c r="E58" s="26"/>
      <c r="N58" s="42"/>
    </row>
    <row r="59" spans="2:14" s="13" customFormat="1" x14ac:dyDescent="0.35">
      <c r="B59" s="25"/>
      <c r="E59" s="26"/>
      <c r="N59" s="42"/>
    </row>
    <row r="60" spans="2:14" s="13" customFormat="1" x14ac:dyDescent="0.35">
      <c r="B60" s="25"/>
      <c r="E60" s="26"/>
      <c r="N60" s="42"/>
    </row>
    <row r="61" spans="2:14" s="13" customFormat="1" x14ac:dyDescent="0.35">
      <c r="B61" s="25"/>
      <c r="E61" s="26"/>
      <c r="N61" s="42"/>
    </row>
    <row r="62" spans="2:14" s="13" customFormat="1" x14ac:dyDescent="0.35">
      <c r="B62" s="25"/>
      <c r="E62" s="26"/>
      <c r="N62" s="42"/>
    </row>
    <row r="63" spans="2:14" s="13" customFormat="1" x14ac:dyDescent="0.35">
      <c r="B63" s="25"/>
      <c r="E63" s="26"/>
      <c r="N63" s="42"/>
    </row>
    <row r="64" spans="2:14" s="13" customFormat="1" x14ac:dyDescent="0.35">
      <c r="B64" s="25"/>
      <c r="E64" s="26"/>
      <c r="N64" s="42"/>
    </row>
    <row r="65" spans="2:14" s="13" customFormat="1" x14ac:dyDescent="0.35">
      <c r="B65" s="25"/>
      <c r="E65" s="26"/>
      <c r="N65" s="42"/>
    </row>
    <row r="66" spans="2:14" s="13" customFormat="1" x14ac:dyDescent="0.35">
      <c r="B66" s="25"/>
      <c r="E66" s="26"/>
      <c r="N66" s="42"/>
    </row>
    <row r="67" spans="2:14" s="13" customFormat="1" x14ac:dyDescent="0.35">
      <c r="B67" s="25"/>
      <c r="E67" s="26"/>
      <c r="N67" s="42"/>
    </row>
    <row r="68" spans="2:14" s="13" customFormat="1" x14ac:dyDescent="0.35">
      <c r="B68" s="25"/>
      <c r="E68" s="26"/>
      <c r="N68" s="42"/>
    </row>
    <row r="69" spans="2:14" s="13" customFormat="1" x14ac:dyDescent="0.35">
      <c r="B69" s="25"/>
      <c r="E69" s="26"/>
      <c r="N69" s="42"/>
    </row>
    <row r="70" spans="2:14" s="13" customFormat="1" x14ac:dyDescent="0.35">
      <c r="B70" s="25"/>
      <c r="E70" s="26"/>
      <c r="N70" s="42"/>
    </row>
    <row r="71" spans="2:14" s="13" customFormat="1" x14ac:dyDescent="0.35">
      <c r="B71" s="25"/>
      <c r="E71" s="26"/>
      <c r="N71" s="42"/>
    </row>
    <row r="72" spans="2:14" s="13" customFormat="1" x14ac:dyDescent="0.35">
      <c r="B72" s="25"/>
      <c r="E72" s="26"/>
      <c r="N72" s="42"/>
    </row>
    <row r="73" spans="2:14" s="13" customFormat="1" x14ac:dyDescent="0.35">
      <c r="B73" s="25"/>
      <c r="E73" s="26"/>
      <c r="N73" s="42"/>
    </row>
    <row r="74" spans="2:14" s="13" customFormat="1" x14ac:dyDescent="0.35">
      <c r="B74" s="25"/>
      <c r="E74" s="26"/>
      <c r="N74" s="42"/>
    </row>
    <row r="75" spans="2:14" s="13" customFormat="1" x14ac:dyDescent="0.35">
      <c r="B75" s="25"/>
      <c r="E75" s="26"/>
      <c r="N75" s="42"/>
    </row>
    <row r="76" spans="2:14" s="13" customFormat="1" x14ac:dyDescent="0.35">
      <c r="B76" s="25"/>
      <c r="E76" s="26"/>
      <c r="N76" s="42"/>
    </row>
    <row r="77" spans="2:14" s="13" customFormat="1" x14ac:dyDescent="0.35">
      <c r="B77" s="25"/>
      <c r="E77" s="26"/>
      <c r="N77" s="42"/>
    </row>
    <row r="78" spans="2:14" s="13" customFormat="1" x14ac:dyDescent="0.35">
      <c r="B78" s="25"/>
      <c r="E78" s="26"/>
      <c r="N78" s="42"/>
    </row>
    <row r="79" spans="2:14" s="13" customFormat="1" x14ac:dyDescent="0.35">
      <c r="B79" s="25"/>
      <c r="E79" s="26"/>
      <c r="N79" s="42"/>
    </row>
    <row r="80" spans="2:14" s="13" customFormat="1" x14ac:dyDescent="0.35">
      <c r="B80" s="25"/>
      <c r="E80" s="26"/>
      <c r="N80" s="42"/>
    </row>
    <row r="81" spans="2:14" s="13" customFormat="1" x14ac:dyDescent="0.35">
      <c r="B81" s="25"/>
      <c r="E81" s="26"/>
      <c r="N81" s="42"/>
    </row>
    <row r="82" spans="2:14" s="13" customFormat="1" x14ac:dyDescent="0.35">
      <c r="B82" s="25"/>
      <c r="E82" s="26"/>
      <c r="N82" s="42"/>
    </row>
    <row r="83" spans="2:14" s="13" customFormat="1" x14ac:dyDescent="0.35">
      <c r="B83" s="25"/>
      <c r="E83" s="26"/>
      <c r="N83" s="42"/>
    </row>
    <row r="84" spans="2:14" s="13" customFormat="1" x14ac:dyDescent="0.35">
      <c r="B84" s="25"/>
      <c r="E84" s="26"/>
      <c r="N84" s="42"/>
    </row>
    <row r="85" spans="2:14" s="13" customFormat="1" x14ac:dyDescent="0.35">
      <c r="B85" s="25"/>
      <c r="E85" s="26"/>
      <c r="N85" s="42"/>
    </row>
    <row r="86" spans="2:14" s="13" customFormat="1" x14ac:dyDescent="0.35">
      <c r="B86" s="25"/>
      <c r="E86" s="26"/>
      <c r="N86" s="42"/>
    </row>
    <row r="87" spans="2:14" s="13" customFormat="1" x14ac:dyDescent="0.35">
      <c r="B87" s="25"/>
      <c r="E87" s="26"/>
      <c r="N87" s="42"/>
    </row>
    <row r="88" spans="2:14" s="13" customFormat="1" x14ac:dyDescent="0.35">
      <c r="B88" s="25"/>
      <c r="E88" s="26"/>
      <c r="N88" s="42"/>
    </row>
    <row r="89" spans="2:14" s="13" customFormat="1" x14ac:dyDescent="0.35">
      <c r="B89" s="25"/>
      <c r="E89" s="26"/>
      <c r="N89" s="42"/>
    </row>
    <row r="90" spans="2:14" s="13" customFormat="1" x14ac:dyDescent="0.35">
      <c r="B90" s="25"/>
      <c r="E90" s="26"/>
      <c r="N90" s="42"/>
    </row>
    <row r="91" spans="2:14" s="13" customFormat="1" x14ac:dyDescent="0.35">
      <c r="B91" s="25"/>
      <c r="E91" s="26"/>
      <c r="N91" s="42"/>
    </row>
    <row r="92" spans="2:14" s="13" customFormat="1" x14ac:dyDescent="0.35">
      <c r="B92" s="25"/>
      <c r="E92" s="26"/>
      <c r="N92" s="42"/>
    </row>
    <row r="93" spans="2:14" s="13" customFormat="1" x14ac:dyDescent="0.35">
      <c r="B93" s="25"/>
      <c r="E93" s="26"/>
      <c r="N93" s="42"/>
    </row>
    <row r="94" spans="2:14" s="13" customFormat="1" x14ac:dyDescent="0.35">
      <c r="B94" s="25"/>
      <c r="E94" s="26"/>
      <c r="N94" s="42"/>
    </row>
    <row r="95" spans="2:14" s="13" customFormat="1" x14ac:dyDescent="0.35">
      <c r="B95" s="25"/>
      <c r="E95" s="26"/>
      <c r="N95" s="42"/>
    </row>
    <row r="96" spans="2:14" s="13" customFormat="1" x14ac:dyDescent="0.35">
      <c r="B96" s="25"/>
      <c r="E96" s="26"/>
      <c r="N96" s="42"/>
    </row>
    <row r="97" spans="2:14" s="13" customFormat="1" x14ac:dyDescent="0.35">
      <c r="B97" s="25"/>
      <c r="E97" s="26"/>
      <c r="N97" s="42"/>
    </row>
    <row r="98" spans="2:14" s="13" customFormat="1" x14ac:dyDescent="0.35">
      <c r="B98" s="25"/>
      <c r="E98" s="26"/>
      <c r="N98" s="42"/>
    </row>
    <row r="99" spans="2:14" s="13" customFormat="1" x14ac:dyDescent="0.35">
      <c r="B99" s="25"/>
      <c r="E99" s="26"/>
      <c r="N99" s="42"/>
    </row>
    <row r="100" spans="2:14" s="13" customFormat="1" x14ac:dyDescent="0.35">
      <c r="B100" s="25"/>
      <c r="E100" s="26"/>
      <c r="N100" s="42"/>
    </row>
    <row r="101" spans="2:14" s="13" customFormat="1" x14ac:dyDescent="0.35">
      <c r="B101" s="25"/>
      <c r="E101" s="26"/>
      <c r="N101" s="42"/>
    </row>
    <row r="102" spans="2:14" s="13" customFormat="1" x14ac:dyDescent="0.35">
      <c r="B102" s="25"/>
      <c r="E102" s="26"/>
      <c r="N102" s="42"/>
    </row>
    <row r="103" spans="2:14" s="13" customFormat="1" x14ac:dyDescent="0.35">
      <c r="B103" s="25"/>
      <c r="E103" s="26"/>
      <c r="N103" s="42"/>
    </row>
    <row r="104" spans="2:14" s="13" customFormat="1" x14ac:dyDescent="0.35">
      <c r="B104" s="25"/>
      <c r="E104" s="26"/>
      <c r="N104" s="42"/>
    </row>
    <row r="105" spans="2:14" s="13" customFormat="1" x14ac:dyDescent="0.35">
      <c r="B105" s="25"/>
      <c r="E105" s="26"/>
      <c r="N105" s="42"/>
    </row>
    <row r="106" spans="2:14" s="13" customFormat="1" x14ac:dyDescent="0.35">
      <c r="B106" s="25"/>
      <c r="E106" s="26"/>
      <c r="N106" s="42"/>
    </row>
    <row r="107" spans="2:14" s="13" customFormat="1" x14ac:dyDescent="0.35">
      <c r="B107" s="25"/>
      <c r="E107" s="26"/>
      <c r="N107" s="42"/>
    </row>
    <row r="108" spans="2:14" s="13" customFormat="1" x14ac:dyDescent="0.35">
      <c r="B108" s="25"/>
      <c r="E108" s="26"/>
      <c r="N108" s="42"/>
    </row>
    <row r="109" spans="2:14" s="13" customFormat="1" x14ac:dyDescent="0.35">
      <c r="B109" s="25"/>
      <c r="E109" s="26"/>
      <c r="N109" s="42"/>
    </row>
    <row r="110" spans="2:14" s="13" customFormat="1" x14ac:dyDescent="0.35">
      <c r="B110" s="25"/>
      <c r="E110" s="26"/>
      <c r="N110" s="42"/>
    </row>
    <row r="111" spans="2:14" s="13" customFormat="1" x14ac:dyDescent="0.35">
      <c r="B111" s="25"/>
      <c r="E111" s="26"/>
      <c r="N111" s="42"/>
    </row>
    <row r="112" spans="2:14" s="13" customFormat="1" x14ac:dyDescent="0.35">
      <c r="B112" s="25"/>
      <c r="E112" s="26"/>
      <c r="N112" s="42"/>
    </row>
    <row r="113" spans="2:14" s="13" customFormat="1" x14ac:dyDescent="0.35">
      <c r="B113" s="25"/>
      <c r="E113" s="26"/>
      <c r="N113" s="42"/>
    </row>
    <row r="114" spans="2:14" s="13" customFormat="1" x14ac:dyDescent="0.35">
      <c r="B114" s="25"/>
      <c r="E114" s="26"/>
      <c r="N114" s="42"/>
    </row>
    <row r="115" spans="2:14" s="13" customFormat="1" x14ac:dyDescent="0.35">
      <c r="B115" s="25"/>
      <c r="E115" s="26"/>
      <c r="N115" s="42"/>
    </row>
    <row r="116" spans="2:14" s="13" customFormat="1" x14ac:dyDescent="0.35">
      <c r="B116" s="25"/>
      <c r="E116" s="26"/>
      <c r="N116" s="42"/>
    </row>
    <row r="117" spans="2:14" s="13" customFormat="1" x14ac:dyDescent="0.35">
      <c r="B117" s="25"/>
      <c r="E117" s="26"/>
      <c r="N117" s="42"/>
    </row>
    <row r="118" spans="2:14" s="13" customFormat="1" x14ac:dyDescent="0.35">
      <c r="B118" s="25"/>
      <c r="E118" s="26"/>
      <c r="N118" s="42"/>
    </row>
    <row r="119" spans="2:14" s="13" customFormat="1" x14ac:dyDescent="0.35">
      <c r="B119" s="25"/>
      <c r="E119" s="26"/>
      <c r="N119" s="42"/>
    </row>
    <row r="120" spans="2:14" s="13" customFormat="1" x14ac:dyDescent="0.35">
      <c r="B120" s="25"/>
      <c r="E120" s="26"/>
      <c r="N120" s="42"/>
    </row>
    <row r="121" spans="2:14" s="13" customFormat="1" x14ac:dyDescent="0.35">
      <c r="B121" s="25"/>
      <c r="E121" s="26"/>
      <c r="N121" s="42"/>
    </row>
    <row r="122" spans="2:14" s="13" customFormat="1" x14ac:dyDescent="0.35">
      <c r="B122" s="25"/>
      <c r="E122" s="26"/>
      <c r="N122" s="42"/>
    </row>
    <row r="123" spans="2:14" s="13" customFormat="1" x14ac:dyDescent="0.35">
      <c r="B123" s="25"/>
      <c r="E123" s="26"/>
      <c r="N123" s="42"/>
    </row>
    <row r="124" spans="2:14" s="13" customFormat="1" x14ac:dyDescent="0.35">
      <c r="B124" s="25"/>
      <c r="E124" s="26"/>
      <c r="N124" s="42"/>
    </row>
    <row r="125" spans="2:14" s="13" customFormat="1" x14ac:dyDescent="0.35">
      <c r="B125" s="25"/>
      <c r="E125" s="26"/>
      <c r="N125" s="42"/>
    </row>
    <row r="126" spans="2:14" s="13" customFormat="1" x14ac:dyDescent="0.35">
      <c r="B126" s="25"/>
      <c r="E126" s="26"/>
      <c r="N126" s="42"/>
    </row>
    <row r="127" spans="2:14" s="13" customFormat="1" x14ac:dyDescent="0.35">
      <c r="B127" s="25"/>
      <c r="E127" s="26"/>
      <c r="N127" s="42"/>
    </row>
    <row r="128" spans="2:14" s="13" customFormat="1" x14ac:dyDescent="0.35">
      <c r="B128" s="25"/>
      <c r="E128" s="26"/>
      <c r="N128" s="42"/>
    </row>
    <row r="129" spans="2:14" s="13" customFormat="1" x14ac:dyDescent="0.35">
      <c r="B129" s="25"/>
      <c r="E129" s="26"/>
      <c r="N129" s="42"/>
    </row>
    <row r="130" spans="2:14" s="13" customFormat="1" x14ac:dyDescent="0.35">
      <c r="B130" s="25"/>
      <c r="E130" s="26"/>
      <c r="N130" s="42"/>
    </row>
    <row r="131" spans="2:14" s="13" customFormat="1" x14ac:dyDescent="0.35">
      <c r="B131" s="25"/>
      <c r="E131" s="26"/>
      <c r="N131" s="42"/>
    </row>
    <row r="132" spans="2:14" s="13" customFormat="1" x14ac:dyDescent="0.35">
      <c r="B132" s="25"/>
      <c r="E132" s="26"/>
      <c r="N132" s="42"/>
    </row>
    <row r="133" spans="2:14" s="13" customFormat="1" x14ac:dyDescent="0.35">
      <c r="B133" s="25"/>
      <c r="E133" s="26"/>
      <c r="N133" s="42"/>
    </row>
    <row r="134" spans="2:14" s="13" customFormat="1" x14ac:dyDescent="0.35">
      <c r="B134" s="25"/>
      <c r="E134" s="26"/>
      <c r="N134" s="42"/>
    </row>
    <row r="135" spans="2:14" s="13" customFormat="1" x14ac:dyDescent="0.35">
      <c r="B135" s="25"/>
      <c r="E135" s="26"/>
      <c r="N135" s="42"/>
    </row>
    <row r="136" spans="2:14" s="13" customFormat="1" x14ac:dyDescent="0.35">
      <c r="B136" s="25"/>
      <c r="E136" s="26"/>
      <c r="N136" s="42"/>
    </row>
    <row r="137" spans="2:14" s="13" customFormat="1" x14ac:dyDescent="0.35">
      <c r="B137" s="25"/>
      <c r="E137" s="26"/>
      <c r="N137" s="42"/>
    </row>
    <row r="138" spans="2:14" s="13" customFormat="1" x14ac:dyDescent="0.35">
      <c r="B138" s="25"/>
      <c r="E138" s="26"/>
      <c r="N138" s="42"/>
    </row>
    <row r="139" spans="2:14" s="13" customFormat="1" x14ac:dyDescent="0.35">
      <c r="B139" s="25"/>
      <c r="E139" s="26"/>
      <c r="N139" s="42"/>
    </row>
    <row r="140" spans="2:14" s="13" customFormat="1" x14ac:dyDescent="0.35">
      <c r="B140" s="25"/>
      <c r="E140" s="26"/>
      <c r="N140" s="42"/>
    </row>
    <row r="141" spans="2:14" s="13" customFormat="1" x14ac:dyDescent="0.35">
      <c r="B141" s="25"/>
      <c r="E141" s="26"/>
      <c r="N141" s="42"/>
    </row>
    <row r="142" spans="2:14" s="13" customFormat="1" x14ac:dyDescent="0.35">
      <c r="B142" s="25"/>
      <c r="E142" s="26"/>
      <c r="N142" s="42"/>
    </row>
    <row r="143" spans="2:14" s="13" customFormat="1" x14ac:dyDescent="0.35">
      <c r="B143" s="25"/>
      <c r="E143" s="26"/>
      <c r="N143" s="42"/>
    </row>
    <row r="144" spans="2:14" s="13" customFormat="1" x14ac:dyDescent="0.35">
      <c r="B144" s="25"/>
      <c r="E144" s="26"/>
      <c r="N144" s="42"/>
    </row>
    <row r="145" spans="2:14" s="13" customFormat="1" x14ac:dyDescent="0.35">
      <c r="B145" s="25"/>
      <c r="E145" s="26"/>
      <c r="N145" s="42"/>
    </row>
    <row r="146" spans="2:14" s="13" customFormat="1" x14ac:dyDescent="0.35">
      <c r="B146" s="25"/>
      <c r="E146" s="26"/>
      <c r="N146" s="42"/>
    </row>
    <row r="147" spans="2:14" s="13" customFormat="1" x14ac:dyDescent="0.35">
      <c r="B147" s="25"/>
      <c r="E147" s="26"/>
      <c r="N147" s="42"/>
    </row>
    <row r="148" spans="2:14" s="13" customFormat="1" x14ac:dyDescent="0.35">
      <c r="B148" s="25"/>
      <c r="E148" s="26"/>
      <c r="N148" s="42"/>
    </row>
    <row r="149" spans="2:14" s="13" customFormat="1" x14ac:dyDescent="0.35">
      <c r="B149" s="25"/>
      <c r="E149" s="26"/>
      <c r="N149" s="42"/>
    </row>
    <row r="150" spans="2:14" s="13" customFormat="1" x14ac:dyDescent="0.35">
      <c r="B150" s="25"/>
      <c r="E150" s="26"/>
      <c r="N150" s="42"/>
    </row>
    <row r="151" spans="2:14" s="13" customFormat="1" x14ac:dyDescent="0.35">
      <c r="B151" s="25"/>
      <c r="E151" s="26"/>
      <c r="N151" s="42"/>
    </row>
    <row r="152" spans="2:14" s="13" customFormat="1" x14ac:dyDescent="0.35">
      <c r="B152" s="25"/>
      <c r="E152" s="26"/>
      <c r="N152" s="42"/>
    </row>
    <row r="153" spans="2:14" s="13" customFormat="1" x14ac:dyDescent="0.35">
      <c r="B153" s="25"/>
      <c r="E153" s="26"/>
      <c r="N153" s="42"/>
    </row>
    <row r="154" spans="2:14" s="13" customFormat="1" x14ac:dyDescent="0.35">
      <c r="B154" s="25"/>
      <c r="E154" s="26"/>
      <c r="N154" s="42"/>
    </row>
    <row r="155" spans="2:14" s="13" customFormat="1" x14ac:dyDescent="0.35">
      <c r="B155" s="25"/>
      <c r="E155" s="26"/>
      <c r="N155" s="42"/>
    </row>
    <row r="156" spans="2:14" s="13" customFormat="1" x14ac:dyDescent="0.35">
      <c r="B156" s="25"/>
      <c r="E156" s="26"/>
      <c r="N156" s="42"/>
    </row>
    <row r="157" spans="2:14" s="13" customFormat="1" x14ac:dyDescent="0.35">
      <c r="B157" s="25"/>
      <c r="E157" s="26"/>
      <c r="N157" s="42"/>
    </row>
    <row r="158" spans="2:14" s="13" customFormat="1" x14ac:dyDescent="0.35">
      <c r="B158" s="25"/>
      <c r="E158" s="26"/>
      <c r="N158" s="42"/>
    </row>
    <row r="159" spans="2:14" s="13" customFormat="1" x14ac:dyDescent="0.35">
      <c r="B159" s="25"/>
      <c r="E159" s="26"/>
      <c r="N159" s="42"/>
    </row>
    <row r="160" spans="2:14" s="13" customFormat="1" x14ac:dyDescent="0.35">
      <c r="B160" s="25"/>
      <c r="E160" s="26"/>
      <c r="N160" s="42"/>
    </row>
    <row r="161" spans="2:14" s="13" customFormat="1" x14ac:dyDescent="0.35">
      <c r="B161" s="25"/>
      <c r="E161" s="26"/>
      <c r="N161" s="42"/>
    </row>
    <row r="162" spans="2:14" s="13" customFormat="1" x14ac:dyDescent="0.35">
      <c r="B162" s="25"/>
      <c r="E162" s="26"/>
      <c r="N162" s="42"/>
    </row>
    <row r="163" spans="2:14" s="13" customFormat="1" x14ac:dyDescent="0.35">
      <c r="B163" s="25"/>
      <c r="E163" s="26"/>
      <c r="N163" s="42"/>
    </row>
    <row r="164" spans="2:14" s="13" customFormat="1" x14ac:dyDescent="0.35">
      <c r="B164" s="25"/>
      <c r="E164" s="26"/>
      <c r="N164" s="42"/>
    </row>
    <row r="165" spans="2:14" s="13" customFormat="1" x14ac:dyDescent="0.35">
      <c r="B165" s="25"/>
      <c r="E165" s="26"/>
      <c r="N165" s="42"/>
    </row>
    <row r="166" spans="2:14" s="13" customFormat="1" x14ac:dyDescent="0.35">
      <c r="B166" s="25"/>
      <c r="E166" s="26"/>
      <c r="N166" s="42"/>
    </row>
    <row r="167" spans="2:14" s="13" customFormat="1" x14ac:dyDescent="0.35">
      <c r="B167" s="25"/>
      <c r="E167" s="26"/>
      <c r="N167" s="42"/>
    </row>
    <row r="168" spans="2:14" s="13" customFormat="1" x14ac:dyDescent="0.35">
      <c r="B168" s="25"/>
      <c r="E168" s="26"/>
      <c r="N168" s="42"/>
    </row>
    <row r="169" spans="2:14" s="13" customFormat="1" x14ac:dyDescent="0.35">
      <c r="B169" s="25"/>
      <c r="E169" s="26"/>
      <c r="N169" s="42"/>
    </row>
    <row r="170" spans="2:14" s="13" customFormat="1" x14ac:dyDescent="0.35">
      <c r="B170" s="25"/>
      <c r="E170" s="26"/>
      <c r="N170" s="42"/>
    </row>
    <row r="171" spans="2:14" s="13" customFormat="1" x14ac:dyDescent="0.35">
      <c r="B171" s="25"/>
      <c r="E171" s="26"/>
      <c r="N171" s="42"/>
    </row>
    <row r="172" spans="2:14" s="13" customFormat="1" x14ac:dyDescent="0.35">
      <c r="B172" s="25"/>
      <c r="E172" s="26"/>
      <c r="N172" s="42"/>
    </row>
    <row r="173" spans="2:14" s="13" customFormat="1" x14ac:dyDescent="0.35">
      <c r="B173" s="25"/>
      <c r="E173" s="26"/>
      <c r="N173" s="42"/>
    </row>
    <row r="174" spans="2:14" s="13" customFormat="1" x14ac:dyDescent="0.35">
      <c r="B174" s="25"/>
      <c r="E174" s="26"/>
      <c r="N174" s="42"/>
    </row>
    <row r="175" spans="2:14" s="13" customFormat="1" x14ac:dyDescent="0.35">
      <c r="B175" s="25"/>
      <c r="E175" s="26"/>
      <c r="N175" s="42"/>
    </row>
    <row r="176" spans="2:14" s="13" customFormat="1" x14ac:dyDescent="0.35">
      <c r="B176" s="25"/>
      <c r="E176" s="26"/>
      <c r="N176" s="42"/>
    </row>
    <row r="177" spans="2:14" s="13" customFormat="1" x14ac:dyDescent="0.35">
      <c r="B177" s="25"/>
      <c r="E177" s="26"/>
      <c r="N177" s="42"/>
    </row>
    <row r="178" spans="2:14" s="13" customFormat="1" x14ac:dyDescent="0.35">
      <c r="B178" s="25"/>
      <c r="E178" s="26"/>
      <c r="N178" s="42"/>
    </row>
    <row r="179" spans="2:14" s="13" customFormat="1" x14ac:dyDescent="0.35">
      <c r="B179" s="25"/>
      <c r="E179" s="26"/>
      <c r="N179" s="42"/>
    </row>
    <row r="180" spans="2:14" s="13" customFormat="1" x14ac:dyDescent="0.35">
      <c r="B180" s="25"/>
      <c r="E180" s="26"/>
      <c r="N180" s="42"/>
    </row>
    <row r="181" spans="2:14" s="13" customFormat="1" x14ac:dyDescent="0.35">
      <c r="B181" s="25"/>
      <c r="E181" s="26"/>
      <c r="N181" s="42"/>
    </row>
    <row r="182" spans="2:14" s="13" customFormat="1" x14ac:dyDescent="0.35">
      <c r="B182" s="25"/>
      <c r="E182" s="26"/>
      <c r="N182" s="42"/>
    </row>
    <row r="183" spans="2:14" s="13" customFormat="1" x14ac:dyDescent="0.35">
      <c r="B183" s="25"/>
      <c r="E183" s="26"/>
      <c r="N183" s="42"/>
    </row>
    <row r="184" spans="2:14" s="13" customFormat="1" x14ac:dyDescent="0.35">
      <c r="B184" s="25"/>
      <c r="E184" s="26"/>
      <c r="N184" s="42"/>
    </row>
    <row r="185" spans="2:14" s="13" customFormat="1" x14ac:dyDescent="0.35">
      <c r="B185" s="25"/>
      <c r="E185" s="26"/>
      <c r="N185" s="42"/>
    </row>
    <row r="186" spans="2:14" s="13" customFormat="1" x14ac:dyDescent="0.35">
      <c r="B186" s="25"/>
      <c r="E186" s="26"/>
      <c r="N186" s="42"/>
    </row>
    <row r="187" spans="2:14" s="13" customFormat="1" x14ac:dyDescent="0.35">
      <c r="B187" s="25"/>
      <c r="E187" s="26"/>
      <c r="N187" s="42"/>
    </row>
    <row r="188" spans="2:14" s="13" customFormat="1" x14ac:dyDescent="0.35">
      <c r="B188" s="25"/>
      <c r="E188" s="26"/>
      <c r="N188" s="42"/>
    </row>
    <row r="189" spans="2:14" s="13" customFormat="1" x14ac:dyDescent="0.35">
      <c r="B189" s="25"/>
      <c r="E189" s="26"/>
      <c r="N189" s="42"/>
    </row>
    <row r="190" spans="2:14" s="13" customFormat="1" x14ac:dyDescent="0.35">
      <c r="B190" s="25"/>
      <c r="E190" s="26"/>
      <c r="N190" s="42"/>
    </row>
    <row r="191" spans="2:14" s="13" customFormat="1" x14ac:dyDescent="0.35">
      <c r="B191" s="25"/>
      <c r="E191" s="26"/>
      <c r="N191" s="42"/>
    </row>
    <row r="192" spans="2:14" s="13" customFormat="1" x14ac:dyDescent="0.35">
      <c r="B192" s="25"/>
      <c r="E192" s="26"/>
      <c r="N192" s="42"/>
    </row>
    <row r="193" spans="2:14" s="13" customFormat="1" x14ac:dyDescent="0.35">
      <c r="B193" s="25"/>
      <c r="E193" s="26"/>
      <c r="N193" s="42"/>
    </row>
    <row r="194" spans="2:14" s="13" customFormat="1" x14ac:dyDescent="0.35">
      <c r="B194" s="25"/>
      <c r="E194" s="26"/>
      <c r="N194" s="42"/>
    </row>
    <row r="195" spans="2:14" s="13" customFormat="1" x14ac:dyDescent="0.35">
      <c r="B195" s="25"/>
      <c r="E195" s="26"/>
      <c r="N195" s="42"/>
    </row>
    <row r="196" spans="2:14" s="13" customFormat="1" x14ac:dyDescent="0.35">
      <c r="B196" s="25"/>
      <c r="E196" s="26"/>
      <c r="N196" s="42"/>
    </row>
    <row r="197" spans="2:14" s="13" customFormat="1" x14ac:dyDescent="0.35">
      <c r="B197" s="25"/>
      <c r="E197" s="26"/>
      <c r="N197" s="42"/>
    </row>
    <row r="198" spans="2:14" s="13" customFormat="1" x14ac:dyDescent="0.35">
      <c r="B198" s="25"/>
      <c r="E198" s="26"/>
      <c r="N198" s="42"/>
    </row>
    <row r="199" spans="2:14" s="13" customFormat="1" x14ac:dyDescent="0.35">
      <c r="B199" s="25"/>
      <c r="E199" s="26"/>
      <c r="N199" s="42"/>
    </row>
    <row r="200" spans="2:14" s="13" customFormat="1" x14ac:dyDescent="0.35">
      <c r="B200" s="25"/>
      <c r="E200" s="26"/>
      <c r="N200" s="42"/>
    </row>
    <row r="201" spans="2:14" s="13" customFormat="1" x14ac:dyDescent="0.35">
      <c r="B201" s="25"/>
      <c r="E201" s="26"/>
      <c r="N201" s="42"/>
    </row>
    <row r="202" spans="2:14" s="13" customFormat="1" x14ac:dyDescent="0.35">
      <c r="B202" s="25"/>
      <c r="E202" s="26"/>
      <c r="N202" s="42"/>
    </row>
    <row r="203" spans="2:14" s="13" customFormat="1" x14ac:dyDescent="0.35">
      <c r="B203" s="25"/>
      <c r="E203" s="26"/>
      <c r="N203" s="42"/>
    </row>
    <row r="204" spans="2:14" s="13" customFormat="1" x14ac:dyDescent="0.35">
      <c r="B204" s="25"/>
      <c r="E204" s="26"/>
      <c r="N204" s="42"/>
    </row>
    <row r="205" spans="2:14" s="13" customFormat="1" x14ac:dyDescent="0.35">
      <c r="B205" s="25"/>
      <c r="E205" s="26"/>
      <c r="N205" s="42"/>
    </row>
    <row r="206" spans="2:14" s="13" customFormat="1" x14ac:dyDescent="0.35">
      <c r="B206" s="25"/>
      <c r="E206" s="26"/>
      <c r="N206" s="42"/>
    </row>
    <row r="207" spans="2:14" s="13" customFormat="1" x14ac:dyDescent="0.35">
      <c r="B207" s="25"/>
      <c r="E207" s="26"/>
      <c r="N207" s="42"/>
    </row>
    <row r="208" spans="2:14" s="13" customFormat="1" x14ac:dyDescent="0.35">
      <c r="B208" s="25"/>
      <c r="E208" s="26"/>
      <c r="N208" s="42"/>
    </row>
    <row r="209" spans="2:14" s="13" customFormat="1" x14ac:dyDescent="0.35">
      <c r="B209" s="25"/>
      <c r="E209" s="26"/>
      <c r="N209" s="42"/>
    </row>
    <row r="210" spans="2:14" s="13" customFormat="1" x14ac:dyDescent="0.35">
      <c r="B210" s="25"/>
      <c r="E210" s="26"/>
      <c r="N210" s="42"/>
    </row>
    <row r="211" spans="2:14" s="13" customFormat="1" x14ac:dyDescent="0.35">
      <c r="B211" s="25"/>
      <c r="E211" s="26"/>
      <c r="N211" s="42"/>
    </row>
    <row r="212" spans="2:14" s="13" customFormat="1" x14ac:dyDescent="0.35">
      <c r="B212" s="25"/>
      <c r="E212" s="26"/>
      <c r="N212" s="42"/>
    </row>
    <row r="213" spans="2:14" s="13" customFormat="1" x14ac:dyDescent="0.35">
      <c r="B213" s="25"/>
      <c r="E213" s="26"/>
      <c r="N213" s="42"/>
    </row>
    <row r="214" spans="2:14" s="13" customFormat="1" x14ac:dyDescent="0.35">
      <c r="B214" s="25"/>
      <c r="E214" s="26"/>
      <c r="N214" s="42"/>
    </row>
    <row r="215" spans="2:14" s="13" customFormat="1" x14ac:dyDescent="0.35">
      <c r="B215" s="25"/>
      <c r="E215" s="26"/>
      <c r="N215" s="42"/>
    </row>
    <row r="216" spans="2:14" s="13" customFormat="1" x14ac:dyDescent="0.35">
      <c r="B216" s="25"/>
      <c r="E216" s="26"/>
      <c r="N216" s="42"/>
    </row>
    <row r="217" spans="2:14" s="13" customFormat="1" x14ac:dyDescent="0.35">
      <c r="B217" s="25"/>
      <c r="E217" s="26"/>
      <c r="N217" s="42"/>
    </row>
    <row r="218" spans="2:14" s="13" customFormat="1" x14ac:dyDescent="0.35">
      <c r="B218" s="25"/>
      <c r="E218" s="26"/>
      <c r="N218" s="42"/>
    </row>
    <row r="219" spans="2:14" s="13" customFormat="1" x14ac:dyDescent="0.35">
      <c r="B219" s="25"/>
      <c r="E219" s="26"/>
      <c r="N219" s="42"/>
    </row>
    <row r="220" spans="2:14" s="13" customFormat="1" x14ac:dyDescent="0.35">
      <c r="B220" s="25"/>
      <c r="E220" s="26"/>
      <c r="N220" s="42"/>
    </row>
    <row r="221" spans="2:14" s="13" customFormat="1" x14ac:dyDescent="0.35">
      <c r="B221" s="25"/>
      <c r="E221" s="26"/>
      <c r="N221" s="42"/>
    </row>
    <row r="222" spans="2:14" s="13" customFormat="1" x14ac:dyDescent="0.35">
      <c r="B222" s="25"/>
      <c r="E222" s="26"/>
      <c r="N222" s="42"/>
    </row>
    <row r="223" spans="2:14" s="13" customFormat="1" x14ac:dyDescent="0.35">
      <c r="B223" s="25"/>
      <c r="E223" s="26"/>
      <c r="N223" s="42"/>
    </row>
    <row r="224" spans="2:14" s="13" customFormat="1" x14ac:dyDescent="0.35">
      <c r="B224" s="25"/>
      <c r="E224" s="26"/>
      <c r="N224" s="42"/>
    </row>
    <row r="225" spans="2:14" s="13" customFormat="1" x14ac:dyDescent="0.35">
      <c r="B225" s="25"/>
      <c r="E225" s="26"/>
      <c r="N225" s="42"/>
    </row>
    <row r="226" spans="2:14" s="13" customFormat="1" x14ac:dyDescent="0.35">
      <c r="B226" s="25"/>
      <c r="E226" s="26"/>
      <c r="N226" s="42"/>
    </row>
    <row r="227" spans="2:14" s="13" customFormat="1" x14ac:dyDescent="0.35">
      <c r="B227" s="25"/>
      <c r="E227" s="26"/>
      <c r="N227" s="42"/>
    </row>
    <row r="228" spans="2:14" s="13" customFormat="1" x14ac:dyDescent="0.35">
      <c r="B228" s="25"/>
      <c r="E228" s="26"/>
      <c r="N228" s="42"/>
    </row>
    <row r="229" spans="2:14" s="13" customFormat="1" x14ac:dyDescent="0.35">
      <c r="B229" s="25"/>
      <c r="E229" s="26"/>
      <c r="N229" s="42"/>
    </row>
    <row r="230" spans="2:14" s="13" customFormat="1" x14ac:dyDescent="0.35">
      <c r="B230" s="25"/>
      <c r="E230" s="26"/>
      <c r="N230" s="42"/>
    </row>
    <row r="231" spans="2:14" s="13" customFormat="1" x14ac:dyDescent="0.35">
      <c r="B231" s="25"/>
      <c r="E231" s="26"/>
      <c r="N231" s="42"/>
    </row>
    <row r="232" spans="2:14" s="13" customFormat="1" x14ac:dyDescent="0.35">
      <c r="B232" s="25"/>
      <c r="E232" s="26"/>
      <c r="N232" s="42"/>
    </row>
    <row r="233" spans="2:14" s="13" customFormat="1" x14ac:dyDescent="0.35">
      <c r="B233" s="25"/>
      <c r="E233" s="26"/>
      <c r="N233" s="42"/>
    </row>
    <row r="234" spans="2:14" s="13" customFormat="1" x14ac:dyDescent="0.35">
      <c r="B234" s="25"/>
      <c r="E234" s="26"/>
      <c r="N234" s="42"/>
    </row>
    <row r="235" spans="2:14" s="13" customFormat="1" x14ac:dyDescent="0.35">
      <c r="B235" s="25"/>
      <c r="E235" s="26"/>
      <c r="N235" s="42"/>
    </row>
    <row r="236" spans="2:14" s="13" customFormat="1" x14ac:dyDescent="0.35">
      <c r="B236" s="25"/>
      <c r="E236" s="26"/>
      <c r="N236" s="42"/>
    </row>
    <row r="237" spans="2:14" s="13" customFormat="1" x14ac:dyDescent="0.35">
      <c r="B237" s="25"/>
      <c r="E237" s="26"/>
      <c r="N237" s="42"/>
    </row>
    <row r="238" spans="2:14" s="13" customFormat="1" x14ac:dyDescent="0.35">
      <c r="B238" s="25"/>
      <c r="E238" s="26"/>
      <c r="N238" s="42"/>
    </row>
    <row r="239" spans="2:14" s="13" customFormat="1" x14ac:dyDescent="0.35">
      <c r="B239" s="25"/>
      <c r="E239" s="26"/>
      <c r="N239" s="42"/>
    </row>
    <row r="240" spans="2:14" s="13" customFormat="1" x14ac:dyDescent="0.35">
      <c r="B240" s="25"/>
      <c r="E240" s="26"/>
      <c r="N240" s="42"/>
    </row>
    <row r="241" spans="2:14" s="13" customFormat="1" x14ac:dyDescent="0.35">
      <c r="B241" s="25"/>
      <c r="E241" s="26"/>
      <c r="N241" s="42"/>
    </row>
    <row r="242" spans="2:14" s="13" customFormat="1" x14ac:dyDescent="0.35">
      <c r="B242" s="25"/>
      <c r="E242" s="26"/>
      <c r="N242" s="42"/>
    </row>
    <row r="243" spans="2:14" s="13" customFormat="1" x14ac:dyDescent="0.35">
      <c r="B243" s="25"/>
      <c r="E243" s="26"/>
      <c r="N243" s="42"/>
    </row>
    <row r="244" spans="2:14" s="13" customFormat="1" x14ac:dyDescent="0.35">
      <c r="B244" s="25"/>
      <c r="E244" s="26"/>
      <c r="N244" s="42"/>
    </row>
    <row r="245" spans="2:14" s="13" customFormat="1" x14ac:dyDescent="0.35">
      <c r="B245" s="25"/>
      <c r="E245" s="26"/>
      <c r="N245" s="42"/>
    </row>
    <row r="246" spans="2:14" s="13" customFormat="1" x14ac:dyDescent="0.35">
      <c r="B246" s="25"/>
      <c r="E246" s="26"/>
      <c r="N246" s="42"/>
    </row>
    <row r="247" spans="2:14" s="13" customFormat="1" x14ac:dyDescent="0.35">
      <c r="B247" s="25"/>
      <c r="E247" s="26"/>
      <c r="N247" s="42"/>
    </row>
    <row r="248" spans="2:14" s="13" customFormat="1" x14ac:dyDescent="0.35">
      <c r="B248" s="25"/>
      <c r="E248" s="26"/>
      <c r="N248" s="42"/>
    </row>
    <row r="249" spans="2:14" s="13" customFormat="1" x14ac:dyDescent="0.35">
      <c r="B249" s="25"/>
      <c r="E249" s="26"/>
      <c r="N249" s="42"/>
    </row>
    <row r="250" spans="2:14" s="13" customFormat="1" x14ac:dyDescent="0.35">
      <c r="B250" s="25"/>
      <c r="E250" s="26"/>
      <c r="N250" s="42"/>
    </row>
    <row r="251" spans="2:14" s="13" customFormat="1" x14ac:dyDescent="0.35">
      <c r="B251" s="25"/>
      <c r="E251" s="26"/>
      <c r="N251" s="42"/>
    </row>
    <row r="252" spans="2:14" s="13" customFormat="1" x14ac:dyDescent="0.35">
      <c r="B252" s="25"/>
      <c r="E252" s="26"/>
      <c r="N252" s="42"/>
    </row>
    <row r="253" spans="2:14" s="13" customFormat="1" x14ac:dyDescent="0.35">
      <c r="B253" s="25"/>
      <c r="E253" s="26"/>
      <c r="N253" s="42"/>
    </row>
    <row r="254" spans="2:14" s="13" customFormat="1" x14ac:dyDescent="0.35">
      <c r="B254" s="25"/>
      <c r="E254" s="26"/>
      <c r="N254" s="42"/>
    </row>
    <row r="255" spans="2:14" s="13" customFormat="1" x14ac:dyDescent="0.35">
      <c r="B255" s="25"/>
      <c r="E255" s="26"/>
      <c r="N255" s="42"/>
    </row>
    <row r="256" spans="2:14" s="13" customFormat="1" x14ac:dyDescent="0.35">
      <c r="B256" s="25"/>
      <c r="E256" s="26"/>
      <c r="N256" s="42"/>
    </row>
    <row r="257" spans="2:14" s="13" customFormat="1" x14ac:dyDescent="0.35">
      <c r="B257" s="25"/>
      <c r="E257" s="26"/>
      <c r="N257" s="42"/>
    </row>
    <row r="258" spans="2:14" s="13" customFormat="1" x14ac:dyDescent="0.35">
      <c r="B258" s="25"/>
      <c r="E258" s="26"/>
      <c r="N258" s="42"/>
    </row>
    <row r="259" spans="2:14" s="13" customFormat="1" x14ac:dyDescent="0.35">
      <c r="B259" s="25"/>
      <c r="E259" s="26"/>
      <c r="N259" s="42"/>
    </row>
    <row r="260" spans="2:14" s="13" customFormat="1" x14ac:dyDescent="0.35">
      <c r="B260" s="25"/>
      <c r="E260" s="26"/>
      <c r="N260" s="42"/>
    </row>
    <row r="261" spans="2:14" s="13" customFormat="1" x14ac:dyDescent="0.35">
      <c r="B261" s="25"/>
      <c r="E261" s="26"/>
      <c r="N261" s="42"/>
    </row>
    <row r="262" spans="2:14" s="13" customFormat="1" x14ac:dyDescent="0.35">
      <c r="B262" s="25"/>
      <c r="E262" s="26"/>
      <c r="N262" s="42"/>
    </row>
    <row r="263" spans="2:14" s="13" customFormat="1" x14ac:dyDescent="0.35">
      <c r="B263" s="25"/>
      <c r="E263" s="26"/>
      <c r="N263" s="42"/>
    </row>
    <row r="264" spans="2:14" s="13" customFormat="1" x14ac:dyDescent="0.35">
      <c r="B264" s="25"/>
      <c r="E264" s="26"/>
      <c r="N264" s="42"/>
    </row>
    <row r="265" spans="2:14" s="13" customFormat="1" x14ac:dyDescent="0.35">
      <c r="B265" s="25"/>
      <c r="E265" s="26"/>
      <c r="N265" s="42"/>
    </row>
    <row r="266" spans="2:14" s="13" customFormat="1" x14ac:dyDescent="0.35">
      <c r="B266" s="25"/>
      <c r="E266" s="26"/>
      <c r="N266" s="42"/>
    </row>
    <row r="267" spans="2:14" s="13" customFormat="1" x14ac:dyDescent="0.35">
      <c r="B267" s="25"/>
      <c r="E267" s="26"/>
      <c r="N267" s="42"/>
    </row>
    <row r="268" spans="2:14" s="13" customFormat="1" x14ac:dyDescent="0.35">
      <c r="B268" s="25"/>
      <c r="E268" s="26"/>
      <c r="N268" s="42"/>
    </row>
    <row r="269" spans="2:14" s="13" customFormat="1" x14ac:dyDescent="0.35">
      <c r="B269" s="25"/>
      <c r="E269" s="26"/>
      <c r="N269" s="42"/>
    </row>
    <row r="270" spans="2:14" s="13" customFormat="1" x14ac:dyDescent="0.35">
      <c r="B270" s="25"/>
      <c r="E270" s="26"/>
      <c r="N270" s="42"/>
    </row>
    <row r="271" spans="2:14" s="13" customFormat="1" x14ac:dyDescent="0.35">
      <c r="B271" s="25"/>
      <c r="E271" s="26"/>
      <c r="N271" s="42"/>
    </row>
    <row r="272" spans="2:14" s="13" customFormat="1" x14ac:dyDescent="0.35">
      <c r="B272" s="25"/>
      <c r="E272" s="26"/>
      <c r="N272" s="42"/>
    </row>
    <row r="273" spans="2:14" s="13" customFormat="1" x14ac:dyDescent="0.35">
      <c r="B273" s="25"/>
      <c r="E273" s="26"/>
      <c r="N273" s="42"/>
    </row>
    <row r="274" spans="2:14" s="13" customFormat="1" x14ac:dyDescent="0.35">
      <c r="B274" s="25"/>
      <c r="E274" s="26"/>
      <c r="N274" s="42"/>
    </row>
    <row r="275" spans="2:14" s="13" customFormat="1" x14ac:dyDescent="0.35">
      <c r="B275" s="25"/>
      <c r="E275" s="26"/>
      <c r="N275" s="42"/>
    </row>
    <row r="276" spans="2:14" s="13" customFormat="1" x14ac:dyDescent="0.35">
      <c r="B276" s="25"/>
      <c r="E276" s="26"/>
      <c r="N276" s="42"/>
    </row>
    <row r="277" spans="2:14" s="13" customFormat="1" x14ac:dyDescent="0.35">
      <c r="B277" s="25"/>
      <c r="E277" s="26"/>
      <c r="N277" s="42"/>
    </row>
    <row r="278" spans="2:14" s="13" customFormat="1" x14ac:dyDescent="0.35">
      <c r="B278" s="25"/>
      <c r="E278" s="26"/>
      <c r="N278" s="42"/>
    </row>
    <row r="279" spans="2:14" s="13" customFormat="1" x14ac:dyDescent="0.35">
      <c r="B279" s="25"/>
      <c r="E279" s="26"/>
      <c r="N279" s="42"/>
    </row>
    <row r="280" spans="2:14" s="13" customFormat="1" x14ac:dyDescent="0.35">
      <c r="B280" s="25"/>
      <c r="E280" s="26"/>
      <c r="N280" s="42"/>
    </row>
    <row r="281" spans="2:14" s="13" customFormat="1" x14ac:dyDescent="0.35">
      <c r="B281" s="25"/>
      <c r="E281" s="26"/>
      <c r="N281" s="42"/>
    </row>
    <row r="282" spans="2:14" s="13" customFormat="1" x14ac:dyDescent="0.35">
      <c r="B282" s="25"/>
      <c r="E282" s="26"/>
      <c r="N282" s="42"/>
    </row>
    <row r="283" spans="2:14" s="13" customFormat="1" x14ac:dyDescent="0.35">
      <c r="B283" s="25"/>
      <c r="E283" s="26"/>
      <c r="N283" s="42"/>
    </row>
    <row r="284" spans="2:14" s="13" customFormat="1" x14ac:dyDescent="0.35">
      <c r="B284" s="25"/>
      <c r="E284" s="26"/>
      <c r="N284" s="42"/>
    </row>
    <row r="285" spans="2:14" s="13" customFormat="1" x14ac:dyDescent="0.35">
      <c r="B285" s="25"/>
      <c r="E285" s="26"/>
      <c r="N285" s="42"/>
    </row>
    <row r="286" spans="2:14" s="13" customFormat="1" x14ac:dyDescent="0.35">
      <c r="B286" s="25"/>
      <c r="E286" s="26"/>
      <c r="N286" s="42"/>
    </row>
    <row r="287" spans="2:14" s="13" customFormat="1" x14ac:dyDescent="0.35">
      <c r="B287" s="25"/>
      <c r="E287" s="26"/>
      <c r="N287" s="42"/>
    </row>
    <row r="288" spans="2:14" s="13" customFormat="1" x14ac:dyDescent="0.35">
      <c r="B288" s="25"/>
      <c r="E288" s="26"/>
      <c r="N288" s="42"/>
    </row>
    <row r="289" spans="2:14" s="13" customFormat="1" x14ac:dyDescent="0.35">
      <c r="B289" s="25"/>
      <c r="E289" s="26"/>
      <c r="N289" s="42"/>
    </row>
    <row r="290" spans="2:14" s="13" customFormat="1" x14ac:dyDescent="0.35">
      <c r="B290" s="25"/>
      <c r="E290" s="26"/>
      <c r="N290" s="42"/>
    </row>
    <row r="291" spans="2:14" s="13" customFormat="1" x14ac:dyDescent="0.35">
      <c r="B291" s="25"/>
      <c r="E291" s="26"/>
      <c r="N291" s="42"/>
    </row>
    <row r="292" spans="2:14" s="13" customFormat="1" x14ac:dyDescent="0.35">
      <c r="B292" s="25"/>
      <c r="E292" s="26"/>
      <c r="N292" s="42"/>
    </row>
    <row r="293" spans="2:14" s="13" customFormat="1" x14ac:dyDescent="0.35">
      <c r="B293" s="25"/>
      <c r="E293" s="26"/>
      <c r="N293" s="42"/>
    </row>
    <row r="294" spans="2:14" s="13" customFormat="1" x14ac:dyDescent="0.35">
      <c r="B294" s="25"/>
      <c r="E294" s="26"/>
      <c r="N294" s="42"/>
    </row>
    <row r="295" spans="2:14" s="13" customFormat="1" x14ac:dyDescent="0.35">
      <c r="B295" s="25"/>
      <c r="E295" s="26"/>
      <c r="N295" s="42"/>
    </row>
    <row r="296" spans="2:14" s="13" customFormat="1" x14ac:dyDescent="0.35">
      <c r="B296" s="25"/>
      <c r="E296" s="26"/>
      <c r="N296" s="42"/>
    </row>
    <row r="297" spans="2:14" s="13" customFormat="1" x14ac:dyDescent="0.35">
      <c r="B297" s="25"/>
      <c r="E297" s="26"/>
      <c r="N297" s="42"/>
    </row>
    <row r="298" spans="2:14" s="13" customFormat="1" x14ac:dyDescent="0.35">
      <c r="B298" s="25"/>
      <c r="E298" s="26"/>
      <c r="N298" s="42"/>
    </row>
    <row r="299" spans="2:14" s="13" customFormat="1" x14ac:dyDescent="0.35">
      <c r="B299" s="25"/>
      <c r="E299" s="26"/>
      <c r="N299" s="42"/>
    </row>
    <row r="300" spans="2:14" s="13" customFormat="1" x14ac:dyDescent="0.35">
      <c r="B300" s="25"/>
      <c r="E300" s="26"/>
      <c r="N300" s="42"/>
    </row>
    <row r="301" spans="2:14" s="13" customFormat="1" x14ac:dyDescent="0.35">
      <c r="B301" s="25"/>
      <c r="E301" s="26"/>
      <c r="N301" s="42"/>
    </row>
    <row r="302" spans="2:14" s="13" customFormat="1" x14ac:dyDescent="0.35">
      <c r="B302" s="25"/>
      <c r="E302" s="26"/>
      <c r="N302" s="42"/>
    </row>
    <row r="303" spans="2:14" s="13" customFormat="1" x14ac:dyDescent="0.35">
      <c r="B303" s="25"/>
      <c r="E303" s="26"/>
      <c r="N303" s="42"/>
    </row>
    <row r="304" spans="2:14" s="13" customFormat="1" x14ac:dyDescent="0.35">
      <c r="B304" s="25"/>
      <c r="E304" s="26"/>
      <c r="N304" s="42"/>
    </row>
    <row r="305" spans="2:14" s="13" customFormat="1" x14ac:dyDescent="0.35">
      <c r="B305" s="25"/>
      <c r="E305" s="26"/>
      <c r="N305" s="42"/>
    </row>
    <row r="306" spans="2:14" s="13" customFormat="1" x14ac:dyDescent="0.35">
      <c r="B306" s="25"/>
      <c r="E306" s="26"/>
      <c r="N306" s="42"/>
    </row>
    <row r="307" spans="2:14" s="13" customFormat="1" x14ac:dyDescent="0.35">
      <c r="B307" s="25"/>
      <c r="E307" s="26"/>
      <c r="N307" s="42"/>
    </row>
    <row r="308" spans="2:14" s="13" customFormat="1" x14ac:dyDescent="0.35">
      <c r="B308" s="25"/>
      <c r="E308" s="26"/>
      <c r="N308" s="42"/>
    </row>
    <row r="309" spans="2:14" s="13" customFormat="1" x14ac:dyDescent="0.35">
      <c r="B309" s="25"/>
      <c r="E309" s="26"/>
      <c r="N309" s="42"/>
    </row>
    <row r="310" spans="2:14" s="13" customFormat="1" x14ac:dyDescent="0.35">
      <c r="B310" s="25"/>
      <c r="E310" s="26"/>
      <c r="N310" s="42"/>
    </row>
    <row r="311" spans="2:14" s="13" customFormat="1" x14ac:dyDescent="0.35">
      <c r="B311" s="25"/>
      <c r="E311" s="26"/>
      <c r="N311" s="42"/>
    </row>
    <row r="312" spans="2:14" s="13" customFormat="1" x14ac:dyDescent="0.35">
      <c r="B312" s="25"/>
      <c r="E312" s="26"/>
      <c r="N312" s="42"/>
    </row>
    <row r="313" spans="2:14" s="13" customFormat="1" x14ac:dyDescent="0.35">
      <c r="B313" s="25"/>
      <c r="E313" s="26"/>
      <c r="N313" s="42"/>
    </row>
    <row r="314" spans="2:14" s="13" customFormat="1" x14ac:dyDescent="0.35">
      <c r="B314" s="25"/>
      <c r="E314" s="26"/>
      <c r="N314" s="42"/>
    </row>
    <row r="315" spans="2:14" s="13" customFormat="1" x14ac:dyDescent="0.35">
      <c r="B315" s="25"/>
      <c r="E315" s="26"/>
      <c r="N315" s="42"/>
    </row>
    <row r="316" spans="2:14" s="13" customFormat="1" x14ac:dyDescent="0.35">
      <c r="B316" s="25"/>
      <c r="E316" s="26"/>
      <c r="N316" s="42"/>
    </row>
    <row r="317" spans="2:14" s="13" customFormat="1" x14ac:dyDescent="0.35">
      <c r="B317" s="25"/>
      <c r="E317" s="26"/>
      <c r="N317" s="42"/>
    </row>
    <row r="318" spans="2:14" s="13" customFormat="1" x14ac:dyDescent="0.35">
      <c r="B318" s="25"/>
      <c r="E318" s="26"/>
      <c r="N318" s="42"/>
    </row>
    <row r="319" spans="2:14" s="13" customFormat="1" x14ac:dyDescent="0.35">
      <c r="B319" s="25"/>
      <c r="E319" s="26"/>
      <c r="N319" s="42"/>
    </row>
    <row r="320" spans="2:14" s="13" customFormat="1" x14ac:dyDescent="0.35">
      <c r="B320" s="25"/>
      <c r="E320" s="26"/>
      <c r="N320" s="42"/>
    </row>
    <row r="321" spans="2:14" s="13" customFormat="1" x14ac:dyDescent="0.35">
      <c r="B321" s="25"/>
      <c r="E321" s="26"/>
      <c r="N321" s="42"/>
    </row>
    <row r="322" spans="2:14" s="13" customFormat="1" x14ac:dyDescent="0.35">
      <c r="B322" s="25"/>
      <c r="E322" s="26"/>
      <c r="N322" s="42"/>
    </row>
    <row r="323" spans="2:14" s="13" customFormat="1" x14ac:dyDescent="0.35">
      <c r="B323" s="25"/>
      <c r="E323" s="26"/>
      <c r="N323" s="42"/>
    </row>
    <row r="324" spans="2:14" s="13" customFormat="1" x14ac:dyDescent="0.35">
      <c r="B324" s="25"/>
      <c r="E324" s="26"/>
      <c r="N324" s="42"/>
    </row>
    <row r="325" spans="2:14" s="13" customFormat="1" x14ac:dyDescent="0.35">
      <c r="B325" s="25"/>
      <c r="E325" s="26"/>
      <c r="N325" s="42"/>
    </row>
    <row r="326" spans="2:14" s="13" customFormat="1" x14ac:dyDescent="0.35">
      <c r="B326" s="25"/>
      <c r="E326" s="26"/>
      <c r="N326" s="42"/>
    </row>
    <row r="327" spans="2:14" s="13" customFormat="1" x14ac:dyDescent="0.35">
      <c r="B327" s="25"/>
      <c r="E327" s="26"/>
      <c r="N327" s="42"/>
    </row>
    <row r="328" spans="2:14" s="13" customFormat="1" x14ac:dyDescent="0.35">
      <c r="B328" s="25"/>
      <c r="E328" s="26"/>
      <c r="N328" s="42"/>
    </row>
    <row r="329" spans="2:14" s="13" customFormat="1" x14ac:dyDescent="0.35">
      <c r="B329" s="25"/>
      <c r="E329" s="26"/>
      <c r="N329" s="42"/>
    </row>
    <row r="330" spans="2:14" s="13" customFormat="1" x14ac:dyDescent="0.35">
      <c r="B330" s="25"/>
      <c r="E330" s="26"/>
      <c r="N330" s="42"/>
    </row>
    <row r="331" spans="2:14" s="13" customFormat="1" x14ac:dyDescent="0.35">
      <c r="B331" s="25"/>
      <c r="E331" s="26"/>
      <c r="N331" s="42"/>
    </row>
    <row r="332" spans="2:14" s="13" customFormat="1" x14ac:dyDescent="0.35">
      <c r="B332" s="25"/>
      <c r="E332" s="26"/>
      <c r="N332" s="42"/>
    </row>
    <row r="333" spans="2:14" s="13" customFormat="1" x14ac:dyDescent="0.35">
      <c r="B333" s="25"/>
      <c r="E333" s="26"/>
      <c r="N333" s="42"/>
    </row>
    <row r="334" spans="2:14" s="13" customFormat="1" x14ac:dyDescent="0.35">
      <c r="B334" s="25"/>
      <c r="E334" s="26"/>
      <c r="N334" s="42"/>
    </row>
    <row r="335" spans="2:14" s="13" customFormat="1" x14ac:dyDescent="0.35">
      <c r="B335" s="25"/>
      <c r="E335" s="26"/>
      <c r="N335" s="42"/>
    </row>
    <row r="336" spans="2:14" s="13" customFormat="1" x14ac:dyDescent="0.35">
      <c r="B336" s="25"/>
      <c r="E336" s="26"/>
      <c r="N336" s="42"/>
    </row>
    <row r="337" spans="2:14" s="13" customFormat="1" x14ac:dyDescent="0.35">
      <c r="B337" s="25"/>
      <c r="E337" s="26"/>
      <c r="N337" s="42"/>
    </row>
    <row r="338" spans="2:14" s="13" customFormat="1" x14ac:dyDescent="0.35">
      <c r="B338" s="25"/>
      <c r="E338" s="26"/>
      <c r="N338" s="42"/>
    </row>
    <row r="339" spans="2:14" s="13" customFormat="1" x14ac:dyDescent="0.35">
      <c r="B339" s="25"/>
      <c r="E339" s="26"/>
      <c r="N339" s="42"/>
    </row>
    <row r="340" spans="2:14" s="13" customFormat="1" x14ac:dyDescent="0.35">
      <c r="B340" s="25"/>
      <c r="E340" s="26"/>
      <c r="N340" s="42"/>
    </row>
    <row r="341" spans="2:14" s="13" customFormat="1" x14ac:dyDescent="0.35">
      <c r="B341" s="25"/>
      <c r="E341" s="26"/>
      <c r="N341" s="42"/>
    </row>
    <row r="342" spans="2:14" s="13" customFormat="1" x14ac:dyDescent="0.35">
      <c r="B342" s="25"/>
      <c r="E342" s="26"/>
      <c r="N342" s="42"/>
    </row>
    <row r="343" spans="2:14" s="13" customFormat="1" x14ac:dyDescent="0.35">
      <c r="B343" s="25"/>
      <c r="E343" s="26"/>
      <c r="N343" s="42"/>
    </row>
    <row r="344" spans="2:14" s="13" customFormat="1" x14ac:dyDescent="0.35">
      <c r="B344" s="25"/>
      <c r="E344" s="26"/>
      <c r="N344" s="42"/>
    </row>
    <row r="345" spans="2:14" s="13" customFormat="1" x14ac:dyDescent="0.35">
      <c r="B345" s="25"/>
      <c r="E345" s="26"/>
      <c r="N345" s="42"/>
    </row>
    <row r="346" spans="2:14" s="13" customFormat="1" x14ac:dyDescent="0.35">
      <c r="B346" s="25"/>
      <c r="E346" s="26"/>
      <c r="N346" s="42"/>
    </row>
    <row r="347" spans="2:14" s="13" customFormat="1" x14ac:dyDescent="0.35">
      <c r="B347" s="25"/>
      <c r="E347" s="26"/>
      <c r="N347" s="42"/>
    </row>
    <row r="348" spans="2:14" s="13" customFormat="1" x14ac:dyDescent="0.35">
      <c r="B348" s="25"/>
      <c r="E348" s="26"/>
      <c r="N348" s="42"/>
    </row>
    <row r="349" spans="2:14" s="13" customFormat="1" x14ac:dyDescent="0.35">
      <c r="B349" s="25"/>
      <c r="E349" s="26"/>
      <c r="N349" s="42"/>
    </row>
    <row r="350" spans="2:14" s="13" customFormat="1" x14ac:dyDescent="0.35">
      <c r="B350" s="25"/>
      <c r="E350" s="26"/>
      <c r="N350" s="42"/>
    </row>
    <row r="351" spans="2:14" s="13" customFormat="1" x14ac:dyDescent="0.35">
      <c r="B351" s="25"/>
      <c r="E351" s="26"/>
      <c r="N351" s="42"/>
    </row>
    <row r="352" spans="2:14" s="13" customFormat="1" x14ac:dyDescent="0.35">
      <c r="B352" s="25"/>
      <c r="E352" s="26"/>
      <c r="N352" s="42"/>
    </row>
    <row r="353" spans="2:14" s="13" customFormat="1" x14ac:dyDescent="0.35">
      <c r="B353" s="25"/>
      <c r="E353" s="26"/>
      <c r="N353" s="42"/>
    </row>
    <row r="354" spans="2:14" s="13" customFormat="1" x14ac:dyDescent="0.35">
      <c r="B354" s="25"/>
      <c r="E354" s="26"/>
      <c r="N354" s="42"/>
    </row>
    <row r="355" spans="2:14" s="13" customFormat="1" x14ac:dyDescent="0.35">
      <c r="B355" s="25"/>
      <c r="E355" s="26"/>
      <c r="N355" s="42"/>
    </row>
    <row r="356" spans="2:14" s="13" customFormat="1" x14ac:dyDescent="0.35">
      <c r="B356" s="25"/>
      <c r="E356" s="26"/>
      <c r="N356" s="42"/>
    </row>
    <row r="357" spans="2:14" s="13" customFormat="1" x14ac:dyDescent="0.35">
      <c r="B357" s="25"/>
      <c r="E357" s="26"/>
      <c r="N357" s="42"/>
    </row>
    <row r="358" spans="2:14" s="13" customFormat="1" x14ac:dyDescent="0.35">
      <c r="B358" s="25"/>
      <c r="E358" s="26"/>
      <c r="N358" s="42"/>
    </row>
    <row r="359" spans="2:14" s="13" customFormat="1" x14ac:dyDescent="0.35">
      <c r="B359" s="25"/>
      <c r="E359" s="26"/>
      <c r="N359" s="42"/>
    </row>
    <row r="360" spans="2:14" s="13" customFormat="1" x14ac:dyDescent="0.35">
      <c r="B360" s="25"/>
      <c r="E360" s="26"/>
      <c r="N360" s="42"/>
    </row>
    <row r="361" spans="2:14" s="13" customFormat="1" x14ac:dyDescent="0.35">
      <c r="B361" s="25"/>
      <c r="E361" s="26"/>
      <c r="N361" s="42"/>
    </row>
    <row r="362" spans="2:14" s="13" customFormat="1" x14ac:dyDescent="0.35">
      <c r="B362" s="25"/>
      <c r="E362" s="26"/>
      <c r="N362" s="42"/>
    </row>
    <row r="363" spans="2:14" s="13" customFormat="1" x14ac:dyDescent="0.35">
      <c r="B363" s="25"/>
      <c r="E363" s="26"/>
      <c r="N363" s="42"/>
    </row>
    <row r="364" spans="2:14" s="13" customFormat="1" x14ac:dyDescent="0.35">
      <c r="B364" s="25"/>
      <c r="E364" s="26"/>
      <c r="N364" s="42"/>
    </row>
    <row r="365" spans="2:14" s="13" customFormat="1" x14ac:dyDescent="0.35">
      <c r="B365" s="25"/>
      <c r="E365" s="26"/>
      <c r="N365" s="42"/>
    </row>
    <row r="366" spans="2:14" s="13" customFormat="1" x14ac:dyDescent="0.35">
      <c r="B366" s="25"/>
      <c r="E366" s="26"/>
      <c r="N366" s="42"/>
    </row>
    <row r="367" spans="2:14" s="13" customFormat="1" x14ac:dyDescent="0.35">
      <c r="B367" s="25"/>
      <c r="E367" s="26"/>
      <c r="N367" s="42"/>
    </row>
    <row r="368" spans="2:14" s="13" customFormat="1" x14ac:dyDescent="0.35">
      <c r="B368" s="25"/>
      <c r="E368" s="26"/>
      <c r="N368" s="42"/>
    </row>
    <row r="369" spans="2:14" s="13" customFormat="1" x14ac:dyDescent="0.35">
      <c r="B369" s="25"/>
      <c r="E369" s="26"/>
      <c r="N369" s="42"/>
    </row>
    <row r="370" spans="2:14" s="13" customFormat="1" x14ac:dyDescent="0.35">
      <c r="B370" s="25"/>
      <c r="E370" s="26"/>
      <c r="N370" s="42"/>
    </row>
    <row r="371" spans="2:14" s="13" customFormat="1" x14ac:dyDescent="0.35">
      <c r="B371" s="25"/>
      <c r="E371" s="26"/>
      <c r="N371" s="42"/>
    </row>
    <row r="372" spans="2:14" s="13" customFormat="1" x14ac:dyDescent="0.35">
      <c r="B372" s="25"/>
      <c r="E372" s="26"/>
      <c r="N372" s="42"/>
    </row>
    <row r="373" spans="2:14" s="13" customFormat="1" x14ac:dyDescent="0.35">
      <c r="B373" s="25"/>
      <c r="E373" s="26"/>
      <c r="N373" s="42"/>
    </row>
    <row r="374" spans="2:14" s="13" customFormat="1" x14ac:dyDescent="0.35">
      <c r="B374" s="25"/>
      <c r="E374" s="26"/>
      <c r="N374" s="42"/>
    </row>
    <row r="375" spans="2:14" s="13" customFormat="1" x14ac:dyDescent="0.35">
      <c r="B375" s="25"/>
      <c r="E375" s="26"/>
      <c r="N375" s="42"/>
    </row>
    <row r="376" spans="2:14" s="13" customFormat="1" x14ac:dyDescent="0.35">
      <c r="B376" s="25"/>
      <c r="E376" s="26"/>
      <c r="N376" s="42"/>
    </row>
    <row r="377" spans="2:14" s="13" customFormat="1" x14ac:dyDescent="0.35">
      <c r="B377" s="25"/>
      <c r="E377" s="26"/>
      <c r="N377" s="42"/>
    </row>
    <row r="378" spans="2:14" s="13" customFormat="1" x14ac:dyDescent="0.35">
      <c r="B378" s="25"/>
      <c r="E378" s="26"/>
      <c r="N378" s="42"/>
    </row>
    <row r="379" spans="2:14" s="13" customFormat="1" x14ac:dyDescent="0.35">
      <c r="B379" s="25"/>
      <c r="E379" s="26"/>
      <c r="N379" s="42"/>
    </row>
    <row r="380" spans="2:14" s="13" customFormat="1" x14ac:dyDescent="0.35">
      <c r="B380" s="25"/>
      <c r="E380" s="26"/>
      <c r="N380" s="42"/>
    </row>
    <row r="381" spans="2:14" s="13" customFormat="1" x14ac:dyDescent="0.35">
      <c r="B381" s="25"/>
      <c r="E381" s="26"/>
      <c r="N381" s="42"/>
    </row>
    <row r="382" spans="2:14" s="13" customFormat="1" x14ac:dyDescent="0.35">
      <c r="B382" s="25"/>
      <c r="E382" s="26"/>
      <c r="N382" s="42"/>
    </row>
    <row r="383" spans="2:14" s="13" customFormat="1" x14ac:dyDescent="0.35">
      <c r="B383" s="25"/>
      <c r="E383" s="26"/>
      <c r="N383" s="42"/>
    </row>
    <row r="384" spans="2:14" s="13" customFormat="1" x14ac:dyDescent="0.35">
      <c r="B384" s="25"/>
      <c r="E384" s="26"/>
      <c r="N384" s="42"/>
    </row>
    <row r="385" spans="2:14" s="13" customFormat="1" x14ac:dyDescent="0.35">
      <c r="B385" s="25"/>
      <c r="E385" s="26"/>
      <c r="N385" s="42"/>
    </row>
    <row r="386" spans="2:14" s="13" customFormat="1" x14ac:dyDescent="0.35">
      <c r="B386" s="25"/>
      <c r="E386" s="26"/>
      <c r="N386" s="42"/>
    </row>
    <row r="387" spans="2:14" s="13" customFormat="1" x14ac:dyDescent="0.35">
      <c r="B387" s="25"/>
      <c r="E387" s="26"/>
      <c r="N387" s="42"/>
    </row>
    <row r="388" spans="2:14" s="13" customFormat="1" x14ac:dyDescent="0.35">
      <c r="B388" s="25"/>
      <c r="E388" s="26"/>
      <c r="N388" s="42"/>
    </row>
    <row r="389" spans="2:14" s="13" customFormat="1" x14ac:dyDescent="0.35">
      <c r="B389" s="25"/>
      <c r="E389" s="26"/>
      <c r="N389" s="42"/>
    </row>
    <row r="390" spans="2:14" s="13" customFormat="1" x14ac:dyDescent="0.35">
      <c r="B390" s="25"/>
      <c r="E390" s="26"/>
      <c r="N390" s="42"/>
    </row>
    <row r="391" spans="2:14" s="13" customFormat="1" x14ac:dyDescent="0.35">
      <c r="B391" s="25"/>
      <c r="E391" s="26"/>
      <c r="N391" s="42"/>
    </row>
    <row r="392" spans="2:14" s="13" customFormat="1" x14ac:dyDescent="0.35">
      <c r="B392" s="25"/>
      <c r="E392" s="26"/>
      <c r="N392" s="42"/>
    </row>
    <row r="393" spans="2:14" s="13" customFormat="1" x14ac:dyDescent="0.35">
      <c r="B393" s="25"/>
      <c r="E393" s="26"/>
      <c r="N393" s="42"/>
    </row>
    <row r="394" spans="2:14" s="13" customFormat="1" x14ac:dyDescent="0.35">
      <c r="B394" s="25"/>
      <c r="E394" s="26"/>
      <c r="N394" s="42"/>
    </row>
    <row r="395" spans="2:14" s="13" customFormat="1" x14ac:dyDescent="0.35">
      <c r="B395" s="25"/>
      <c r="E395" s="26"/>
      <c r="N395" s="42"/>
    </row>
    <row r="396" spans="2:14" s="13" customFormat="1" x14ac:dyDescent="0.35">
      <c r="B396" s="25"/>
      <c r="E396" s="26"/>
      <c r="N396" s="42"/>
    </row>
    <row r="397" spans="2:14" s="13" customFormat="1" x14ac:dyDescent="0.35">
      <c r="B397" s="25"/>
      <c r="E397" s="26"/>
      <c r="N397" s="42"/>
    </row>
    <row r="398" spans="2:14" s="13" customFormat="1" x14ac:dyDescent="0.35">
      <c r="B398" s="25"/>
      <c r="E398" s="26"/>
      <c r="N398" s="42"/>
    </row>
    <row r="399" spans="2:14" s="13" customFormat="1" x14ac:dyDescent="0.35">
      <c r="B399" s="25"/>
      <c r="E399" s="26"/>
      <c r="N399" s="42"/>
    </row>
    <row r="400" spans="2:14" s="13" customFormat="1" x14ac:dyDescent="0.35">
      <c r="B400" s="25"/>
      <c r="E400" s="26"/>
      <c r="N400" s="42"/>
    </row>
    <row r="401" spans="2:14" s="13" customFormat="1" x14ac:dyDescent="0.35">
      <c r="B401" s="25"/>
      <c r="E401" s="26"/>
      <c r="N401" s="42"/>
    </row>
    <row r="402" spans="2:14" s="13" customFormat="1" x14ac:dyDescent="0.35">
      <c r="B402" s="25"/>
      <c r="E402" s="26"/>
      <c r="N402" s="42"/>
    </row>
    <row r="403" spans="2:14" s="13" customFormat="1" x14ac:dyDescent="0.35">
      <c r="B403" s="25"/>
      <c r="E403" s="26"/>
      <c r="N403" s="42"/>
    </row>
    <row r="404" spans="2:14" s="13" customFormat="1" x14ac:dyDescent="0.35">
      <c r="B404" s="25"/>
      <c r="E404" s="26"/>
      <c r="N404" s="42"/>
    </row>
    <row r="405" spans="2:14" s="13" customFormat="1" x14ac:dyDescent="0.35">
      <c r="B405" s="25"/>
      <c r="E405" s="26"/>
      <c r="N405" s="42"/>
    </row>
    <row r="406" spans="2:14" s="13" customFormat="1" x14ac:dyDescent="0.35">
      <c r="B406" s="25"/>
      <c r="E406" s="26"/>
      <c r="N406" s="42"/>
    </row>
    <row r="407" spans="2:14" s="13" customFormat="1" x14ac:dyDescent="0.35">
      <c r="B407" s="25"/>
      <c r="E407" s="26"/>
      <c r="N407" s="42"/>
    </row>
    <row r="408" spans="2:14" s="13" customFormat="1" x14ac:dyDescent="0.35">
      <c r="B408" s="25"/>
      <c r="E408" s="26"/>
      <c r="N408" s="42"/>
    </row>
    <row r="409" spans="2:14" s="13" customFormat="1" x14ac:dyDescent="0.35">
      <c r="B409" s="25"/>
      <c r="E409" s="26"/>
      <c r="N409" s="42"/>
    </row>
    <row r="410" spans="2:14" s="13" customFormat="1" x14ac:dyDescent="0.35">
      <c r="B410" s="25"/>
      <c r="E410" s="26"/>
      <c r="N410" s="42"/>
    </row>
    <row r="411" spans="2:14" s="13" customFormat="1" x14ac:dyDescent="0.35">
      <c r="B411" s="25"/>
      <c r="E411" s="26"/>
      <c r="N411" s="42"/>
    </row>
    <row r="412" spans="2:14" s="13" customFormat="1" x14ac:dyDescent="0.35">
      <c r="B412" s="25"/>
      <c r="E412" s="26"/>
      <c r="N412" s="42"/>
    </row>
    <row r="413" spans="2:14" s="13" customFormat="1" x14ac:dyDescent="0.35">
      <c r="B413" s="25"/>
      <c r="E413" s="26"/>
      <c r="N413" s="42"/>
    </row>
    <row r="414" spans="2:14" s="13" customFormat="1" x14ac:dyDescent="0.35">
      <c r="B414" s="25"/>
      <c r="E414" s="26"/>
      <c r="N414" s="42"/>
    </row>
    <row r="415" spans="2:14" s="13" customFormat="1" x14ac:dyDescent="0.35">
      <c r="B415" s="25"/>
      <c r="E415" s="26"/>
      <c r="N415" s="42"/>
    </row>
    <row r="416" spans="2:14" s="13" customFormat="1" x14ac:dyDescent="0.35">
      <c r="B416" s="25"/>
      <c r="E416" s="26"/>
      <c r="N416" s="42"/>
    </row>
    <row r="417" spans="2:14" s="13" customFormat="1" x14ac:dyDescent="0.35">
      <c r="B417" s="25"/>
      <c r="E417" s="26"/>
      <c r="N417" s="42"/>
    </row>
    <row r="418" spans="2:14" s="13" customFormat="1" x14ac:dyDescent="0.35">
      <c r="B418" s="25"/>
      <c r="E418" s="26"/>
      <c r="N418" s="42"/>
    </row>
    <row r="419" spans="2:14" s="13" customFormat="1" x14ac:dyDescent="0.35">
      <c r="B419" s="25"/>
      <c r="E419" s="26"/>
      <c r="N419" s="42"/>
    </row>
    <row r="420" spans="2:14" s="13" customFormat="1" x14ac:dyDescent="0.35">
      <c r="B420" s="25"/>
      <c r="E420" s="26"/>
      <c r="N420" s="42"/>
    </row>
    <row r="421" spans="2:14" s="13" customFormat="1" x14ac:dyDescent="0.35">
      <c r="B421" s="25"/>
      <c r="E421" s="26"/>
      <c r="N421" s="42"/>
    </row>
    <row r="422" spans="2:14" s="13" customFormat="1" x14ac:dyDescent="0.35">
      <c r="B422" s="25"/>
      <c r="E422" s="26"/>
      <c r="N422" s="42"/>
    </row>
    <row r="423" spans="2:14" s="13" customFormat="1" x14ac:dyDescent="0.35">
      <c r="B423" s="25"/>
      <c r="E423" s="26"/>
      <c r="N423" s="42"/>
    </row>
    <row r="424" spans="2:14" s="13" customFormat="1" x14ac:dyDescent="0.35">
      <c r="B424" s="25"/>
      <c r="E424" s="26"/>
      <c r="N424" s="42"/>
    </row>
    <row r="425" spans="2:14" s="13" customFormat="1" x14ac:dyDescent="0.35">
      <c r="B425" s="25"/>
      <c r="E425" s="26"/>
      <c r="N425" s="42"/>
    </row>
    <row r="426" spans="2:14" s="13" customFormat="1" x14ac:dyDescent="0.35">
      <c r="B426" s="25"/>
      <c r="E426" s="26"/>
      <c r="N426" s="42"/>
    </row>
    <row r="427" spans="2:14" s="13" customFormat="1" x14ac:dyDescent="0.35">
      <c r="B427" s="25"/>
      <c r="E427" s="26"/>
      <c r="N427" s="42"/>
    </row>
    <row r="428" spans="2:14" s="13" customFormat="1" x14ac:dyDescent="0.35">
      <c r="B428" s="25"/>
      <c r="E428" s="26"/>
      <c r="N428" s="42"/>
    </row>
    <row r="429" spans="2:14" s="13" customFormat="1" x14ac:dyDescent="0.35">
      <c r="B429" s="25"/>
      <c r="E429" s="26"/>
      <c r="N429" s="42"/>
    </row>
    <row r="430" spans="2:14" s="13" customFormat="1" x14ac:dyDescent="0.35">
      <c r="B430" s="25"/>
      <c r="E430" s="26"/>
      <c r="N430" s="42"/>
    </row>
    <row r="431" spans="2:14" s="13" customFormat="1" x14ac:dyDescent="0.35">
      <c r="B431" s="25"/>
      <c r="E431" s="26"/>
      <c r="N431" s="42"/>
    </row>
    <row r="432" spans="2:14" s="13" customFormat="1" x14ac:dyDescent="0.35">
      <c r="B432" s="25"/>
      <c r="E432" s="26"/>
      <c r="N432" s="42"/>
    </row>
    <row r="433" spans="2:14" s="13" customFormat="1" x14ac:dyDescent="0.35">
      <c r="B433" s="25"/>
      <c r="E433" s="26"/>
      <c r="N433" s="42"/>
    </row>
    <row r="434" spans="2:14" s="13" customFormat="1" x14ac:dyDescent="0.35">
      <c r="B434" s="25"/>
      <c r="E434" s="26"/>
      <c r="N434" s="42"/>
    </row>
    <row r="435" spans="2:14" s="13" customFormat="1" x14ac:dyDescent="0.35">
      <c r="B435" s="25"/>
      <c r="E435" s="26"/>
      <c r="N435" s="42"/>
    </row>
    <row r="436" spans="2:14" s="13" customFormat="1" x14ac:dyDescent="0.35">
      <c r="B436" s="25"/>
      <c r="E436" s="26"/>
      <c r="N436" s="42"/>
    </row>
    <row r="437" spans="2:14" s="13" customFormat="1" x14ac:dyDescent="0.35">
      <c r="B437" s="25"/>
      <c r="E437" s="26"/>
      <c r="N437" s="42"/>
    </row>
    <row r="438" spans="2:14" s="13" customFormat="1" x14ac:dyDescent="0.35">
      <c r="B438" s="25"/>
      <c r="E438" s="26"/>
      <c r="N438" s="42"/>
    </row>
    <row r="439" spans="2:14" s="13" customFormat="1" x14ac:dyDescent="0.35">
      <c r="B439" s="25"/>
      <c r="E439" s="26"/>
      <c r="N439" s="42"/>
    </row>
    <row r="440" spans="2:14" s="13" customFormat="1" x14ac:dyDescent="0.35">
      <c r="B440" s="25"/>
      <c r="E440" s="26"/>
      <c r="N440" s="42"/>
    </row>
    <row r="441" spans="2:14" s="13" customFormat="1" x14ac:dyDescent="0.35">
      <c r="B441" s="25"/>
      <c r="E441" s="26"/>
      <c r="N441" s="42"/>
    </row>
    <row r="442" spans="2:14" s="13" customFormat="1" x14ac:dyDescent="0.35">
      <c r="B442" s="25"/>
      <c r="E442" s="26"/>
      <c r="N442" s="42"/>
    </row>
    <row r="443" spans="2:14" s="13" customFormat="1" x14ac:dyDescent="0.35">
      <c r="B443" s="25"/>
      <c r="E443" s="26"/>
      <c r="N443" s="42"/>
    </row>
    <row r="444" spans="2:14" s="13" customFormat="1" x14ac:dyDescent="0.35">
      <c r="B444" s="25"/>
      <c r="E444" s="26"/>
      <c r="N444" s="42"/>
    </row>
    <row r="445" spans="2:14" s="13" customFormat="1" x14ac:dyDescent="0.35">
      <c r="B445" s="25"/>
      <c r="E445" s="26"/>
      <c r="N445" s="42"/>
    </row>
    <row r="446" spans="2:14" s="13" customFormat="1" x14ac:dyDescent="0.35">
      <c r="B446" s="25"/>
      <c r="E446" s="26"/>
      <c r="N446" s="42"/>
    </row>
    <row r="447" spans="2:14" s="13" customFormat="1" x14ac:dyDescent="0.35">
      <c r="B447" s="25"/>
      <c r="E447" s="26"/>
      <c r="N447" s="42"/>
    </row>
    <row r="448" spans="2:14" s="13" customFormat="1" x14ac:dyDescent="0.35">
      <c r="B448" s="25"/>
      <c r="E448" s="26"/>
      <c r="N448" s="42"/>
    </row>
    <row r="449" spans="2:14" s="13" customFormat="1" x14ac:dyDescent="0.35">
      <c r="B449" s="25"/>
      <c r="E449" s="26"/>
      <c r="N449" s="42"/>
    </row>
    <row r="450" spans="2:14" s="13" customFormat="1" x14ac:dyDescent="0.35">
      <c r="B450" s="25"/>
      <c r="E450" s="26"/>
      <c r="N450" s="42"/>
    </row>
    <row r="451" spans="2:14" s="13" customFormat="1" x14ac:dyDescent="0.35">
      <c r="B451" s="25"/>
      <c r="E451" s="26"/>
      <c r="N451" s="42"/>
    </row>
    <row r="452" spans="2:14" s="13" customFormat="1" x14ac:dyDescent="0.35">
      <c r="B452" s="25"/>
      <c r="E452" s="26"/>
      <c r="N452" s="42"/>
    </row>
    <row r="453" spans="2:14" s="13" customFormat="1" x14ac:dyDescent="0.35">
      <c r="B453" s="25"/>
      <c r="E453" s="26"/>
      <c r="N453" s="42"/>
    </row>
    <row r="454" spans="2:14" s="13" customFormat="1" x14ac:dyDescent="0.35">
      <c r="B454" s="25"/>
      <c r="E454" s="26"/>
      <c r="N454" s="42"/>
    </row>
    <row r="455" spans="2:14" s="13" customFormat="1" x14ac:dyDescent="0.35">
      <c r="B455" s="25"/>
      <c r="E455" s="26"/>
      <c r="N455" s="42"/>
    </row>
    <row r="456" spans="2:14" s="13" customFormat="1" x14ac:dyDescent="0.35">
      <c r="B456" s="25"/>
      <c r="E456" s="26"/>
      <c r="N456" s="42"/>
    </row>
    <row r="457" spans="2:14" s="13" customFormat="1" x14ac:dyDescent="0.35">
      <c r="B457" s="25"/>
      <c r="E457" s="26"/>
      <c r="N457" s="42"/>
    </row>
    <row r="458" spans="2:14" s="13" customFormat="1" x14ac:dyDescent="0.35">
      <c r="B458" s="25"/>
      <c r="E458" s="26"/>
      <c r="N458" s="42"/>
    </row>
    <row r="459" spans="2:14" s="13" customFormat="1" x14ac:dyDescent="0.35">
      <c r="B459" s="25"/>
      <c r="E459" s="26"/>
      <c r="N459" s="42"/>
    </row>
    <row r="460" spans="2:14" s="13" customFormat="1" x14ac:dyDescent="0.35">
      <c r="B460" s="25"/>
      <c r="E460" s="26"/>
      <c r="N460" s="42"/>
    </row>
    <row r="461" spans="2:14" s="13" customFormat="1" x14ac:dyDescent="0.35">
      <c r="B461" s="25"/>
      <c r="E461" s="26"/>
      <c r="N461" s="42"/>
    </row>
    <row r="462" spans="2:14" s="13" customFormat="1" x14ac:dyDescent="0.35">
      <c r="B462" s="25"/>
      <c r="E462" s="26"/>
      <c r="N462" s="42"/>
    </row>
    <row r="463" spans="2:14" s="13" customFormat="1" x14ac:dyDescent="0.35">
      <c r="B463" s="25"/>
      <c r="E463" s="26"/>
      <c r="N463" s="42"/>
    </row>
    <row r="464" spans="2:14" s="13" customFormat="1" x14ac:dyDescent="0.35">
      <c r="B464" s="25"/>
      <c r="E464" s="26"/>
      <c r="N464" s="42"/>
    </row>
    <row r="465" spans="2:14" s="13" customFormat="1" x14ac:dyDescent="0.35">
      <c r="B465" s="25"/>
      <c r="E465" s="26"/>
      <c r="N465" s="42"/>
    </row>
    <row r="466" spans="2:14" s="13" customFormat="1" x14ac:dyDescent="0.35">
      <c r="B466" s="25"/>
      <c r="E466" s="26"/>
      <c r="N466" s="42"/>
    </row>
    <row r="467" spans="2:14" s="13" customFormat="1" x14ac:dyDescent="0.35">
      <c r="B467" s="25"/>
      <c r="E467" s="26"/>
      <c r="N467" s="42"/>
    </row>
    <row r="468" spans="2:14" s="13" customFormat="1" x14ac:dyDescent="0.35">
      <c r="B468" s="25"/>
      <c r="E468" s="26"/>
      <c r="N468" s="42"/>
    </row>
    <row r="469" spans="2:14" s="13" customFormat="1" x14ac:dyDescent="0.35">
      <c r="B469" s="25"/>
      <c r="E469" s="26"/>
      <c r="N469" s="42"/>
    </row>
    <row r="470" spans="2:14" s="13" customFormat="1" x14ac:dyDescent="0.35">
      <c r="B470" s="25"/>
      <c r="E470" s="26"/>
      <c r="N470" s="42"/>
    </row>
    <row r="471" spans="2:14" s="13" customFormat="1" x14ac:dyDescent="0.35">
      <c r="B471" s="25"/>
      <c r="E471" s="26"/>
      <c r="N471" s="42"/>
    </row>
    <row r="472" spans="2:14" s="13" customFormat="1" x14ac:dyDescent="0.35">
      <c r="B472" s="25"/>
      <c r="E472" s="26"/>
      <c r="N472" s="42"/>
    </row>
    <row r="473" spans="2:14" s="13" customFormat="1" x14ac:dyDescent="0.35">
      <c r="B473" s="25"/>
      <c r="E473" s="26"/>
      <c r="N473" s="42"/>
    </row>
    <row r="474" spans="2:14" s="13" customFormat="1" x14ac:dyDescent="0.35">
      <c r="B474" s="25"/>
      <c r="E474" s="26"/>
      <c r="N474" s="42"/>
    </row>
    <row r="475" spans="2:14" s="13" customFormat="1" x14ac:dyDescent="0.35">
      <c r="B475" s="25"/>
      <c r="E475" s="26"/>
      <c r="N475" s="42"/>
    </row>
    <row r="476" spans="2:14" s="13" customFormat="1" x14ac:dyDescent="0.35">
      <c r="B476" s="25"/>
      <c r="E476" s="26"/>
      <c r="N476" s="42"/>
    </row>
    <row r="477" spans="2:14" s="13" customFormat="1" x14ac:dyDescent="0.35">
      <c r="B477" s="25"/>
      <c r="E477" s="26"/>
      <c r="N477" s="42"/>
    </row>
    <row r="478" spans="2:14" s="13" customFormat="1" x14ac:dyDescent="0.35">
      <c r="B478" s="25"/>
      <c r="E478" s="26"/>
      <c r="N478" s="42"/>
    </row>
    <row r="479" spans="2:14" s="13" customFormat="1" x14ac:dyDescent="0.35">
      <c r="B479" s="25"/>
      <c r="E479" s="26"/>
      <c r="N479" s="42"/>
    </row>
    <row r="480" spans="2:14" s="13" customFormat="1" x14ac:dyDescent="0.35">
      <c r="B480" s="25"/>
      <c r="E480" s="26"/>
      <c r="N480" s="42"/>
    </row>
    <row r="481" spans="2:14" s="13" customFormat="1" x14ac:dyDescent="0.35">
      <c r="B481" s="25"/>
      <c r="E481" s="26"/>
      <c r="N481" s="42"/>
    </row>
    <row r="482" spans="2:14" s="13" customFormat="1" x14ac:dyDescent="0.35">
      <c r="B482" s="25"/>
      <c r="E482" s="26"/>
      <c r="N482" s="42"/>
    </row>
    <row r="483" spans="2:14" s="13" customFormat="1" x14ac:dyDescent="0.35">
      <c r="B483" s="25"/>
      <c r="E483" s="26"/>
      <c r="N483" s="42"/>
    </row>
    <row r="484" spans="2:14" s="13" customFormat="1" x14ac:dyDescent="0.35">
      <c r="B484" s="25"/>
      <c r="E484" s="26"/>
      <c r="N484" s="42"/>
    </row>
    <row r="485" spans="2:14" s="13" customFormat="1" x14ac:dyDescent="0.35">
      <c r="B485" s="25"/>
      <c r="E485" s="26"/>
      <c r="N485" s="42"/>
    </row>
    <row r="486" spans="2:14" s="13" customFormat="1" x14ac:dyDescent="0.35">
      <c r="B486" s="25"/>
      <c r="E486" s="26"/>
      <c r="N486" s="42"/>
    </row>
    <row r="487" spans="2:14" s="13" customFormat="1" x14ac:dyDescent="0.35">
      <c r="B487" s="25"/>
      <c r="E487" s="26"/>
      <c r="N487" s="42"/>
    </row>
    <row r="488" spans="2:14" s="13" customFormat="1" x14ac:dyDescent="0.35">
      <c r="B488" s="25"/>
      <c r="E488" s="26"/>
      <c r="N488" s="42"/>
    </row>
    <row r="489" spans="2:14" s="13" customFormat="1" x14ac:dyDescent="0.35">
      <c r="B489" s="25"/>
      <c r="E489" s="26"/>
      <c r="N489" s="42"/>
    </row>
    <row r="490" spans="2:14" s="13" customFormat="1" x14ac:dyDescent="0.35">
      <c r="B490" s="25"/>
      <c r="E490" s="26"/>
      <c r="N490" s="42"/>
    </row>
    <row r="491" spans="2:14" s="13" customFormat="1" x14ac:dyDescent="0.35">
      <c r="B491" s="25"/>
      <c r="E491" s="26"/>
      <c r="N491" s="42"/>
    </row>
    <row r="492" spans="2:14" s="13" customFormat="1" x14ac:dyDescent="0.35">
      <c r="B492" s="25"/>
      <c r="E492" s="26"/>
      <c r="N492" s="42"/>
    </row>
    <row r="493" spans="2:14" s="13" customFormat="1" x14ac:dyDescent="0.35">
      <c r="B493" s="25"/>
      <c r="E493" s="26"/>
      <c r="N493" s="42"/>
    </row>
    <row r="494" spans="2:14" s="13" customFormat="1" x14ac:dyDescent="0.35">
      <c r="B494" s="25"/>
      <c r="E494" s="26"/>
      <c r="N494" s="42"/>
    </row>
    <row r="495" spans="2:14" s="13" customFormat="1" x14ac:dyDescent="0.35">
      <c r="B495" s="25"/>
      <c r="E495" s="26"/>
      <c r="N495" s="42"/>
    </row>
    <row r="496" spans="2:14" s="13" customFormat="1" x14ac:dyDescent="0.35">
      <c r="B496" s="25"/>
      <c r="E496" s="26"/>
      <c r="N496" s="42"/>
    </row>
    <row r="497" spans="2:14" s="13" customFormat="1" x14ac:dyDescent="0.35">
      <c r="B497" s="25"/>
      <c r="E497" s="26"/>
      <c r="N497" s="42"/>
    </row>
    <row r="498" spans="2:14" s="13" customFormat="1" x14ac:dyDescent="0.35">
      <c r="B498" s="25"/>
      <c r="E498" s="26"/>
      <c r="N498" s="42"/>
    </row>
    <row r="499" spans="2:14" s="13" customFormat="1" x14ac:dyDescent="0.35">
      <c r="B499" s="25"/>
      <c r="E499" s="26"/>
      <c r="N499" s="42"/>
    </row>
    <row r="500" spans="2:14" s="13" customFormat="1" x14ac:dyDescent="0.35">
      <c r="B500" s="25"/>
      <c r="E500" s="26"/>
      <c r="N500" s="42"/>
    </row>
    <row r="501" spans="2:14" s="13" customFormat="1" x14ac:dyDescent="0.35">
      <c r="B501" s="25"/>
      <c r="E501" s="26"/>
      <c r="N501" s="42"/>
    </row>
    <row r="502" spans="2:14" s="13" customFormat="1" x14ac:dyDescent="0.35">
      <c r="B502" s="25"/>
      <c r="E502" s="26"/>
      <c r="N502" s="42"/>
    </row>
    <row r="503" spans="2:14" s="13" customFormat="1" x14ac:dyDescent="0.35">
      <c r="B503" s="25"/>
      <c r="E503" s="26"/>
      <c r="N503" s="42"/>
    </row>
    <row r="504" spans="2:14" s="13" customFormat="1" x14ac:dyDescent="0.35">
      <c r="B504" s="25"/>
      <c r="E504" s="26"/>
      <c r="N504" s="42"/>
    </row>
    <row r="505" spans="2:14" s="13" customFormat="1" x14ac:dyDescent="0.35">
      <c r="B505" s="25"/>
      <c r="E505" s="26"/>
      <c r="N505" s="42"/>
    </row>
    <row r="506" spans="2:14" s="13" customFormat="1" x14ac:dyDescent="0.35">
      <c r="B506" s="25"/>
      <c r="E506" s="26"/>
      <c r="N506" s="42"/>
    </row>
    <row r="507" spans="2:14" s="13" customFormat="1" x14ac:dyDescent="0.35">
      <c r="B507" s="25"/>
      <c r="E507" s="26"/>
      <c r="N507" s="42"/>
    </row>
    <row r="508" spans="2:14" s="13" customFormat="1" x14ac:dyDescent="0.35">
      <c r="B508" s="25"/>
      <c r="E508" s="26"/>
      <c r="N508" s="42"/>
    </row>
    <row r="509" spans="2:14" s="13" customFormat="1" x14ac:dyDescent="0.35">
      <c r="B509" s="25"/>
      <c r="E509" s="26"/>
      <c r="N509" s="42"/>
    </row>
    <row r="510" spans="2:14" s="13" customFormat="1" x14ac:dyDescent="0.35">
      <c r="B510" s="25"/>
      <c r="E510" s="26"/>
      <c r="N510" s="42"/>
    </row>
    <row r="511" spans="2:14" s="13" customFormat="1" x14ac:dyDescent="0.35">
      <c r="B511" s="25"/>
      <c r="E511" s="26"/>
      <c r="N511" s="42"/>
    </row>
    <row r="512" spans="2:14" s="13" customFormat="1" x14ac:dyDescent="0.35">
      <c r="B512" s="25"/>
      <c r="E512" s="26"/>
      <c r="N512" s="42"/>
    </row>
    <row r="513" spans="2:14" s="13" customFormat="1" x14ac:dyDescent="0.35">
      <c r="B513" s="25"/>
      <c r="E513" s="26"/>
      <c r="N513" s="42"/>
    </row>
    <row r="514" spans="2:14" s="13" customFormat="1" x14ac:dyDescent="0.35">
      <c r="B514" s="25"/>
      <c r="E514" s="26"/>
      <c r="N514" s="42"/>
    </row>
    <row r="515" spans="2:14" s="13" customFormat="1" x14ac:dyDescent="0.35">
      <c r="B515" s="25"/>
      <c r="E515" s="26"/>
      <c r="N515" s="42"/>
    </row>
    <row r="516" spans="2:14" s="13" customFormat="1" x14ac:dyDescent="0.35">
      <c r="B516" s="25"/>
      <c r="E516" s="26"/>
      <c r="N516" s="42"/>
    </row>
    <row r="517" spans="2:14" s="13" customFormat="1" x14ac:dyDescent="0.35">
      <c r="B517" s="25"/>
      <c r="E517" s="26"/>
      <c r="N517" s="42"/>
    </row>
    <row r="518" spans="2:14" s="13" customFormat="1" x14ac:dyDescent="0.35">
      <c r="B518" s="25"/>
      <c r="E518" s="26"/>
      <c r="N518" s="42"/>
    </row>
    <row r="519" spans="2:14" s="13" customFormat="1" x14ac:dyDescent="0.35">
      <c r="B519" s="25"/>
      <c r="E519" s="26"/>
      <c r="N519" s="42"/>
    </row>
    <row r="520" spans="2:14" s="13" customFormat="1" x14ac:dyDescent="0.35">
      <c r="B520" s="25"/>
      <c r="E520" s="26"/>
      <c r="N520" s="42"/>
    </row>
    <row r="521" spans="2:14" s="13" customFormat="1" x14ac:dyDescent="0.35">
      <c r="B521" s="25"/>
      <c r="E521" s="26"/>
      <c r="N521" s="42"/>
    </row>
    <row r="522" spans="2:14" s="13" customFormat="1" x14ac:dyDescent="0.35">
      <c r="B522" s="25"/>
      <c r="E522" s="26"/>
      <c r="N522" s="42"/>
    </row>
    <row r="523" spans="2:14" s="13" customFormat="1" x14ac:dyDescent="0.35">
      <c r="B523" s="25"/>
      <c r="E523" s="26"/>
      <c r="N523" s="42"/>
    </row>
    <row r="524" spans="2:14" s="13" customFormat="1" x14ac:dyDescent="0.35">
      <c r="B524" s="25"/>
      <c r="E524" s="26"/>
      <c r="N524" s="42"/>
    </row>
    <row r="525" spans="2:14" s="13" customFormat="1" x14ac:dyDescent="0.35">
      <c r="B525" s="25"/>
      <c r="E525" s="26"/>
      <c r="N525" s="42"/>
    </row>
    <row r="526" spans="2:14" s="13" customFormat="1" x14ac:dyDescent="0.35">
      <c r="B526" s="25"/>
      <c r="E526" s="26"/>
      <c r="N526" s="42"/>
    </row>
    <row r="527" spans="2:14" s="13" customFormat="1" x14ac:dyDescent="0.35">
      <c r="B527" s="25"/>
      <c r="E527" s="26"/>
      <c r="N527" s="42"/>
    </row>
    <row r="528" spans="2:14" s="13" customFormat="1" x14ac:dyDescent="0.35">
      <c r="B528" s="25"/>
      <c r="E528" s="26"/>
      <c r="N528" s="42"/>
    </row>
    <row r="529" spans="2:14" s="13" customFormat="1" x14ac:dyDescent="0.35">
      <c r="B529" s="25"/>
      <c r="E529" s="26"/>
      <c r="N529" s="42"/>
    </row>
    <row r="530" spans="2:14" s="13" customFormat="1" x14ac:dyDescent="0.35">
      <c r="B530" s="25"/>
      <c r="E530" s="26"/>
      <c r="N530" s="42"/>
    </row>
    <row r="531" spans="2:14" s="13" customFormat="1" x14ac:dyDescent="0.35">
      <c r="B531" s="25"/>
      <c r="E531" s="26"/>
      <c r="N531" s="42"/>
    </row>
    <row r="532" spans="2:14" s="13" customFormat="1" x14ac:dyDescent="0.35">
      <c r="B532" s="25"/>
      <c r="E532" s="26"/>
      <c r="N532" s="42"/>
    </row>
    <row r="533" spans="2:14" s="13" customFormat="1" x14ac:dyDescent="0.35">
      <c r="B533" s="25"/>
      <c r="E533" s="26"/>
      <c r="N533" s="42"/>
    </row>
    <row r="534" spans="2:14" s="13" customFormat="1" x14ac:dyDescent="0.35">
      <c r="B534" s="25"/>
      <c r="E534" s="26"/>
      <c r="N534" s="42"/>
    </row>
    <row r="535" spans="2:14" s="13" customFormat="1" x14ac:dyDescent="0.35">
      <c r="B535" s="25"/>
      <c r="E535" s="26"/>
      <c r="N535" s="42"/>
    </row>
    <row r="536" spans="2:14" s="13" customFormat="1" x14ac:dyDescent="0.35">
      <c r="B536" s="25"/>
      <c r="E536" s="26"/>
      <c r="N536" s="42"/>
    </row>
    <row r="537" spans="2:14" s="13" customFormat="1" x14ac:dyDescent="0.35">
      <c r="B537" s="25"/>
      <c r="E537" s="26"/>
      <c r="N537" s="42"/>
    </row>
    <row r="538" spans="2:14" s="13" customFormat="1" x14ac:dyDescent="0.35">
      <c r="B538" s="25"/>
      <c r="E538" s="26"/>
      <c r="N538" s="42"/>
    </row>
    <row r="539" spans="2:14" s="13" customFormat="1" x14ac:dyDescent="0.35">
      <c r="B539" s="25"/>
      <c r="E539" s="26"/>
      <c r="N539" s="42"/>
    </row>
    <row r="540" spans="2:14" s="13" customFormat="1" x14ac:dyDescent="0.35">
      <c r="B540" s="25"/>
      <c r="E540" s="26"/>
      <c r="N540" s="42"/>
    </row>
    <row r="541" spans="2:14" s="13" customFormat="1" x14ac:dyDescent="0.35">
      <c r="B541" s="25"/>
      <c r="E541" s="26"/>
      <c r="N541" s="42"/>
    </row>
    <row r="542" spans="2:14" s="13" customFormat="1" x14ac:dyDescent="0.35">
      <c r="B542" s="25"/>
      <c r="E542" s="26"/>
      <c r="N542" s="42"/>
    </row>
    <row r="543" spans="2:14" s="13" customFormat="1" x14ac:dyDescent="0.35">
      <c r="B543" s="25"/>
      <c r="E543" s="26"/>
      <c r="N543" s="42"/>
    </row>
    <row r="544" spans="2:14" s="13" customFormat="1" x14ac:dyDescent="0.35">
      <c r="B544" s="25"/>
      <c r="E544" s="26"/>
      <c r="N544" s="42"/>
    </row>
    <row r="545" spans="2:14" s="13" customFormat="1" x14ac:dyDescent="0.35">
      <c r="B545" s="25"/>
      <c r="E545" s="26"/>
      <c r="N545" s="42"/>
    </row>
    <row r="546" spans="2:14" s="13" customFormat="1" x14ac:dyDescent="0.35">
      <c r="B546" s="25"/>
      <c r="E546" s="26"/>
      <c r="N546" s="42"/>
    </row>
    <row r="547" spans="2:14" s="13" customFormat="1" x14ac:dyDescent="0.35">
      <c r="B547" s="25"/>
      <c r="E547" s="26"/>
      <c r="N547" s="42"/>
    </row>
    <row r="548" spans="2:14" s="13" customFormat="1" x14ac:dyDescent="0.35">
      <c r="B548" s="25"/>
      <c r="E548" s="26"/>
      <c r="N548" s="42"/>
    </row>
    <row r="549" spans="2:14" s="13" customFormat="1" x14ac:dyDescent="0.35">
      <c r="B549" s="25"/>
      <c r="E549" s="26"/>
      <c r="N549" s="42"/>
    </row>
    <row r="550" spans="2:14" s="13" customFormat="1" x14ac:dyDescent="0.35">
      <c r="B550" s="25"/>
      <c r="E550" s="26"/>
      <c r="N550" s="42"/>
    </row>
    <row r="551" spans="2:14" s="13" customFormat="1" x14ac:dyDescent="0.35">
      <c r="B551" s="25"/>
      <c r="E551" s="26"/>
      <c r="N551" s="42"/>
    </row>
    <row r="552" spans="2:14" s="13" customFormat="1" x14ac:dyDescent="0.35">
      <c r="B552" s="25"/>
      <c r="E552" s="26"/>
      <c r="N552" s="42"/>
    </row>
    <row r="553" spans="2:14" s="13" customFormat="1" x14ac:dyDescent="0.35">
      <c r="B553" s="25"/>
      <c r="E553" s="26"/>
      <c r="N553" s="42"/>
    </row>
    <row r="554" spans="2:14" s="13" customFormat="1" x14ac:dyDescent="0.35">
      <c r="B554" s="25"/>
      <c r="E554" s="26"/>
      <c r="N554" s="42"/>
    </row>
    <row r="555" spans="2:14" s="13" customFormat="1" x14ac:dyDescent="0.35">
      <c r="B555" s="25"/>
      <c r="E555" s="26"/>
      <c r="N555" s="42"/>
    </row>
    <row r="556" spans="2:14" s="13" customFormat="1" x14ac:dyDescent="0.35">
      <c r="B556" s="25"/>
      <c r="E556" s="26"/>
      <c r="N556" s="42"/>
    </row>
    <row r="557" spans="2:14" s="13" customFormat="1" x14ac:dyDescent="0.35">
      <c r="B557" s="25"/>
      <c r="E557" s="26"/>
      <c r="N557" s="42"/>
    </row>
    <row r="558" spans="2:14" s="13" customFormat="1" x14ac:dyDescent="0.35">
      <c r="B558" s="25"/>
      <c r="E558" s="26"/>
      <c r="N558" s="42"/>
    </row>
    <row r="559" spans="2:14" s="13" customFormat="1" x14ac:dyDescent="0.35">
      <c r="B559" s="25"/>
      <c r="E559" s="26"/>
      <c r="N559" s="42"/>
    </row>
    <row r="560" spans="2:14" s="13" customFormat="1" x14ac:dyDescent="0.35">
      <c r="B560" s="25"/>
      <c r="E560" s="26"/>
      <c r="N560" s="42"/>
    </row>
    <row r="561" spans="2:14" s="13" customFormat="1" x14ac:dyDescent="0.35">
      <c r="B561" s="25"/>
      <c r="E561" s="26"/>
      <c r="N561" s="42"/>
    </row>
    <row r="562" spans="2:14" s="13" customFormat="1" x14ac:dyDescent="0.35">
      <c r="B562" s="25"/>
      <c r="E562" s="26"/>
      <c r="N562" s="42"/>
    </row>
    <row r="563" spans="2:14" s="13" customFormat="1" x14ac:dyDescent="0.35">
      <c r="B563" s="25"/>
      <c r="E563" s="26"/>
      <c r="N563" s="42"/>
    </row>
    <row r="564" spans="2:14" s="13" customFormat="1" x14ac:dyDescent="0.35">
      <c r="B564" s="25"/>
      <c r="E564" s="26"/>
      <c r="N564" s="42"/>
    </row>
    <row r="565" spans="2:14" s="13" customFormat="1" x14ac:dyDescent="0.35">
      <c r="B565" s="25"/>
      <c r="E565" s="26"/>
      <c r="N565" s="42"/>
    </row>
    <row r="566" spans="2:14" s="13" customFormat="1" x14ac:dyDescent="0.35">
      <c r="B566" s="25"/>
      <c r="E566" s="26"/>
      <c r="N566" s="42"/>
    </row>
    <row r="567" spans="2:14" s="13" customFormat="1" x14ac:dyDescent="0.35">
      <c r="B567" s="25"/>
      <c r="E567" s="26"/>
      <c r="N567" s="42"/>
    </row>
    <row r="568" spans="2:14" s="13" customFormat="1" x14ac:dyDescent="0.35">
      <c r="B568" s="25"/>
      <c r="E568" s="26"/>
      <c r="N568" s="42"/>
    </row>
    <row r="569" spans="2:14" s="13" customFormat="1" x14ac:dyDescent="0.35">
      <c r="B569" s="25"/>
      <c r="E569" s="26"/>
      <c r="N569" s="42"/>
    </row>
    <row r="570" spans="2:14" s="13" customFormat="1" x14ac:dyDescent="0.35">
      <c r="B570" s="25"/>
      <c r="E570" s="26"/>
      <c r="N570" s="42"/>
    </row>
    <row r="571" spans="2:14" s="13" customFormat="1" x14ac:dyDescent="0.35">
      <c r="B571" s="25"/>
      <c r="E571" s="26"/>
      <c r="N571" s="42"/>
    </row>
    <row r="572" spans="2:14" s="13" customFormat="1" x14ac:dyDescent="0.35">
      <c r="B572" s="25"/>
      <c r="E572" s="26"/>
      <c r="N572" s="42"/>
    </row>
    <row r="573" spans="2:14" s="13" customFormat="1" x14ac:dyDescent="0.35">
      <c r="B573" s="25"/>
      <c r="E573" s="26"/>
      <c r="N573" s="42"/>
    </row>
    <row r="574" spans="2:14" s="13" customFormat="1" x14ac:dyDescent="0.35">
      <c r="B574" s="25"/>
      <c r="E574" s="26"/>
      <c r="N574" s="42"/>
    </row>
    <row r="575" spans="2:14" s="13" customFormat="1" x14ac:dyDescent="0.35">
      <c r="B575" s="25"/>
      <c r="E575" s="26"/>
      <c r="N575" s="42"/>
    </row>
    <row r="576" spans="2:14" s="13" customFormat="1" x14ac:dyDescent="0.35">
      <c r="B576" s="25"/>
      <c r="E576" s="26"/>
      <c r="N576" s="42"/>
    </row>
    <row r="577" spans="2:14" s="13" customFormat="1" x14ac:dyDescent="0.35">
      <c r="B577" s="25"/>
      <c r="E577" s="26"/>
      <c r="N577" s="42"/>
    </row>
    <row r="578" spans="2:14" s="13" customFormat="1" x14ac:dyDescent="0.35">
      <c r="B578" s="25"/>
      <c r="E578" s="26"/>
      <c r="N578" s="42"/>
    </row>
    <row r="579" spans="2:14" s="13" customFormat="1" x14ac:dyDescent="0.35">
      <c r="B579" s="25"/>
      <c r="E579" s="26"/>
      <c r="N579" s="42"/>
    </row>
    <row r="580" spans="2:14" s="13" customFormat="1" x14ac:dyDescent="0.35">
      <c r="B580" s="25"/>
      <c r="E580" s="26"/>
      <c r="N580" s="42"/>
    </row>
    <row r="581" spans="2:14" s="13" customFormat="1" x14ac:dyDescent="0.35">
      <c r="B581" s="25"/>
      <c r="E581" s="26"/>
      <c r="N581" s="42"/>
    </row>
    <row r="582" spans="2:14" s="13" customFormat="1" x14ac:dyDescent="0.35">
      <c r="B582" s="25"/>
      <c r="E582" s="26"/>
      <c r="N582" s="42"/>
    </row>
    <row r="583" spans="2:14" s="13" customFormat="1" x14ac:dyDescent="0.35">
      <c r="B583" s="25"/>
      <c r="E583" s="26"/>
      <c r="N583" s="42"/>
    </row>
    <row r="584" spans="2:14" s="13" customFormat="1" x14ac:dyDescent="0.35">
      <c r="B584" s="25"/>
      <c r="E584" s="26"/>
      <c r="N584" s="42"/>
    </row>
    <row r="585" spans="2:14" s="13" customFormat="1" x14ac:dyDescent="0.35">
      <c r="B585" s="25"/>
      <c r="E585" s="26"/>
      <c r="N585" s="42"/>
    </row>
    <row r="586" spans="2:14" s="13" customFormat="1" x14ac:dyDescent="0.35">
      <c r="B586" s="25"/>
      <c r="E586" s="26"/>
      <c r="N586" s="42"/>
    </row>
    <row r="587" spans="2:14" s="13" customFormat="1" x14ac:dyDescent="0.35">
      <c r="B587" s="25"/>
      <c r="E587" s="26"/>
      <c r="N587" s="42"/>
    </row>
    <row r="588" spans="2:14" s="13" customFormat="1" x14ac:dyDescent="0.35">
      <c r="B588" s="25"/>
      <c r="E588" s="26"/>
      <c r="N588" s="42"/>
    </row>
    <row r="589" spans="2:14" s="13" customFormat="1" x14ac:dyDescent="0.35">
      <c r="B589" s="25"/>
      <c r="E589" s="26"/>
      <c r="N589" s="42"/>
    </row>
    <row r="590" spans="2:14" s="13" customFormat="1" x14ac:dyDescent="0.35">
      <c r="B590" s="25"/>
      <c r="E590" s="26"/>
      <c r="N590" s="42"/>
    </row>
    <row r="591" spans="2:14" s="13" customFormat="1" x14ac:dyDescent="0.35">
      <c r="B591" s="25"/>
      <c r="E591" s="26"/>
      <c r="N591" s="42"/>
    </row>
    <row r="592" spans="2:14" s="13" customFormat="1" x14ac:dyDescent="0.35">
      <c r="B592" s="25"/>
      <c r="E592" s="26"/>
      <c r="N592" s="42"/>
    </row>
    <row r="593" spans="2:14" s="13" customFormat="1" x14ac:dyDescent="0.35">
      <c r="B593" s="25"/>
      <c r="E593" s="26"/>
      <c r="N593" s="42"/>
    </row>
    <row r="594" spans="2:14" s="13" customFormat="1" x14ac:dyDescent="0.35">
      <c r="B594" s="25"/>
      <c r="E594" s="26"/>
      <c r="N594" s="42"/>
    </row>
    <row r="595" spans="2:14" s="13" customFormat="1" x14ac:dyDescent="0.35">
      <c r="B595" s="25"/>
      <c r="E595" s="26"/>
      <c r="N595" s="42"/>
    </row>
    <row r="596" spans="2:14" s="13" customFormat="1" x14ac:dyDescent="0.35">
      <c r="B596" s="25"/>
      <c r="E596" s="26"/>
      <c r="N596" s="42"/>
    </row>
    <row r="597" spans="2:14" s="13" customFormat="1" x14ac:dyDescent="0.35">
      <c r="B597" s="25"/>
      <c r="E597" s="26"/>
      <c r="N597" s="42"/>
    </row>
    <row r="598" spans="2:14" s="13" customFormat="1" x14ac:dyDescent="0.35">
      <c r="B598" s="25"/>
      <c r="E598" s="26"/>
      <c r="N598" s="42"/>
    </row>
    <row r="599" spans="2:14" s="13" customFormat="1" x14ac:dyDescent="0.35">
      <c r="B599" s="25"/>
      <c r="E599" s="26"/>
      <c r="N599" s="42"/>
    </row>
    <row r="600" spans="2:14" s="13" customFormat="1" x14ac:dyDescent="0.35">
      <c r="B600" s="25"/>
      <c r="E600" s="26"/>
      <c r="N600" s="42"/>
    </row>
    <row r="601" spans="2:14" s="13" customFormat="1" x14ac:dyDescent="0.35">
      <c r="B601" s="25"/>
      <c r="E601" s="26"/>
      <c r="N601" s="42"/>
    </row>
    <row r="602" spans="2:14" s="13" customFormat="1" x14ac:dyDescent="0.35">
      <c r="B602" s="25"/>
      <c r="E602" s="26"/>
      <c r="N602" s="42"/>
    </row>
    <row r="603" spans="2:14" s="13" customFormat="1" x14ac:dyDescent="0.35">
      <c r="B603" s="25"/>
      <c r="E603" s="26"/>
      <c r="N603" s="42"/>
    </row>
    <row r="604" spans="2:14" s="13" customFormat="1" x14ac:dyDescent="0.35">
      <c r="B604" s="25"/>
      <c r="E604" s="26"/>
      <c r="N604" s="42"/>
    </row>
    <row r="605" spans="2:14" s="13" customFormat="1" x14ac:dyDescent="0.35">
      <c r="B605" s="25"/>
      <c r="E605" s="26"/>
      <c r="N605" s="42"/>
    </row>
    <row r="606" spans="2:14" s="13" customFormat="1" x14ac:dyDescent="0.35">
      <c r="B606" s="25"/>
      <c r="E606" s="26"/>
      <c r="N606" s="42"/>
    </row>
    <row r="607" spans="2:14" s="13" customFormat="1" x14ac:dyDescent="0.35">
      <c r="B607" s="25"/>
      <c r="E607" s="26"/>
      <c r="N607" s="42"/>
    </row>
    <row r="608" spans="2:14" s="13" customFormat="1" x14ac:dyDescent="0.35">
      <c r="B608" s="25"/>
      <c r="E608" s="26"/>
      <c r="N608" s="42"/>
    </row>
    <row r="609" spans="2:14" s="13" customFormat="1" x14ac:dyDescent="0.35">
      <c r="B609" s="25"/>
      <c r="E609" s="26"/>
      <c r="N609" s="42"/>
    </row>
    <row r="610" spans="2:14" s="13" customFormat="1" x14ac:dyDescent="0.35">
      <c r="B610" s="25"/>
      <c r="E610" s="26"/>
      <c r="N610" s="42"/>
    </row>
    <row r="611" spans="2:14" s="13" customFormat="1" x14ac:dyDescent="0.35">
      <c r="B611" s="25"/>
      <c r="E611" s="26"/>
      <c r="N611" s="42"/>
    </row>
    <row r="612" spans="2:14" s="13" customFormat="1" x14ac:dyDescent="0.35">
      <c r="B612" s="25"/>
      <c r="E612" s="26"/>
      <c r="N612" s="42"/>
    </row>
    <row r="613" spans="2:14" s="13" customFormat="1" x14ac:dyDescent="0.35">
      <c r="B613" s="25"/>
      <c r="E613" s="26"/>
      <c r="N613" s="42"/>
    </row>
    <row r="614" spans="2:14" s="13" customFormat="1" x14ac:dyDescent="0.35">
      <c r="B614" s="25"/>
      <c r="E614" s="26"/>
      <c r="N614" s="42"/>
    </row>
    <row r="615" spans="2:14" s="13" customFormat="1" x14ac:dyDescent="0.35">
      <c r="B615" s="25"/>
      <c r="E615" s="26"/>
      <c r="N615" s="42"/>
    </row>
    <row r="616" spans="2:14" s="13" customFormat="1" x14ac:dyDescent="0.35">
      <c r="B616" s="25"/>
      <c r="E616" s="26"/>
      <c r="N616" s="42"/>
    </row>
    <row r="617" spans="2:14" s="13" customFormat="1" x14ac:dyDescent="0.35">
      <c r="B617" s="25"/>
      <c r="E617" s="26"/>
      <c r="N617" s="42"/>
    </row>
    <row r="618" spans="2:14" s="13" customFormat="1" x14ac:dyDescent="0.35">
      <c r="B618" s="25"/>
      <c r="E618" s="26"/>
      <c r="N618" s="42"/>
    </row>
    <row r="619" spans="2:14" s="13" customFormat="1" x14ac:dyDescent="0.35">
      <c r="B619" s="25"/>
      <c r="E619" s="26"/>
      <c r="N619" s="42"/>
    </row>
    <row r="620" spans="2:14" s="13" customFormat="1" x14ac:dyDescent="0.35">
      <c r="B620" s="25"/>
      <c r="E620" s="26"/>
      <c r="N620" s="42"/>
    </row>
    <row r="621" spans="2:14" s="13" customFormat="1" x14ac:dyDescent="0.35">
      <c r="B621" s="25"/>
      <c r="E621" s="26"/>
      <c r="N621" s="42"/>
    </row>
    <row r="622" spans="2:14" s="13" customFormat="1" x14ac:dyDescent="0.35">
      <c r="B622" s="25"/>
      <c r="E622" s="26"/>
      <c r="N622" s="42"/>
    </row>
    <row r="623" spans="2:14" s="13" customFormat="1" x14ac:dyDescent="0.35">
      <c r="B623" s="25"/>
      <c r="E623" s="26"/>
      <c r="N623" s="42"/>
    </row>
    <row r="624" spans="2:14" s="13" customFormat="1" x14ac:dyDescent="0.35">
      <c r="B624" s="25"/>
      <c r="E624" s="26"/>
      <c r="N624" s="42"/>
    </row>
    <row r="625" spans="2:14" s="13" customFormat="1" x14ac:dyDescent="0.35">
      <c r="B625" s="25"/>
      <c r="E625" s="26"/>
      <c r="N625" s="42"/>
    </row>
    <row r="626" spans="2:14" s="13" customFormat="1" x14ac:dyDescent="0.35">
      <c r="B626" s="25"/>
      <c r="E626" s="26"/>
      <c r="N626" s="42"/>
    </row>
    <row r="627" spans="2:14" s="13" customFormat="1" x14ac:dyDescent="0.35">
      <c r="B627" s="25"/>
      <c r="E627" s="26"/>
      <c r="N627" s="42"/>
    </row>
    <row r="628" spans="2:14" s="13" customFormat="1" x14ac:dyDescent="0.35">
      <c r="B628" s="25"/>
      <c r="E628" s="26"/>
      <c r="N628" s="42"/>
    </row>
    <row r="629" spans="2:14" s="13" customFormat="1" x14ac:dyDescent="0.35">
      <c r="B629" s="25"/>
      <c r="E629" s="26"/>
      <c r="N629" s="42"/>
    </row>
    <row r="630" spans="2:14" s="13" customFormat="1" x14ac:dyDescent="0.35">
      <c r="B630" s="25"/>
      <c r="E630" s="26"/>
      <c r="N630" s="42"/>
    </row>
    <row r="631" spans="2:14" s="13" customFormat="1" x14ac:dyDescent="0.35">
      <c r="B631" s="25"/>
      <c r="E631" s="26"/>
      <c r="N631" s="42"/>
    </row>
    <row r="632" spans="2:14" s="13" customFormat="1" x14ac:dyDescent="0.35">
      <c r="B632" s="25"/>
      <c r="E632" s="26"/>
      <c r="N632" s="42"/>
    </row>
    <row r="633" spans="2:14" s="13" customFormat="1" x14ac:dyDescent="0.35">
      <c r="B633" s="25"/>
      <c r="E633" s="26"/>
      <c r="N633" s="42"/>
    </row>
    <row r="634" spans="2:14" s="13" customFormat="1" x14ac:dyDescent="0.35">
      <c r="B634" s="25"/>
      <c r="E634" s="26"/>
      <c r="N634" s="42"/>
    </row>
    <row r="635" spans="2:14" s="13" customFormat="1" x14ac:dyDescent="0.35">
      <c r="B635" s="25"/>
      <c r="E635" s="26"/>
      <c r="N635" s="42"/>
    </row>
    <row r="636" spans="2:14" s="13" customFormat="1" x14ac:dyDescent="0.35">
      <c r="B636" s="25"/>
      <c r="E636" s="26"/>
      <c r="N636" s="42"/>
    </row>
    <row r="637" spans="2:14" s="13" customFormat="1" x14ac:dyDescent="0.35">
      <c r="B637" s="25"/>
      <c r="E637" s="26"/>
      <c r="N637" s="42"/>
    </row>
    <row r="638" spans="2:14" s="13" customFormat="1" x14ac:dyDescent="0.35">
      <c r="B638" s="25"/>
      <c r="E638" s="26"/>
      <c r="N638" s="42"/>
    </row>
    <row r="639" spans="2:14" s="13" customFormat="1" x14ac:dyDescent="0.35">
      <c r="B639" s="25"/>
      <c r="E639" s="26"/>
      <c r="N639" s="42"/>
    </row>
    <row r="640" spans="2:14" s="13" customFormat="1" x14ac:dyDescent="0.35">
      <c r="B640" s="25"/>
      <c r="E640" s="26"/>
      <c r="N640" s="42"/>
    </row>
    <row r="641" spans="2:14" s="13" customFormat="1" x14ac:dyDescent="0.35">
      <c r="B641" s="25"/>
      <c r="E641" s="26"/>
      <c r="N641" s="42"/>
    </row>
    <row r="642" spans="2:14" s="13" customFormat="1" x14ac:dyDescent="0.35">
      <c r="B642" s="25"/>
      <c r="E642" s="26"/>
      <c r="N642" s="42"/>
    </row>
    <row r="643" spans="2:14" s="13" customFormat="1" x14ac:dyDescent="0.35">
      <c r="B643" s="25"/>
      <c r="E643" s="26"/>
      <c r="N643" s="42"/>
    </row>
    <row r="644" spans="2:14" s="13" customFormat="1" x14ac:dyDescent="0.35">
      <c r="B644" s="25"/>
      <c r="E644" s="26"/>
      <c r="N644" s="42"/>
    </row>
    <row r="645" spans="2:14" s="13" customFormat="1" x14ac:dyDescent="0.35">
      <c r="B645" s="25"/>
      <c r="E645" s="26"/>
      <c r="N645" s="42"/>
    </row>
    <row r="646" spans="2:14" s="13" customFormat="1" x14ac:dyDescent="0.35">
      <c r="B646" s="25"/>
      <c r="E646" s="26"/>
      <c r="N646" s="42"/>
    </row>
    <row r="647" spans="2:14" s="13" customFormat="1" x14ac:dyDescent="0.35">
      <c r="B647" s="25"/>
      <c r="E647" s="26"/>
      <c r="N647" s="42"/>
    </row>
    <row r="648" spans="2:14" s="13" customFormat="1" x14ac:dyDescent="0.35">
      <c r="B648" s="25"/>
      <c r="E648" s="26"/>
      <c r="N648" s="42"/>
    </row>
    <row r="649" spans="2:14" s="13" customFormat="1" x14ac:dyDescent="0.35">
      <c r="B649" s="25"/>
      <c r="E649" s="26"/>
      <c r="N649" s="42"/>
    </row>
    <row r="650" spans="2:14" s="13" customFormat="1" x14ac:dyDescent="0.35">
      <c r="B650" s="25"/>
      <c r="E650" s="26"/>
      <c r="N650" s="42"/>
    </row>
    <row r="651" spans="2:14" s="13" customFormat="1" x14ac:dyDescent="0.35">
      <c r="B651" s="25"/>
      <c r="E651" s="26"/>
      <c r="N651" s="42"/>
    </row>
    <row r="652" spans="2:14" s="13" customFormat="1" x14ac:dyDescent="0.35">
      <c r="B652" s="25"/>
      <c r="E652" s="26"/>
      <c r="N652" s="42"/>
    </row>
    <row r="653" spans="2:14" s="13" customFormat="1" x14ac:dyDescent="0.35">
      <c r="B653" s="25"/>
      <c r="E653" s="26"/>
      <c r="N653" s="42"/>
    </row>
    <row r="654" spans="2:14" s="13" customFormat="1" x14ac:dyDescent="0.35">
      <c r="B654" s="25"/>
      <c r="E654" s="26"/>
      <c r="N654" s="42"/>
    </row>
    <row r="655" spans="2:14" s="13" customFormat="1" x14ac:dyDescent="0.35">
      <c r="B655" s="25"/>
      <c r="E655" s="26"/>
      <c r="N655" s="42"/>
    </row>
    <row r="656" spans="2:14" s="13" customFormat="1" x14ac:dyDescent="0.35">
      <c r="B656" s="25"/>
      <c r="E656" s="26"/>
      <c r="N656" s="42"/>
    </row>
    <row r="657" spans="2:14" s="13" customFormat="1" x14ac:dyDescent="0.35">
      <c r="B657" s="25"/>
      <c r="E657" s="26"/>
      <c r="N657" s="42"/>
    </row>
    <row r="658" spans="2:14" s="13" customFormat="1" x14ac:dyDescent="0.35">
      <c r="B658" s="25"/>
      <c r="E658" s="26"/>
      <c r="N658" s="42"/>
    </row>
    <row r="659" spans="2:14" s="13" customFormat="1" x14ac:dyDescent="0.35">
      <c r="B659" s="25"/>
      <c r="E659" s="26"/>
      <c r="N659" s="42"/>
    </row>
    <row r="660" spans="2:14" s="13" customFormat="1" x14ac:dyDescent="0.35">
      <c r="B660" s="25"/>
      <c r="E660" s="26"/>
      <c r="N660" s="42"/>
    </row>
    <row r="661" spans="2:14" s="13" customFormat="1" x14ac:dyDescent="0.35">
      <c r="B661" s="25"/>
      <c r="E661" s="26"/>
      <c r="N661" s="42"/>
    </row>
    <row r="662" spans="2:14" s="13" customFormat="1" x14ac:dyDescent="0.35">
      <c r="B662" s="25"/>
      <c r="E662" s="26"/>
      <c r="N662" s="42"/>
    </row>
    <row r="663" spans="2:14" s="13" customFormat="1" x14ac:dyDescent="0.35">
      <c r="B663" s="25"/>
      <c r="E663" s="26"/>
      <c r="N663" s="42"/>
    </row>
    <row r="664" spans="2:14" s="13" customFormat="1" x14ac:dyDescent="0.35">
      <c r="B664" s="25"/>
      <c r="E664" s="26"/>
      <c r="N664" s="42"/>
    </row>
    <row r="665" spans="2:14" s="13" customFormat="1" x14ac:dyDescent="0.35">
      <c r="B665" s="25"/>
      <c r="E665" s="26"/>
      <c r="N665" s="42"/>
    </row>
    <row r="666" spans="2:14" s="13" customFormat="1" x14ac:dyDescent="0.35">
      <c r="B666" s="25"/>
      <c r="E666" s="26"/>
      <c r="N666" s="42"/>
    </row>
    <row r="667" spans="2:14" s="13" customFormat="1" x14ac:dyDescent="0.35">
      <c r="B667" s="25"/>
      <c r="E667" s="26"/>
      <c r="N667" s="42"/>
    </row>
    <row r="668" spans="2:14" s="13" customFormat="1" x14ac:dyDescent="0.35">
      <c r="B668" s="25"/>
      <c r="E668" s="26"/>
      <c r="N668" s="42"/>
    </row>
    <row r="669" spans="2:14" s="13" customFormat="1" x14ac:dyDescent="0.35">
      <c r="B669" s="25"/>
      <c r="E669" s="26"/>
      <c r="N669" s="42"/>
    </row>
    <row r="670" spans="2:14" s="13" customFormat="1" x14ac:dyDescent="0.35">
      <c r="B670" s="25"/>
      <c r="E670" s="26"/>
      <c r="N670" s="42"/>
    </row>
    <row r="671" spans="2:14" s="13" customFormat="1" x14ac:dyDescent="0.35">
      <c r="B671" s="25"/>
      <c r="E671" s="26"/>
      <c r="N671" s="42"/>
    </row>
    <row r="672" spans="2:14" s="13" customFormat="1" x14ac:dyDescent="0.35">
      <c r="B672" s="25"/>
      <c r="E672" s="26"/>
      <c r="N672" s="42"/>
    </row>
    <row r="673" spans="2:14" s="13" customFormat="1" x14ac:dyDescent="0.35">
      <c r="B673" s="25"/>
      <c r="E673" s="26"/>
      <c r="N673" s="42"/>
    </row>
    <row r="674" spans="2:14" s="13" customFormat="1" x14ac:dyDescent="0.35">
      <c r="B674" s="25"/>
      <c r="E674" s="26"/>
      <c r="N674" s="42"/>
    </row>
    <row r="675" spans="2:14" s="13" customFormat="1" x14ac:dyDescent="0.35">
      <c r="B675" s="25"/>
      <c r="E675" s="26"/>
      <c r="N675" s="42"/>
    </row>
    <row r="676" spans="2:14" s="13" customFormat="1" x14ac:dyDescent="0.35">
      <c r="B676" s="25"/>
      <c r="E676" s="26"/>
      <c r="N676" s="42"/>
    </row>
    <row r="677" spans="2:14" s="13" customFormat="1" x14ac:dyDescent="0.35">
      <c r="B677" s="25"/>
      <c r="E677" s="26"/>
      <c r="N677" s="42"/>
    </row>
    <row r="678" spans="2:14" s="13" customFormat="1" x14ac:dyDescent="0.35">
      <c r="B678" s="25"/>
      <c r="E678" s="26"/>
      <c r="N678" s="42"/>
    </row>
    <row r="679" spans="2:14" s="13" customFormat="1" x14ac:dyDescent="0.35">
      <c r="B679" s="25"/>
      <c r="E679" s="26"/>
      <c r="N679" s="42"/>
    </row>
    <row r="680" spans="2:14" s="13" customFormat="1" x14ac:dyDescent="0.35">
      <c r="B680" s="25"/>
      <c r="E680" s="26"/>
      <c r="N680" s="42"/>
    </row>
  </sheetData>
  <sheetProtection algorithmName="SHA-512" hashValue="uI4j8vFke9uLX8yOSLo3EbOmRa+E1/aRL0iHK54YgEagEL9jiyM5MBvQF269SrJWIQ73gnvED2x81tqDhGNtTw==" saltValue="wjBv2zMzYxLeoN8bzTa3rA==" spinCount="100000" sheet="1" formatCells="0" formatColumns="0" formatRows="0"/>
  <mergeCells count="25">
    <mergeCell ref="A7:A48"/>
    <mergeCell ref="B7:B48"/>
    <mergeCell ref="C7:C13"/>
    <mergeCell ref="D7:D13"/>
    <mergeCell ref="C14:C17"/>
    <mergeCell ref="D14:D17"/>
    <mergeCell ref="C18:C22"/>
    <mergeCell ref="D18:D22"/>
    <mergeCell ref="C23:C26"/>
    <mergeCell ref="D23:D26"/>
    <mergeCell ref="C27:C30"/>
    <mergeCell ref="D27:D30"/>
    <mergeCell ref="C31:C32"/>
    <mergeCell ref="D31:D32"/>
    <mergeCell ref="C33:C34"/>
    <mergeCell ref="C38:C40"/>
    <mergeCell ref="C41:C42"/>
    <mergeCell ref="D41:D42"/>
    <mergeCell ref="C43:C48"/>
    <mergeCell ref="D43:D48"/>
    <mergeCell ref="M7:M48"/>
    <mergeCell ref="D33:D34"/>
    <mergeCell ref="C35:C36"/>
    <mergeCell ref="D35:D36"/>
    <mergeCell ref="D38:D40"/>
  </mergeCells>
  <dataValidations count="1">
    <dataValidation type="list" allowBlank="1" showInputMessage="1" showErrorMessage="1" errorTitle="ASVS Test Result" error="Invalid selection!" promptTitle="ASVS Test Result" prompt="Please select test result from the list." sqref="G7:G48" xr:uid="{3DBB4017-DDD0-45B7-B4B1-2D0F310EC0BB}">
      <formula1>testResult</formula1>
    </dataValidation>
  </dataValidations>
  <hyperlinks>
    <hyperlink ref="F7" r:id="rId1" location="tab=Formal_Numbering" display="https://www.owasp.org/index.php/OWASP_Proactive_Controls - tab=Formal_Numbering" xr:uid="{83F7E05B-9B96-4E66-8D06-C6D099F4A241}"/>
    <hyperlink ref="F11" r:id="rId2" location="tab=Formal_Numbering" display="https://www.owasp.org/index.php/OWASP_Proactive_Controls - tab=Formal_Numbering" xr:uid="{313DB9FC-6C3E-4CD3-8148-7E6E9F25A1C8}"/>
    <hyperlink ref="F12" r:id="rId3" location="tab=Formal_Numbering" display="https://www.owasp.org/index.php/OWASP_Proactive_Controls - tab=Formal_Numbering" xr:uid="{BCDDF46E-8A03-4405-91ED-05418177EB16}"/>
    <hyperlink ref="F14" r:id="rId4" location="tab=Formal_Numbering" display="https://www.owasp.org/index.php/OWASP_Proactive_Controls - tab=Formal_Numbering" xr:uid="{14EB34A1-38C8-46B3-B1F4-52CF9C499B42}"/>
    <hyperlink ref="F15" r:id="rId5" location="tab=Formal_Numbering" display="https://www.owasp.org/index.php/OWASP_Proactive_Controls - tab=Formal_Numbering" xr:uid="{F2B24ACD-C538-4B29-806F-5AD02C615C90}"/>
    <hyperlink ref="F21" r:id="rId6" location="tab=Formal_Numbering" display="https://www.owasp.org/index.php/OWASP_Proactive_Controls - tab=Formal_Numbering" xr:uid="{24229187-4A89-43C6-903A-A7E859970A86}"/>
    <hyperlink ref="F22" r:id="rId7" location="tab=Formal_Numbering" display="https://www.owasp.org/index.php/OWASP_Proactive_Controls - tab=Formal_Numbering" xr:uid="{A7E84FD8-C160-42D2-ADF4-6E9A3AA41EC3}"/>
    <hyperlink ref="F25" r:id="rId8" location="tab=Formal_Numbering" display="https://www.owasp.org/index.php/OWASP_Proactive_Controls - tab=Formal_Numbering" xr:uid="{C8BD0DD1-49E2-4F79-B53A-E219092C9F34}"/>
    <hyperlink ref="F26" r:id="rId9" location="tab=Formal_Numbering" display="https://www.owasp.org/index.php/OWASP_Proactive_Controls - tab=Formal_Numbering" xr:uid="{E7DCA96B-69C0-4A5D-84E7-8224EC3B23CF}"/>
    <hyperlink ref="F31" r:id="rId10" location="tab=Formal_Numbering" display="https://www.owasp.org/index.php/OWASP_Proactive_Controls - tab=Formal_Numbering" xr:uid="{B88DF4C4-6A1D-4936-850D-7B31DA9A7C7A}"/>
    <hyperlink ref="F32" r:id="rId11" location="tab=Formal_Numbering" display="https://www.owasp.org/index.php/OWASP_Proactive_Controls - tab=Formal_Numbering" xr:uid="{5CAD614D-7EB6-4B4F-947D-02797489FA6A}"/>
    <hyperlink ref="F35" r:id="rId12" location="tab=Formal_Numbering" display="https://www.owasp.org/index.php/OWASP_Proactive_Controls - tab=Formal_Numbering" xr:uid="{4856C13B-B7B7-4414-B30A-00BC6CF79E60}"/>
    <hyperlink ref="F47" r:id="rId13" location="tab=Formal_Numbering" display="https://www.owasp.org/index.php/OWASP_Proactive_Controls - tab=Formal_Numbering" xr:uid="{4D7E1906-EA21-4B05-B64B-2884EA59B912}"/>
  </hyperlinks>
  <pageMargins left="0.7" right="0.7" top="0.75" bottom="0.75" header="0.3" footer="0.3"/>
  <pageSetup orientation="portrait" horizontalDpi="1200" verticalDpi="1200" r:id="rId14"/>
  <drawing r:id="rId15"/>
  <legacyDrawing r:id="rId16"/>
  <mc:AlternateContent xmlns:mc="http://schemas.openxmlformats.org/markup-compatibility/2006">
    <mc:Choice Requires="x14">
      <controls>
        <mc:AlternateContent xmlns:mc="http://schemas.openxmlformats.org/markup-compatibility/2006">
          <mc:Choice Requires="x14">
            <control shapeId="13313" r:id="rId17" name="Button 1">
              <controlPr defaultSize="0" print="0" autoFill="0" autoPict="0" macro="[0]!Sheet2.Confirm_Reset_Answers_V1">
                <anchor moveWithCells="1" sizeWithCells="1">
                  <from>
                    <xdr:col>0</xdr:col>
                    <xdr:colOff>127000</xdr:colOff>
                    <xdr:row>0</xdr:row>
                    <xdr:rowOff>69850</xdr:rowOff>
                  </from>
                  <to>
                    <xdr:col>1</xdr:col>
                    <xdr:colOff>1479550</xdr:colOff>
                    <xdr:row>2</xdr:row>
                    <xdr:rowOff>76200</xdr:rowOff>
                  </to>
                </anchor>
              </controlPr>
            </control>
          </mc:Choice>
        </mc:AlternateContent>
        <mc:AlternateContent xmlns:mc="http://schemas.openxmlformats.org/markup-compatibility/2006">
          <mc:Choice Requires="x14">
            <control shapeId="13323" r:id="rId18" name="Button 11">
              <controlPr defaultSize="0" print="0" autoFill="0" autoPict="0" macro="[0]!Confirm_Reset_All_Answers">
                <anchor moveWithCells="1" sizeWithCells="1">
                  <from>
                    <xdr:col>0</xdr:col>
                    <xdr:colOff>127000</xdr:colOff>
                    <xdr:row>2</xdr:row>
                    <xdr:rowOff>114300</xdr:rowOff>
                  </from>
                  <to>
                    <xdr:col>1</xdr:col>
                    <xdr:colOff>1479550</xdr:colOff>
                    <xdr:row>4</xdr:row>
                    <xdr:rowOff>127000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1F4E3-1615-4904-962D-10B3277C0394}">
  <sheetPr codeName="Sheet5">
    <tabColor theme="4" tint="0.39997558519241921"/>
  </sheetPr>
  <dimension ref="A1:CRF696"/>
  <sheetViews>
    <sheetView showGridLines="0" showRowColHeaders="0" workbookViewId="0">
      <pane ySplit="6" topLeftCell="A14" activePane="bottomLeft" state="frozen"/>
      <selection pane="bottomLeft" activeCell="A7" sqref="A7:A63"/>
    </sheetView>
  </sheetViews>
  <sheetFormatPr defaultRowHeight="14.5" x14ac:dyDescent="0.35"/>
  <cols>
    <col min="1" max="1" width="10.453125" customWidth="1"/>
    <col min="2" max="2" width="24.1796875" style="20" customWidth="1"/>
    <col min="3" max="3" width="10.26953125" customWidth="1"/>
    <col min="4" max="4" width="31.81640625" customWidth="1"/>
    <col min="5" max="5" width="10.453125" style="21" customWidth="1"/>
    <col min="6" max="6" width="56.1796875" customWidth="1"/>
    <col min="7" max="7" width="19.1796875" customWidth="1"/>
    <col min="8" max="10" width="3.7265625" bestFit="1" customWidth="1"/>
    <col min="12" max="12" width="13.1796875" customWidth="1"/>
    <col min="13" max="13" width="26.453125" customWidth="1"/>
    <col min="14" max="14" width="47.7265625" style="43" customWidth="1"/>
    <col min="15" max="136" width="8.726562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0</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0</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TOTAL_ASVS_V2</f>
        <v>57</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26.25" customHeight="1" x14ac:dyDescent="0.35">
      <c r="A7" s="113" t="s">
        <v>41</v>
      </c>
      <c r="B7" s="116" t="s">
        <v>174</v>
      </c>
      <c r="C7" s="113" t="s">
        <v>175</v>
      </c>
      <c r="D7" s="109" t="s">
        <v>176</v>
      </c>
      <c r="E7" s="22" t="s">
        <v>177</v>
      </c>
      <c r="F7" s="23" t="s">
        <v>178</v>
      </c>
      <c r="G7" s="91" t="s">
        <v>32</v>
      </c>
      <c r="H7" s="38" t="s">
        <v>812</v>
      </c>
      <c r="I7" s="39" t="s">
        <v>812</v>
      </c>
      <c r="J7" s="40" t="s">
        <v>812</v>
      </c>
      <c r="K7" s="5">
        <v>521</v>
      </c>
      <c r="L7" s="5" t="s">
        <v>179</v>
      </c>
      <c r="M7" s="109" t="s">
        <v>840</v>
      </c>
      <c r="N7" s="56"/>
    </row>
    <row r="8" spans="1:2502" x14ac:dyDescent="0.35">
      <c r="A8" s="114"/>
      <c r="B8" s="117"/>
      <c r="C8" s="114"/>
      <c r="D8" s="110"/>
      <c r="E8" s="22" t="s">
        <v>180</v>
      </c>
      <c r="F8" s="23" t="s">
        <v>181</v>
      </c>
      <c r="G8" s="91" t="s">
        <v>32</v>
      </c>
      <c r="H8" s="38" t="s">
        <v>812</v>
      </c>
      <c r="I8" s="39" t="s">
        <v>812</v>
      </c>
      <c r="J8" s="40" t="s">
        <v>812</v>
      </c>
      <c r="K8" s="5">
        <v>521</v>
      </c>
      <c r="L8" s="5" t="s">
        <v>179</v>
      </c>
      <c r="M8" s="110"/>
      <c r="N8" s="56"/>
    </row>
    <row r="9" spans="1:2502" ht="39" x14ac:dyDescent="0.35">
      <c r="A9" s="114"/>
      <c r="B9" s="117"/>
      <c r="C9" s="114"/>
      <c r="D9" s="110"/>
      <c r="E9" s="22" t="s">
        <v>182</v>
      </c>
      <c r="F9" s="23" t="s">
        <v>183</v>
      </c>
      <c r="G9" s="91" t="s">
        <v>32</v>
      </c>
      <c r="H9" s="38" t="s">
        <v>812</v>
      </c>
      <c r="I9" s="39" t="s">
        <v>812</v>
      </c>
      <c r="J9" s="40" t="s">
        <v>812</v>
      </c>
      <c r="K9" s="5">
        <v>521</v>
      </c>
      <c r="L9" s="5" t="s">
        <v>179</v>
      </c>
      <c r="M9" s="110"/>
      <c r="N9" s="56"/>
    </row>
    <row r="10" spans="1:2502" ht="39" x14ac:dyDescent="0.35">
      <c r="A10" s="114"/>
      <c r="B10" s="117"/>
      <c r="C10" s="114"/>
      <c r="D10" s="110"/>
      <c r="E10" s="22" t="s">
        <v>184</v>
      </c>
      <c r="F10" s="4" t="s">
        <v>185</v>
      </c>
      <c r="G10" s="91" t="s">
        <v>32</v>
      </c>
      <c r="H10" s="38" t="s">
        <v>812</v>
      </c>
      <c r="I10" s="39" t="s">
        <v>812</v>
      </c>
      <c r="J10" s="40" t="s">
        <v>812</v>
      </c>
      <c r="K10" s="5">
        <v>521</v>
      </c>
      <c r="L10" s="5" t="s">
        <v>179</v>
      </c>
      <c r="M10" s="110"/>
      <c r="N10" s="56"/>
    </row>
    <row r="11" spans="1:2502" x14ac:dyDescent="0.35">
      <c r="A11" s="114"/>
      <c r="B11" s="117"/>
      <c r="C11" s="114"/>
      <c r="D11" s="110"/>
      <c r="E11" s="22" t="s">
        <v>186</v>
      </c>
      <c r="F11" s="4" t="s">
        <v>187</v>
      </c>
      <c r="G11" s="91" t="s">
        <v>32</v>
      </c>
      <c r="H11" s="38" t="s">
        <v>812</v>
      </c>
      <c r="I11" s="39" t="s">
        <v>812</v>
      </c>
      <c r="J11" s="40" t="s">
        <v>812</v>
      </c>
      <c r="K11" s="5">
        <v>620</v>
      </c>
      <c r="L11" s="5" t="s">
        <v>179</v>
      </c>
      <c r="M11" s="110"/>
      <c r="N11" s="56"/>
    </row>
    <row r="12" spans="1:2502" ht="26" x14ac:dyDescent="0.35">
      <c r="A12" s="114"/>
      <c r="B12" s="117"/>
      <c r="C12" s="114"/>
      <c r="D12" s="110"/>
      <c r="E12" s="22" t="s">
        <v>188</v>
      </c>
      <c r="F12" s="4" t="s">
        <v>189</v>
      </c>
      <c r="G12" s="91" t="s">
        <v>32</v>
      </c>
      <c r="H12" s="38" t="s">
        <v>812</v>
      </c>
      <c r="I12" s="39" t="s">
        <v>812</v>
      </c>
      <c r="J12" s="40" t="s">
        <v>812</v>
      </c>
      <c r="K12" s="5">
        <v>620</v>
      </c>
      <c r="L12" s="5" t="s">
        <v>179</v>
      </c>
      <c r="M12" s="110"/>
      <c r="N12" s="56"/>
    </row>
    <row r="13" spans="1:2502" ht="117" x14ac:dyDescent="0.35">
      <c r="A13" s="114"/>
      <c r="B13" s="117"/>
      <c r="C13" s="114"/>
      <c r="D13" s="110"/>
      <c r="E13" s="22" t="s">
        <v>190</v>
      </c>
      <c r="F13" s="23" t="s">
        <v>191</v>
      </c>
      <c r="G13" s="91" t="s">
        <v>32</v>
      </c>
      <c r="H13" s="38" t="s">
        <v>812</v>
      </c>
      <c r="I13" s="39" t="s">
        <v>812</v>
      </c>
      <c r="J13" s="40" t="s">
        <v>812</v>
      </c>
      <c r="K13" s="5">
        <v>521</v>
      </c>
      <c r="L13" s="5" t="s">
        <v>179</v>
      </c>
      <c r="M13" s="110"/>
      <c r="N13" s="56"/>
    </row>
    <row r="14" spans="1:2502" ht="26" x14ac:dyDescent="0.35">
      <c r="A14" s="114"/>
      <c r="B14" s="117"/>
      <c r="C14" s="114"/>
      <c r="D14" s="110"/>
      <c r="E14" s="22" t="s">
        <v>192</v>
      </c>
      <c r="F14" s="4" t="s">
        <v>193</v>
      </c>
      <c r="G14" s="91" t="s">
        <v>32</v>
      </c>
      <c r="H14" s="38" t="s">
        <v>812</v>
      </c>
      <c r="I14" s="39" t="s">
        <v>812</v>
      </c>
      <c r="J14" s="40" t="s">
        <v>812</v>
      </c>
      <c r="K14" s="5">
        <v>521</v>
      </c>
      <c r="L14" s="5" t="s">
        <v>179</v>
      </c>
      <c r="M14" s="110"/>
      <c r="N14" s="56"/>
    </row>
    <row r="15" spans="1:2502" ht="39" x14ac:dyDescent="0.35">
      <c r="A15" s="114"/>
      <c r="B15" s="117"/>
      <c r="C15" s="114"/>
      <c r="D15" s="110"/>
      <c r="E15" s="22" t="s">
        <v>194</v>
      </c>
      <c r="F15" s="23" t="s">
        <v>195</v>
      </c>
      <c r="G15" s="91" t="s">
        <v>32</v>
      </c>
      <c r="H15" s="38" t="s">
        <v>812</v>
      </c>
      <c r="I15" s="39" t="s">
        <v>812</v>
      </c>
      <c r="J15" s="40" t="s">
        <v>812</v>
      </c>
      <c r="K15" s="5">
        <v>521</v>
      </c>
      <c r="L15" s="5" t="s">
        <v>179</v>
      </c>
      <c r="M15" s="110"/>
      <c r="N15" s="56"/>
    </row>
    <row r="16" spans="1:2502" ht="26" x14ac:dyDescent="0.35">
      <c r="A16" s="114"/>
      <c r="B16" s="117"/>
      <c r="C16" s="114"/>
      <c r="D16" s="110"/>
      <c r="E16" s="22" t="s">
        <v>196</v>
      </c>
      <c r="F16" s="4" t="s">
        <v>197</v>
      </c>
      <c r="G16" s="91" t="s">
        <v>32</v>
      </c>
      <c r="H16" s="38" t="s">
        <v>812</v>
      </c>
      <c r="I16" s="39" t="s">
        <v>812</v>
      </c>
      <c r="J16" s="40" t="s">
        <v>812</v>
      </c>
      <c r="K16" s="5">
        <v>263</v>
      </c>
      <c r="L16" s="5" t="s">
        <v>179</v>
      </c>
      <c r="M16" s="110"/>
      <c r="N16" s="56"/>
    </row>
    <row r="17" spans="1:14" ht="26" x14ac:dyDescent="0.35">
      <c r="A17" s="114"/>
      <c r="B17" s="117"/>
      <c r="C17" s="114"/>
      <c r="D17" s="110"/>
      <c r="E17" s="22" t="s">
        <v>198</v>
      </c>
      <c r="F17" s="4" t="s">
        <v>199</v>
      </c>
      <c r="G17" s="91" t="s">
        <v>32</v>
      </c>
      <c r="H17" s="38" t="s">
        <v>812</v>
      </c>
      <c r="I17" s="39" t="s">
        <v>812</v>
      </c>
      <c r="J17" s="40" t="s">
        <v>812</v>
      </c>
      <c r="K17" s="5">
        <v>521</v>
      </c>
      <c r="L17" s="5" t="s">
        <v>179</v>
      </c>
      <c r="M17" s="110"/>
      <c r="N17" s="56"/>
    </row>
    <row r="18" spans="1:14" ht="39" x14ac:dyDescent="0.35">
      <c r="A18" s="114"/>
      <c r="B18" s="117"/>
      <c r="C18" s="115"/>
      <c r="D18" s="111"/>
      <c r="E18" s="22" t="s">
        <v>200</v>
      </c>
      <c r="F18" s="4" t="s">
        <v>201</v>
      </c>
      <c r="G18" s="91" t="s">
        <v>32</v>
      </c>
      <c r="H18" s="38" t="s">
        <v>812</v>
      </c>
      <c r="I18" s="39" t="s">
        <v>812</v>
      </c>
      <c r="J18" s="40" t="s">
        <v>812</v>
      </c>
      <c r="K18" s="5">
        <v>521</v>
      </c>
      <c r="L18" s="5" t="s">
        <v>179</v>
      </c>
      <c r="M18" s="110"/>
      <c r="N18" s="56"/>
    </row>
    <row r="19" spans="1:14" ht="104" x14ac:dyDescent="0.35">
      <c r="A19" s="114"/>
      <c r="B19" s="117"/>
      <c r="C19" s="113" t="s">
        <v>202</v>
      </c>
      <c r="D19" s="109" t="s">
        <v>203</v>
      </c>
      <c r="E19" s="22" t="s">
        <v>204</v>
      </c>
      <c r="F19" s="4" t="s">
        <v>205</v>
      </c>
      <c r="G19" s="91" t="s">
        <v>32</v>
      </c>
      <c r="H19" s="38" t="s">
        <v>812</v>
      </c>
      <c r="I19" s="39" t="s">
        <v>812</v>
      </c>
      <c r="J19" s="40" t="s">
        <v>812</v>
      </c>
      <c r="K19" s="5">
        <v>307</v>
      </c>
      <c r="L19" s="5" t="s">
        <v>206</v>
      </c>
      <c r="M19" s="110"/>
      <c r="N19" s="56"/>
    </row>
    <row r="20" spans="1:14" ht="78" x14ac:dyDescent="0.35">
      <c r="A20" s="114"/>
      <c r="B20" s="117"/>
      <c r="C20" s="114"/>
      <c r="D20" s="110"/>
      <c r="E20" s="22" t="s">
        <v>207</v>
      </c>
      <c r="F20" s="4" t="s">
        <v>208</v>
      </c>
      <c r="G20" s="91" t="s">
        <v>32</v>
      </c>
      <c r="H20" s="38" t="s">
        <v>812</v>
      </c>
      <c r="I20" s="39" t="s">
        <v>812</v>
      </c>
      <c r="J20" s="40" t="s">
        <v>812</v>
      </c>
      <c r="K20" s="5">
        <v>304</v>
      </c>
      <c r="L20" s="5" t="s">
        <v>209</v>
      </c>
      <c r="M20" s="110"/>
      <c r="N20" s="56"/>
    </row>
    <row r="21" spans="1:14" ht="78" x14ac:dyDescent="0.35">
      <c r="A21" s="114"/>
      <c r="B21" s="117"/>
      <c r="C21" s="114"/>
      <c r="D21" s="110"/>
      <c r="E21" s="22" t="s">
        <v>210</v>
      </c>
      <c r="F21" s="4" t="s">
        <v>211</v>
      </c>
      <c r="G21" s="91" t="s">
        <v>32</v>
      </c>
      <c r="H21" s="38" t="s">
        <v>812</v>
      </c>
      <c r="I21" s="39" t="s">
        <v>812</v>
      </c>
      <c r="J21" s="40" t="s">
        <v>812</v>
      </c>
      <c r="K21" s="5">
        <v>620</v>
      </c>
      <c r="L21" s="4"/>
      <c r="M21" s="110"/>
      <c r="N21" s="56"/>
    </row>
    <row r="22" spans="1:14" ht="52" x14ac:dyDescent="0.35">
      <c r="A22" s="114"/>
      <c r="B22" s="117"/>
      <c r="C22" s="114"/>
      <c r="D22" s="110"/>
      <c r="E22" s="22" t="s">
        <v>212</v>
      </c>
      <c r="F22" s="4" t="s">
        <v>213</v>
      </c>
      <c r="G22" s="91" t="s">
        <v>32</v>
      </c>
      <c r="H22" s="4"/>
      <c r="I22" s="4"/>
      <c r="J22" s="40" t="s">
        <v>812</v>
      </c>
      <c r="K22" s="5">
        <v>308</v>
      </c>
      <c r="L22" s="5" t="s">
        <v>214</v>
      </c>
      <c r="M22" s="110"/>
      <c r="N22" s="56"/>
    </row>
    <row r="23" spans="1:14" ht="39" x14ac:dyDescent="0.35">
      <c r="A23" s="114"/>
      <c r="B23" s="117"/>
      <c r="C23" s="114"/>
      <c r="D23" s="110"/>
      <c r="E23" s="22" t="s">
        <v>215</v>
      </c>
      <c r="F23" s="4" t="s">
        <v>216</v>
      </c>
      <c r="G23" s="91" t="s">
        <v>32</v>
      </c>
      <c r="H23" s="4"/>
      <c r="I23" s="4"/>
      <c r="J23" s="40" t="s">
        <v>812</v>
      </c>
      <c r="K23" s="5">
        <v>319</v>
      </c>
      <c r="L23" s="5" t="s">
        <v>217</v>
      </c>
      <c r="M23" s="110"/>
      <c r="N23" s="56"/>
    </row>
    <row r="24" spans="1:14" ht="26" x14ac:dyDescent="0.35">
      <c r="A24" s="114"/>
      <c r="B24" s="117"/>
      <c r="C24" s="114"/>
      <c r="D24" s="110"/>
      <c r="E24" s="22" t="s">
        <v>218</v>
      </c>
      <c r="F24" s="4" t="s">
        <v>219</v>
      </c>
      <c r="G24" s="91" t="s">
        <v>32</v>
      </c>
      <c r="H24" s="4"/>
      <c r="I24" s="4"/>
      <c r="J24" s="40" t="s">
        <v>812</v>
      </c>
      <c r="K24" s="5">
        <v>308</v>
      </c>
      <c r="L24" s="5" t="s">
        <v>220</v>
      </c>
      <c r="M24" s="110"/>
      <c r="N24" s="56"/>
    </row>
    <row r="25" spans="1:14" ht="26" x14ac:dyDescent="0.35">
      <c r="A25" s="114"/>
      <c r="B25" s="117"/>
      <c r="C25" s="115"/>
      <c r="D25" s="111"/>
      <c r="E25" s="22" t="s">
        <v>221</v>
      </c>
      <c r="F25" s="4" t="s">
        <v>222</v>
      </c>
      <c r="G25" s="91" t="s">
        <v>32</v>
      </c>
      <c r="H25" s="4"/>
      <c r="I25" s="4"/>
      <c r="J25" s="40" t="s">
        <v>812</v>
      </c>
      <c r="K25" s="5">
        <v>308</v>
      </c>
      <c r="L25" s="5" t="s">
        <v>223</v>
      </c>
      <c r="M25" s="110"/>
      <c r="N25" s="56"/>
    </row>
    <row r="26" spans="1:14" ht="65" x14ac:dyDescent="0.35">
      <c r="A26" s="114"/>
      <c r="B26" s="117"/>
      <c r="C26" s="113" t="s">
        <v>224</v>
      </c>
      <c r="D26" s="109" t="s">
        <v>225</v>
      </c>
      <c r="E26" s="22" t="s">
        <v>226</v>
      </c>
      <c r="F26" s="4" t="s">
        <v>227</v>
      </c>
      <c r="G26" s="91" t="s">
        <v>32</v>
      </c>
      <c r="H26" s="38" t="s">
        <v>812</v>
      </c>
      <c r="I26" s="39" t="s">
        <v>812</v>
      </c>
      <c r="J26" s="40" t="s">
        <v>812</v>
      </c>
      <c r="K26" s="5">
        <v>330</v>
      </c>
      <c r="L26" s="5" t="s">
        <v>228</v>
      </c>
      <c r="M26" s="110"/>
      <c r="N26" s="56"/>
    </row>
    <row r="27" spans="1:14" ht="26" x14ac:dyDescent="0.35">
      <c r="A27" s="114"/>
      <c r="B27" s="117"/>
      <c r="C27" s="114"/>
      <c r="D27" s="110"/>
      <c r="E27" s="22" t="s">
        <v>229</v>
      </c>
      <c r="F27" s="4" t="s">
        <v>230</v>
      </c>
      <c r="G27" s="91" t="s">
        <v>32</v>
      </c>
      <c r="H27" s="4"/>
      <c r="I27" s="39" t="s">
        <v>812</v>
      </c>
      <c r="J27" s="40" t="s">
        <v>812</v>
      </c>
      <c r="K27" s="5">
        <v>308</v>
      </c>
      <c r="L27" s="5" t="s">
        <v>231</v>
      </c>
      <c r="M27" s="110"/>
      <c r="N27" s="56"/>
    </row>
    <row r="28" spans="1:14" ht="26" x14ac:dyDescent="0.35">
      <c r="A28" s="114"/>
      <c r="B28" s="117"/>
      <c r="C28" s="115"/>
      <c r="D28" s="111"/>
      <c r="E28" s="22" t="s">
        <v>232</v>
      </c>
      <c r="F28" s="4" t="s">
        <v>233</v>
      </c>
      <c r="G28" s="91" t="s">
        <v>32</v>
      </c>
      <c r="H28" s="4"/>
      <c r="I28" s="39" t="s">
        <v>812</v>
      </c>
      <c r="J28" s="40" t="s">
        <v>812</v>
      </c>
      <c r="K28" s="5">
        <v>287</v>
      </c>
      <c r="L28" s="5" t="s">
        <v>234</v>
      </c>
      <c r="M28" s="110"/>
      <c r="N28" s="56"/>
    </row>
    <row r="29" spans="1:14" ht="65" x14ac:dyDescent="0.35">
      <c r="A29" s="114"/>
      <c r="B29" s="117"/>
      <c r="C29" s="113" t="s">
        <v>235</v>
      </c>
      <c r="D29" s="109" t="s">
        <v>236</v>
      </c>
      <c r="E29" s="22" t="s">
        <v>237</v>
      </c>
      <c r="F29" s="23" t="s">
        <v>238</v>
      </c>
      <c r="G29" s="91" t="s">
        <v>32</v>
      </c>
      <c r="H29" s="4"/>
      <c r="I29" s="39" t="s">
        <v>812</v>
      </c>
      <c r="J29" s="40" t="s">
        <v>812</v>
      </c>
      <c r="K29" s="5">
        <v>916</v>
      </c>
      <c r="L29" s="5" t="s">
        <v>179</v>
      </c>
      <c r="M29" s="110"/>
      <c r="N29" s="56"/>
    </row>
    <row r="30" spans="1:14" ht="52" x14ac:dyDescent="0.35">
      <c r="A30" s="114"/>
      <c r="B30" s="117"/>
      <c r="C30" s="114"/>
      <c r="D30" s="110"/>
      <c r="E30" s="22" t="s">
        <v>239</v>
      </c>
      <c r="F30" s="23" t="s">
        <v>240</v>
      </c>
      <c r="G30" s="91" t="s">
        <v>32</v>
      </c>
      <c r="H30" s="4"/>
      <c r="I30" s="39" t="s">
        <v>812</v>
      </c>
      <c r="J30" s="40" t="s">
        <v>812</v>
      </c>
      <c r="K30" s="5">
        <v>916</v>
      </c>
      <c r="L30" s="5" t="s">
        <v>179</v>
      </c>
      <c r="M30" s="110"/>
      <c r="N30" s="56"/>
    </row>
    <row r="31" spans="1:14" ht="39" x14ac:dyDescent="0.35">
      <c r="A31" s="114"/>
      <c r="B31" s="117"/>
      <c r="C31" s="114"/>
      <c r="D31" s="110"/>
      <c r="E31" s="22" t="s">
        <v>241</v>
      </c>
      <c r="F31" s="23" t="s">
        <v>242</v>
      </c>
      <c r="G31" s="91" t="s">
        <v>32</v>
      </c>
      <c r="H31" s="4"/>
      <c r="I31" s="39" t="s">
        <v>812</v>
      </c>
      <c r="J31" s="40" t="s">
        <v>812</v>
      </c>
      <c r="K31" s="5">
        <v>916</v>
      </c>
      <c r="L31" s="5" t="s">
        <v>179</v>
      </c>
      <c r="M31" s="110"/>
      <c r="N31" s="56"/>
    </row>
    <row r="32" spans="1:14" ht="26" x14ac:dyDescent="0.35">
      <c r="A32" s="114"/>
      <c r="B32" s="117"/>
      <c r="C32" s="114"/>
      <c r="D32" s="110"/>
      <c r="E32" s="22" t="s">
        <v>243</v>
      </c>
      <c r="F32" s="23" t="s">
        <v>244</v>
      </c>
      <c r="G32" s="91" t="s">
        <v>32</v>
      </c>
      <c r="H32" s="4"/>
      <c r="I32" s="39" t="s">
        <v>812</v>
      </c>
      <c r="J32" s="40" t="s">
        <v>812</v>
      </c>
      <c r="K32" s="5">
        <v>916</v>
      </c>
      <c r="L32" s="5" t="s">
        <v>179</v>
      </c>
      <c r="M32" s="110"/>
      <c r="N32" s="56"/>
    </row>
    <row r="33" spans="1:14" ht="91" x14ac:dyDescent="0.35">
      <c r="A33" s="114"/>
      <c r="B33" s="117"/>
      <c r="C33" s="115"/>
      <c r="D33" s="111"/>
      <c r="E33" s="22" t="s">
        <v>245</v>
      </c>
      <c r="F33" s="4" t="s">
        <v>246</v>
      </c>
      <c r="G33" s="91" t="s">
        <v>32</v>
      </c>
      <c r="H33" s="4"/>
      <c r="I33" s="39" t="s">
        <v>812</v>
      </c>
      <c r="J33" s="40" t="s">
        <v>812</v>
      </c>
      <c r="K33" s="5">
        <v>916</v>
      </c>
      <c r="L33" s="5" t="s">
        <v>179</v>
      </c>
      <c r="M33" s="110"/>
      <c r="N33" s="56"/>
    </row>
    <row r="34" spans="1:14" ht="26.25" customHeight="1" x14ac:dyDescent="0.35">
      <c r="A34" s="114"/>
      <c r="B34" s="117"/>
      <c r="C34" s="113" t="s">
        <v>247</v>
      </c>
      <c r="D34" s="109" t="s">
        <v>248</v>
      </c>
      <c r="E34" s="22" t="s">
        <v>249</v>
      </c>
      <c r="F34" s="23" t="s">
        <v>250</v>
      </c>
      <c r="G34" s="91" t="s">
        <v>32</v>
      </c>
      <c r="H34" s="38" t="s">
        <v>812</v>
      </c>
      <c r="I34" s="39" t="s">
        <v>812</v>
      </c>
      <c r="J34" s="40" t="s">
        <v>812</v>
      </c>
      <c r="K34" s="5">
        <v>640</v>
      </c>
      <c r="L34" s="5" t="s">
        <v>179</v>
      </c>
      <c r="M34" s="110"/>
      <c r="N34" s="56"/>
    </row>
    <row r="35" spans="1:14" ht="26" x14ac:dyDescent="0.35">
      <c r="A35" s="114"/>
      <c r="B35" s="117"/>
      <c r="C35" s="114"/>
      <c r="D35" s="110"/>
      <c r="E35" s="22" t="s">
        <v>251</v>
      </c>
      <c r="F35" s="4" t="s">
        <v>252</v>
      </c>
      <c r="G35" s="91" t="s">
        <v>32</v>
      </c>
      <c r="H35" s="38" t="s">
        <v>812</v>
      </c>
      <c r="I35" s="39" t="s">
        <v>812</v>
      </c>
      <c r="J35" s="40" t="s">
        <v>812</v>
      </c>
      <c r="K35" s="5">
        <v>640</v>
      </c>
      <c r="L35" s="5" t="s">
        <v>179</v>
      </c>
      <c r="M35" s="110"/>
      <c r="N35" s="56"/>
    </row>
    <row r="36" spans="1:14" ht="26" x14ac:dyDescent="0.35">
      <c r="A36" s="114"/>
      <c r="B36" s="117"/>
      <c r="C36" s="114"/>
      <c r="D36" s="110"/>
      <c r="E36" s="22" t="s">
        <v>253</v>
      </c>
      <c r="F36" s="23" t="s">
        <v>254</v>
      </c>
      <c r="G36" s="91" t="s">
        <v>32</v>
      </c>
      <c r="H36" s="38" t="s">
        <v>812</v>
      </c>
      <c r="I36" s="39" t="s">
        <v>812</v>
      </c>
      <c r="J36" s="40" t="s">
        <v>812</v>
      </c>
      <c r="K36" s="5">
        <v>640</v>
      </c>
      <c r="L36" s="5" t="s">
        <v>179</v>
      </c>
      <c r="M36" s="110"/>
      <c r="N36" s="56"/>
    </row>
    <row r="37" spans="1:14" ht="26" x14ac:dyDescent="0.35">
      <c r="A37" s="114"/>
      <c r="B37" s="117"/>
      <c r="C37" s="114"/>
      <c r="D37" s="110"/>
      <c r="E37" s="22" t="s">
        <v>255</v>
      </c>
      <c r="F37" s="4" t="s">
        <v>256</v>
      </c>
      <c r="G37" s="91" t="s">
        <v>32</v>
      </c>
      <c r="H37" s="38" t="s">
        <v>812</v>
      </c>
      <c r="I37" s="39" t="s">
        <v>812</v>
      </c>
      <c r="J37" s="40" t="s">
        <v>812</v>
      </c>
      <c r="K37" s="5">
        <v>16</v>
      </c>
      <c r="L37" s="5" t="s">
        <v>228</v>
      </c>
      <c r="M37" s="110"/>
      <c r="N37" s="56"/>
    </row>
    <row r="38" spans="1:14" ht="26" x14ac:dyDescent="0.35">
      <c r="A38" s="114"/>
      <c r="B38" s="117"/>
      <c r="C38" s="114"/>
      <c r="D38" s="110"/>
      <c r="E38" s="22" t="s">
        <v>257</v>
      </c>
      <c r="F38" s="4" t="s">
        <v>258</v>
      </c>
      <c r="G38" s="91" t="s">
        <v>32</v>
      </c>
      <c r="H38" s="38" t="s">
        <v>812</v>
      </c>
      <c r="I38" s="39" t="s">
        <v>812</v>
      </c>
      <c r="J38" s="40" t="s">
        <v>812</v>
      </c>
      <c r="K38" s="5">
        <v>304</v>
      </c>
      <c r="L38" s="5" t="s">
        <v>259</v>
      </c>
      <c r="M38" s="110"/>
      <c r="N38" s="56"/>
    </row>
    <row r="39" spans="1:14" ht="39" x14ac:dyDescent="0.35">
      <c r="A39" s="114"/>
      <c r="B39" s="117"/>
      <c r="C39" s="114"/>
      <c r="D39" s="110"/>
      <c r="E39" s="22" t="s">
        <v>260</v>
      </c>
      <c r="F39" s="23" t="s">
        <v>261</v>
      </c>
      <c r="G39" s="91" t="s">
        <v>32</v>
      </c>
      <c r="H39" s="38" t="s">
        <v>812</v>
      </c>
      <c r="I39" s="39" t="s">
        <v>812</v>
      </c>
      <c r="J39" s="40" t="s">
        <v>812</v>
      </c>
      <c r="K39" s="5">
        <v>640</v>
      </c>
      <c r="L39" s="5" t="s">
        <v>179</v>
      </c>
      <c r="M39" s="110"/>
      <c r="N39" s="56"/>
    </row>
    <row r="40" spans="1:14" ht="39" x14ac:dyDescent="0.35">
      <c r="A40" s="114"/>
      <c r="B40" s="117"/>
      <c r="C40" s="115"/>
      <c r="D40" s="111"/>
      <c r="E40" s="22" t="s">
        <v>262</v>
      </c>
      <c r="F40" s="4" t="s">
        <v>263</v>
      </c>
      <c r="G40" s="91" t="s">
        <v>32</v>
      </c>
      <c r="H40" s="4"/>
      <c r="I40" s="39" t="s">
        <v>812</v>
      </c>
      <c r="J40" s="40" t="s">
        <v>812</v>
      </c>
      <c r="K40" s="5">
        <v>308</v>
      </c>
      <c r="L40" s="5" t="s">
        <v>259</v>
      </c>
      <c r="M40" s="110"/>
      <c r="N40" s="56"/>
    </row>
    <row r="41" spans="1:14" ht="26.25" customHeight="1" x14ac:dyDescent="0.35">
      <c r="A41" s="114"/>
      <c r="B41" s="117"/>
      <c r="C41" s="113" t="s">
        <v>265</v>
      </c>
      <c r="D41" s="109" t="s">
        <v>264</v>
      </c>
      <c r="E41" s="22" t="s">
        <v>266</v>
      </c>
      <c r="F41" s="4" t="s">
        <v>267</v>
      </c>
      <c r="G41" s="91" t="s">
        <v>32</v>
      </c>
      <c r="H41" s="4"/>
      <c r="I41" s="39" t="s">
        <v>812</v>
      </c>
      <c r="J41" s="40" t="s">
        <v>812</v>
      </c>
      <c r="K41" s="5">
        <v>308</v>
      </c>
      <c r="L41" s="5" t="s">
        <v>268</v>
      </c>
      <c r="M41" s="110"/>
      <c r="N41" s="56"/>
    </row>
    <row r="42" spans="1:14" ht="39" x14ac:dyDescent="0.35">
      <c r="A42" s="114"/>
      <c r="B42" s="117"/>
      <c r="C42" s="114"/>
      <c r="D42" s="110"/>
      <c r="E42" s="22" t="s">
        <v>269</v>
      </c>
      <c r="F42" s="4" t="s">
        <v>270</v>
      </c>
      <c r="G42" s="91" t="s">
        <v>32</v>
      </c>
      <c r="H42" s="4"/>
      <c r="I42" s="39" t="s">
        <v>812</v>
      </c>
      <c r="J42" s="40" t="s">
        <v>812</v>
      </c>
      <c r="K42" s="5">
        <v>330</v>
      </c>
      <c r="L42" s="5" t="s">
        <v>268</v>
      </c>
      <c r="M42" s="110"/>
      <c r="N42" s="56"/>
    </row>
    <row r="43" spans="1:14" ht="26" x14ac:dyDescent="0.35">
      <c r="A43" s="114"/>
      <c r="B43" s="117"/>
      <c r="C43" s="115"/>
      <c r="D43" s="111"/>
      <c r="E43" s="22" t="s">
        <v>271</v>
      </c>
      <c r="F43" s="4" t="s">
        <v>272</v>
      </c>
      <c r="G43" s="91" t="s">
        <v>32</v>
      </c>
      <c r="H43" s="4"/>
      <c r="I43" s="39" t="s">
        <v>812</v>
      </c>
      <c r="J43" s="40" t="s">
        <v>812</v>
      </c>
      <c r="K43" s="5">
        <v>310</v>
      </c>
      <c r="L43" s="5" t="s">
        <v>268</v>
      </c>
      <c r="M43" s="110"/>
      <c r="N43" s="56"/>
    </row>
    <row r="44" spans="1:14" ht="39" x14ac:dyDescent="0.35">
      <c r="A44" s="114"/>
      <c r="B44" s="117"/>
      <c r="C44" s="113" t="s">
        <v>273</v>
      </c>
      <c r="D44" s="109" t="s">
        <v>274</v>
      </c>
      <c r="E44" s="22" t="s">
        <v>275</v>
      </c>
      <c r="F44" s="4" t="s">
        <v>276</v>
      </c>
      <c r="G44" s="91" t="s">
        <v>32</v>
      </c>
      <c r="H44" s="38" t="s">
        <v>812</v>
      </c>
      <c r="I44" s="39" t="s">
        <v>812</v>
      </c>
      <c r="J44" s="40" t="s">
        <v>812</v>
      </c>
      <c r="K44" s="5">
        <v>287</v>
      </c>
      <c r="L44" s="5" t="s">
        <v>277</v>
      </c>
      <c r="M44" s="110"/>
      <c r="N44" s="56"/>
    </row>
    <row r="45" spans="1:14" ht="26" x14ac:dyDescent="0.35">
      <c r="A45" s="114"/>
      <c r="B45" s="117"/>
      <c r="C45" s="114"/>
      <c r="D45" s="110"/>
      <c r="E45" s="22" t="s">
        <v>278</v>
      </c>
      <c r="F45" s="4" t="s">
        <v>279</v>
      </c>
      <c r="G45" s="91" t="s">
        <v>32</v>
      </c>
      <c r="H45" s="38" t="s">
        <v>812</v>
      </c>
      <c r="I45" s="39" t="s">
        <v>812</v>
      </c>
      <c r="J45" s="40" t="s">
        <v>812</v>
      </c>
      <c r="K45" s="5">
        <v>287</v>
      </c>
      <c r="L45" s="5" t="s">
        <v>277</v>
      </c>
      <c r="M45" s="110"/>
      <c r="N45" s="56"/>
    </row>
    <row r="46" spans="1:14" ht="39" x14ac:dyDescent="0.35">
      <c r="A46" s="114"/>
      <c r="B46" s="117"/>
      <c r="C46" s="114"/>
      <c r="D46" s="110"/>
      <c r="E46" s="22" t="s">
        <v>280</v>
      </c>
      <c r="F46" s="4" t="s">
        <v>281</v>
      </c>
      <c r="G46" s="91" t="s">
        <v>32</v>
      </c>
      <c r="H46" s="38" t="s">
        <v>812</v>
      </c>
      <c r="I46" s="39" t="s">
        <v>812</v>
      </c>
      <c r="J46" s="40" t="s">
        <v>812</v>
      </c>
      <c r="K46" s="5">
        <v>287</v>
      </c>
      <c r="L46" s="5" t="s">
        <v>277</v>
      </c>
      <c r="M46" s="110"/>
      <c r="N46" s="56"/>
    </row>
    <row r="47" spans="1:14" ht="26" x14ac:dyDescent="0.35">
      <c r="A47" s="114"/>
      <c r="B47" s="117"/>
      <c r="C47" s="114"/>
      <c r="D47" s="110"/>
      <c r="E47" s="22" t="s">
        <v>282</v>
      </c>
      <c r="F47" s="4" t="s">
        <v>283</v>
      </c>
      <c r="G47" s="91" t="s">
        <v>32</v>
      </c>
      <c r="H47" s="38" t="s">
        <v>812</v>
      </c>
      <c r="I47" s="39" t="s">
        <v>812</v>
      </c>
      <c r="J47" s="40" t="s">
        <v>812</v>
      </c>
      <c r="K47" s="5">
        <v>523</v>
      </c>
      <c r="L47" s="5" t="s">
        <v>277</v>
      </c>
      <c r="M47" s="110"/>
      <c r="N47" s="56"/>
    </row>
    <row r="48" spans="1:14" ht="26" x14ac:dyDescent="0.35">
      <c r="A48" s="114"/>
      <c r="B48" s="117"/>
      <c r="C48" s="114"/>
      <c r="D48" s="110"/>
      <c r="E48" s="22" t="s">
        <v>284</v>
      </c>
      <c r="F48" s="4" t="s">
        <v>285</v>
      </c>
      <c r="G48" s="91" t="s">
        <v>32</v>
      </c>
      <c r="H48" s="4"/>
      <c r="I48" s="39" t="s">
        <v>812</v>
      </c>
      <c r="J48" s="40" t="s">
        <v>812</v>
      </c>
      <c r="K48" s="5">
        <v>256</v>
      </c>
      <c r="L48" s="5" t="s">
        <v>277</v>
      </c>
      <c r="M48" s="110"/>
      <c r="N48" s="56"/>
    </row>
    <row r="49" spans="1:14" ht="39" x14ac:dyDescent="0.35">
      <c r="A49" s="114"/>
      <c r="B49" s="117"/>
      <c r="C49" s="115"/>
      <c r="D49" s="111"/>
      <c r="E49" s="22" t="s">
        <v>286</v>
      </c>
      <c r="F49" s="4" t="s">
        <v>287</v>
      </c>
      <c r="G49" s="91" t="s">
        <v>32</v>
      </c>
      <c r="H49" s="4"/>
      <c r="I49" s="39" t="s">
        <v>812</v>
      </c>
      <c r="J49" s="40" t="s">
        <v>812</v>
      </c>
      <c r="K49" s="5">
        <v>310</v>
      </c>
      <c r="L49" s="5" t="s">
        <v>277</v>
      </c>
      <c r="M49" s="110"/>
      <c r="N49" s="56"/>
    </row>
    <row r="50" spans="1:14" ht="39" customHeight="1" x14ac:dyDescent="0.35">
      <c r="A50" s="114"/>
      <c r="B50" s="117"/>
      <c r="C50" s="113" t="s">
        <v>288</v>
      </c>
      <c r="D50" s="109" t="s">
        <v>289</v>
      </c>
      <c r="E50" s="22" t="s">
        <v>290</v>
      </c>
      <c r="F50" s="4" t="s">
        <v>291</v>
      </c>
      <c r="G50" s="91" t="s">
        <v>32</v>
      </c>
      <c r="H50" s="38" t="s">
        <v>812</v>
      </c>
      <c r="I50" s="39" t="s">
        <v>812</v>
      </c>
      <c r="J50" s="40" t="s">
        <v>812</v>
      </c>
      <c r="K50" s="5">
        <v>613</v>
      </c>
      <c r="L50" s="5" t="s">
        <v>292</v>
      </c>
      <c r="M50" s="110"/>
      <c r="N50" s="56"/>
    </row>
    <row r="51" spans="1:14" ht="39" x14ac:dyDescent="0.35">
      <c r="A51" s="114"/>
      <c r="B51" s="117"/>
      <c r="C51" s="114"/>
      <c r="D51" s="110"/>
      <c r="E51" s="22" t="s">
        <v>293</v>
      </c>
      <c r="F51" s="4" t="s">
        <v>294</v>
      </c>
      <c r="G51" s="91" t="s">
        <v>32</v>
      </c>
      <c r="H51" s="4"/>
      <c r="I51" s="39" t="s">
        <v>812</v>
      </c>
      <c r="J51" s="40" t="s">
        <v>812</v>
      </c>
      <c r="K51" s="5">
        <v>320</v>
      </c>
      <c r="L51" s="5" t="s">
        <v>292</v>
      </c>
      <c r="M51" s="110"/>
      <c r="N51" s="56"/>
    </row>
    <row r="52" spans="1:14" ht="26" x14ac:dyDescent="0.35">
      <c r="A52" s="114"/>
      <c r="B52" s="117"/>
      <c r="C52" s="114"/>
      <c r="D52" s="110"/>
      <c r="E52" s="22" t="s">
        <v>295</v>
      </c>
      <c r="F52" s="4" t="s">
        <v>296</v>
      </c>
      <c r="G52" s="91" t="s">
        <v>32</v>
      </c>
      <c r="H52" s="4"/>
      <c r="I52" s="39" t="s">
        <v>812</v>
      </c>
      <c r="J52" s="40" t="s">
        <v>812</v>
      </c>
      <c r="K52" s="5">
        <v>326</v>
      </c>
      <c r="L52" s="5" t="s">
        <v>292</v>
      </c>
      <c r="M52" s="110"/>
      <c r="N52" s="56"/>
    </row>
    <row r="53" spans="1:14" ht="26" x14ac:dyDescent="0.35">
      <c r="A53" s="114"/>
      <c r="B53" s="117"/>
      <c r="C53" s="114"/>
      <c r="D53" s="110"/>
      <c r="E53" s="22" t="s">
        <v>297</v>
      </c>
      <c r="F53" s="4" t="s">
        <v>298</v>
      </c>
      <c r="G53" s="91" t="s">
        <v>32</v>
      </c>
      <c r="H53" s="4"/>
      <c r="I53" s="39" t="s">
        <v>812</v>
      </c>
      <c r="J53" s="40" t="s">
        <v>812</v>
      </c>
      <c r="K53" s="5">
        <v>287</v>
      </c>
      <c r="L53" s="5" t="s">
        <v>292</v>
      </c>
      <c r="M53" s="110"/>
      <c r="N53" s="56"/>
    </row>
    <row r="54" spans="1:14" ht="39" x14ac:dyDescent="0.35">
      <c r="A54" s="114"/>
      <c r="B54" s="117"/>
      <c r="C54" s="114"/>
      <c r="D54" s="110"/>
      <c r="E54" s="22" t="s">
        <v>299</v>
      </c>
      <c r="F54" s="4" t="s">
        <v>300</v>
      </c>
      <c r="G54" s="91" t="s">
        <v>32</v>
      </c>
      <c r="H54" s="4"/>
      <c r="I54" s="39" t="s">
        <v>812</v>
      </c>
      <c r="J54" s="40" t="s">
        <v>812</v>
      </c>
      <c r="K54" s="5">
        <v>287</v>
      </c>
      <c r="L54" s="5" t="s">
        <v>301</v>
      </c>
      <c r="M54" s="110"/>
      <c r="N54" s="56"/>
    </row>
    <row r="55" spans="1:14" ht="39" x14ac:dyDescent="0.35">
      <c r="A55" s="114"/>
      <c r="B55" s="117"/>
      <c r="C55" s="114"/>
      <c r="D55" s="110"/>
      <c r="E55" s="22" t="s">
        <v>302</v>
      </c>
      <c r="F55" s="4" t="s">
        <v>303</v>
      </c>
      <c r="G55" s="91" t="s">
        <v>32</v>
      </c>
      <c r="H55" s="4"/>
      <c r="I55" s="39" t="s">
        <v>812</v>
      </c>
      <c r="J55" s="40" t="s">
        <v>812</v>
      </c>
      <c r="K55" s="5">
        <v>613</v>
      </c>
      <c r="L55" s="5" t="s">
        <v>304</v>
      </c>
      <c r="M55" s="110"/>
      <c r="N55" s="56"/>
    </row>
    <row r="56" spans="1:14" ht="39" x14ac:dyDescent="0.35">
      <c r="A56" s="114"/>
      <c r="B56" s="117"/>
      <c r="C56" s="115"/>
      <c r="D56" s="111"/>
      <c r="E56" s="22" t="s">
        <v>305</v>
      </c>
      <c r="F56" s="4" t="s">
        <v>306</v>
      </c>
      <c r="G56" s="91" t="s">
        <v>32</v>
      </c>
      <c r="H56" s="4"/>
      <c r="I56" s="39" t="s">
        <v>812</v>
      </c>
      <c r="J56" s="40" t="s">
        <v>812</v>
      </c>
      <c r="K56" s="5">
        <v>308</v>
      </c>
      <c r="L56" s="5" t="s">
        <v>307</v>
      </c>
      <c r="M56" s="110"/>
      <c r="N56" s="56"/>
    </row>
    <row r="57" spans="1:14" ht="39" customHeight="1" x14ac:dyDescent="0.35">
      <c r="A57" s="114"/>
      <c r="B57" s="117"/>
      <c r="C57" s="113" t="s">
        <v>308</v>
      </c>
      <c r="D57" s="109" t="s">
        <v>309</v>
      </c>
      <c r="E57" s="22" t="s">
        <v>310</v>
      </c>
      <c r="F57" s="4" t="s">
        <v>311</v>
      </c>
      <c r="G57" s="91" t="s">
        <v>32</v>
      </c>
      <c r="H57" s="4"/>
      <c r="I57" s="39" t="s">
        <v>812</v>
      </c>
      <c r="J57" s="40" t="s">
        <v>812</v>
      </c>
      <c r="K57" s="5">
        <v>320</v>
      </c>
      <c r="L57" s="5" t="s">
        <v>312</v>
      </c>
      <c r="M57" s="110"/>
      <c r="N57" s="56"/>
    </row>
    <row r="58" spans="1:14" ht="39" x14ac:dyDescent="0.35">
      <c r="A58" s="114"/>
      <c r="B58" s="117"/>
      <c r="C58" s="114"/>
      <c r="D58" s="110"/>
      <c r="E58" s="22" t="s">
        <v>313</v>
      </c>
      <c r="F58" s="4" t="s">
        <v>314</v>
      </c>
      <c r="G58" s="91" t="s">
        <v>32</v>
      </c>
      <c r="H58" s="4"/>
      <c r="I58" s="39" t="s">
        <v>812</v>
      </c>
      <c r="J58" s="40" t="s">
        <v>812</v>
      </c>
      <c r="K58" s="5">
        <v>330</v>
      </c>
      <c r="L58" s="5" t="s">
        <v>312</v>
      </c>
      <c r="M58" s="110"/>
      <c r="N58" s="56"/>
    </row>
    <row r="59" spans="1:14" ht="26" x14ac:dyDescent="0.35">
      <c r="A59" s="114"/>
      <c r="B59" s="117"/>
      <c r="C59" s="115"/>
      <c r="D59" s="111"/>
      <c r="E59" s="22" t="s">
        <v>315</v>
      </c>
      <c r="F59" s="4" t="s">
        <v>296</v>
      </c>
      <c r="G59" s="91" t="s">
        <v>32</v>
      </c>
      <c r="H59" s="4"/>
      <c r="I59" s="39" t="s">
        <v>812</v>
      </c>
      <c r="J59" s="40" t="s">
        <v>812</v>
      </c>
      <c r="K59" s="5">
        <v>327</v>
      </c>
      <c r="L59" s="5" t="s">
        <v>312</v>
      </c>
      <c r="M59" s="110"/>
      <c r="N59" s="56"/>
    </row>
    <row r="60" spans="1:14" ht="26.25" customHeight="1" x14ac:dyDescent="0.35">
      <c r="A60" s="114"/>
      <c r="B60" s="117"/>
      <c r="C60" s="113" t="s">
        <v>316</v>
      </c>
      <c r="D60" s="109" t="s">
        <v>317</v>
      </c>
      <c r="E60" s="22" t="s">
        <v>318</v>
      </c>
      <c r="F60" s="4" t="s">
        <v>319</v>
      </c>
      <c r="G60" s="91" t="s">
        <v>32</v>
      </c>
      <c r="H60" s="4"/>
      <c r="I60" s="39" t="s">
        <v>812</v>
      </c>
      <c r="J60" s="40" t="s">
        <v>812</v>
      </c>
      <c r="K60" s="5">
        <v>287</v>
      </c>
      <c r="L60" s="5" t="s">
        <v>320</v>
      </c>
      <c r="M60" s="110"/>
      <c r="N60" s="56" t="s">
        <v>813</v>
      </c>
    </row>
    <row r="61" spans="1:14" ht="26" x14ac:dyDescent="0.35">
      <c r="A61" s="114"/>
      <c r="B61" s="117"/>
      <c r="C61" s="114"/>
      <c r="D61" s="110"/>
      <c r="E61" s="22" t="s">
        <v>321</v>
      </c>
      <c r="F61" s="4" t="s">
        <v>322</v>
      </c>
      <c r="G61" s="91" t="s">
        <v>32</v>
      </c>
      <c r="H61" s="4"/>
      <c r="I61" s="39" t="s">
        <v>812</v>
      </c>
      <c r="J61" s="40" t="s">
        <v>812</v>
      </c>
      <c r="K61" s="5">
        <v>255</v>
      </c>
      <c r="L61" s="5" t="s">
        <v>320</v>
      </c>
      <c r="M61" s="110"/>
      <c r="N61" s="56" t="s">
        <v>813</v>
      </c>
    </row>
    <row r="62" spans="1:14" ht="26" x14ac:dyDescent="0.35">
      <c r="A62" s="114"/>
      <c r="B62" s="117"/>
      <c r="C62" s="114"/>
      <c r="D62" s="110"/>
      <c r="E62" s="22" t="s">
        <v>323</v>
      </c>
      <c r="F62" s="4" t="s">
        <v>324</v>
      </c>
      <c r="G62" s="91" t="s">
        <v>32</v>
      </c>
      <c r="H62" s="4"/>
      <c r="I62" s="39" t="s">
        <v>812</v>
      </c>
      <c r="J62" s="40" t="s">
        <v>812</v>
      </c>
      <c r="K62" s="5">
        <v>522</v>
      </c>
      <c r="L62" s="5" t="s">
        <v>320</v>
      </c>
      <c r="M62" s="110"/>
      <c r="N62" s="56" t="s">
        <v>813</v>
      </c>
    </row>
    <row r="63" spans="1:14" ht="78" x14ac:dyDescent="0.35">
      <c r="A63" s="115"/>
      <c r="B63" s="118"/>
      <c r="C63" s="115"/>
      <c r="D63" s="111"/>
      <c r="E63" s="22" t="s">
        <v>325</v>
      </c>
      <c r="F63" s="4" t="s">
        <v>326</v>
      </c>
      <c r="G63" s="91" t="s">
        <v>32</v>
      </c>
      <c r="H63" s="4"/>
      <c r="I63" s="39" t="s">
        <v>812</v>
      </c>
      <c r="J63" s="40" t="s">
        <v>812</v>
      </c>
      <c r="K63" s="5">
        <v>798</v>
      </c>
      <c r="L63" s="4"/>
      <c r="M63" s="111"/>
      <c r="N63" s="56" t="s">
        <v>813</v>
      </c>
    </row>
    <row r="64" spans="1:14" s="13" customFormat="1" x14ac:dyDescent="0.35">
      <c r="B64" s="25"/>
      <c r="E64" s="26"/>
      <c r="N64" s="42"/>
    </row>
    <row r="65" spans="2:14" s="13" customFormat="1" x14ac:dyDescent="0.35">
      <c r="B65" s="25"/>
      <c r="E65" s="26"/>
      <c r="N65" s="42"/>
    </row>
    <row r="66" spans="2:14" s="13" customFormat="1" x14ac:dyDescent="0.35">
      <c r="B66" s="25"/>
      <c r="E66" s="26"/>
      <c r="N66" s="42"/>
    </row>
    <row r="67" spans="2:14" s="13" customFormat="1" x14ac:dyDescent="0.35">
      <c r="B67" s="25"/>
      <c r="E67" s="26"/>
      <c r="N67" s="42"/>
    </row>
    <row r="68" spans="2:14" s="13" customFormat="1" x14ac:dyDescent="0.35">
      <c r="B68" s="25"/>
      <c r="E68" s="26"/>
      <c r="N68" s="42"/>
    </row>
    <row r="69" spans="2:14" s="13" customFormat="1" x14ac:dyDescent="0.35">
      <c r="B69" s="25"/>
      <c r="E69" s="26"/>
      <c r="N69" s="42"/>
    </row>
    <row r="70" spans="2:14" s="13" customFormat="1" x14ac:dyDescent="0.35">
      <c r="B70" s="25"/>
      <c r="E70" s="26"/>
      <c r="N70" s="42"/>
    </row>
    <row r="71" spans="2:14" s="13" customFormat="1" x14ac:dyDescent="0.35">
      <c r="B71" s="25"/>
      <c r="E71" s="26"/>
      <c r="N71" s="42"/>
    </row>
    <row r="72" spans="2:14" s="13" customFormat="1" x14ac:dyDescent="0.35">
      <c r="B72" s="25"/>
      <c r="E72" s="26"/>
      <c r="N72" s="42"/>
    </row>
    <row r="73" spans="2:14" s="13" customFormat="1" x14ac:dyDescent="0.35">
      <c r="B73" s="25"/>
      <c r="E73" s="26"/>
      <c r="N73" s="42"/>
    </row>
    <row r="74" spans="2:14" s="13" customFormat="1" x14ac:dyDescent="0.35">
      <c r="B74" s="25"/>
      <c r="E74" s="26"/>
      <c r="N74" s="42"/>
    </row>
    <row r="75" spans="2:14" s="13" customFormat="1" x14ac:dyDescent="0.35">
      <c r="B75" s="25"/>
      <c r="E75" s="26"/>
      <c r="N75" s="42"/>
    </row>
    <row r="76" spans="2:14" s="13" customFormat="1" x14ac:dyDescent="0.35">
      <c r="B76" s="25"/>
      <c r="E76" s="26"/>
      <c r="N76" s="42"/>
    </row>
    <row r="77" spans="2:14" s="13" customFormat="1" x14ac:dyDescent="0.35">
      <c r="B77" s="25"/>
      <c r="E77" s="26"/>
      <c r="N77" s="42"/>
    </row>
    <row r="78" spans="2:14" s="13" customFormat="1" x14ac:dyDescent="0.35">
      <c r="B78" s="25"/>
      <c r="E78" s="26"/>
      <c r="N78" s="42"/>
    </row>
    <row r="79" spans="2:14" s="13" customFormat="1" x14ac:dyDescent="0.35">
      <c r="B79" s="25"/>
      <c r="E79" s="26"/>
      <c r="N79" s="42"/>
    </row>
    <row r="80" spans="2:14" s="13" customFormat="1" x14ac:dyDescent="0.35">
      <c r="B80" s="25"/>
      <c r="E80" s="26"/>
      <c r="N80" s="42"/>
    </row>
    <row r="81" spans="2:14" s="13" customFormat="1" x14ac:dyDescent="0.35">
      <c r="B81" s="25"/>
      <c r="E81" s="26"/>
      <c r="N81" s="42"/>
    </row>
    <row r="82" spans="2:14" s="13" customFormat="1" x14ac:dyDescent="0.35">
      <c r="B82" s="25"/>
      <c r="E82" s="26"/>
      <c r="N82" s="42"/>
    </row>
    <row r="83" spans="2:14" s="13" customFormat="1" x14ac:dyDescent="0.35">
      <c r="B83" s="25"/>
      <c r="E83" s="26"/>
      <c r="N83" s="42"/>
    </row>
    <row r="84" spans="2:14" s="13" customFormat="1" x14ac:dyDescent="0.35">
      <c r="B84" s="25"/>
      <c r="E84" s="26"/>
      <c r="N84" s="42"/>
    </row>
    <row r="85" spans="2:14" s="13" customFormat="1" x14ac:dyDescent="0.35">
      <c r="B85" s="25"/>
      <c r="E85" s="26"/>
      <c r="N85" s="42"/>
    </row>
    <row r="86" spans="2:14" s="13" customFormat="1" x14ac:dyDescent="0.35">
      <c r="B86" s="25"/>
      <c r="E86" s="26"/>
      <c r="N86" s="42"/>
    </row>
    <row r="87" spans="2:14" s="13" customFormat="1" x14ac:dyDescent="0.35">
      <c r="B87" s="25"/>
      <c r="E87" s="26"/>
      <c r="N87" s="42"/>
    </row>
    <row r="88" spans="2:14" s="13" customFormat="1" x14ac:dyDescent="0.35">
      <c r="B88" s="25"/>
      <c r="E88" s="26"/>
      <c r="N88" s="42"/>
    </row>
    <row r="89" spans="2:14" s="13" customFormat="1" x14ac:dyDescent="0.35">
      <c r="B89" s="25"/>
      <c r="E89" s="26"/>
      <c r="N89" s="42"/>
    </row>
    <row r="90" spans="2:14" s="13" customFormat="1" x14ac:dyDescent="0.35">
      <c r="B90" s="25"/>
      <c r="E90" s="26"/>
      <c r="N90" s="42"/>
    </row>
    <row r="91" spans="2:14" s="13" customFormat="1" x14ac:dyDescent="0.35">
      <c r="B91" s="25"/>
      <c r="E91" s="26"/>
      <c r="N91" s="42"/>
    </row>
    <row r="92" spans="2:14" s="13" customFormat="1" x14ac:dyDescent="0.35">
      <c r="B92" s="25"/>
      <c r="E92" s="26"/>
      <c r="N92" s="42"/>
    </row>
    <row r="93" spans="2:14" s="13" customFormat="1" x14ac:dyDescent="0.35">
      <c r="B93" s="25"/>
      <c r="E93" s="26"/>
      <c r="N93" s="42"/>
    </row>
    <row r="94" spans="2:14" s="13" customFormat="1" x14ac:dyDescent="0.35">
      <c r="B94" s="25"/>
      <c r="E94" s="26"/>
      <c r="N94" s="42"/>
    </row>
    <row r="95" spans="2:14" s="13" customFormat="1" x14ac:dyDescent="0.35">
      <c r="B95" s="25"/>
      <c r="E95" s="26"/>
      <c r="N95" s="42"/>
    </row>
    <row r="96" spans="2:14" s="13" customFormat="1" x14ac:dyDescent="0.35">
      <c r="B96" s="25"/>
      <c r="E96" s="26"/>
      <c r="N96" s="42"/>
    </row>
    <row r="97" spans="2:14" s="13" customFormat="1" x14ac:dyDescent="0.35">
      <c r="B97" s="25"/>
      <c r="E97" s="26"/>
      <c r="N97" s="42"/>
    </row>
    <row r="98" spans="2:14" s="13" customFormat="1" x14ac:dyDescent="0.35">
      <c r="B98" s="25"/>
      <c r="E98" s="26"/>
      <c r="N98" s="42"/>
    </row>
    <row r="99" spans="2:14" s="13" customFormat="1" x14ac:dyDescent="0.35">
      <c r="B99" s="25"/>
      <c r="E99" s="26"/>
      <c r="N99" s="42"/>
    </row>
    <row r="100" spans="2:14" s="13" customFormat="1" x14ac:dyDescent="0.35">
      <c r="B100" s="25"/>
      <c r="E100" s="26"/>
      <c r="N100" s="42"/>
    </row>
    <row r="101" spans="2:14" s="13" customFormat="1" x14ac:dyDescent="0.35">
      <c r="B101" s="25"/>
      <c r="E101" s="26"/>
      <c r="N101" s="42"/>
    </row>
    <row r="102" spans="2:14" s="13" customFormat="1" x14ac:dyDescent="0.35">
      <c r="B102" s="25"/>
      <c r="E102" s="26"/>
      <c r="N102" s="42"/>
    </row>
    <row r="103" spans="2:14" s="13" customFormat="1" x14ac:dyDescent="0.35">
      <c r="B103" s="25"/>
      <c r="E103" s="26"/>
      <c r="N103" s="42"/>
    </row>
    <row r="104" spans="2:14" s="13" customFormat="1" x14ac:dyDescent="0.35">
      <c r="B104" s="25"/>
      <c r="E104" s="26"/>
      <c r="N104" s="42"/>
    </row>
    <row r="105" spans="2:14" s="13" customFormat="1" x14ac:dyDescent="0.35">
      <c r="B105" s="25"/>
      <c r="E105" s="26"/>
      <c r="N105" s="42"/>
    </row>
    <row r="106" spans="2:14" s="13" customFormat="1" x14ac:dyDescent="0.35">
      <c r="B106" s="25"/>
      <c r="E106" s="26"/>
      <c r="N106" s="42"/>
    </row>
    <row r="107" spans="2:14" s="13" customFormat="1" x14ac:dyDescent="0.35">
      <c r="B107" s="25"/>
      <c r="E107" s="26"/>
      <c r="N107" s="42"/>
    </row>
    <row r="108" spans="2:14" s="13" customFormat="1" x14ac:dyDescent="0.35">
      <c r="B108" s="25"/>
      <c r="E108" s="26"/>
      <c r="N108" s="42"/>
    </row>
    <row r="109" spans="2:14" s="13" customFormat="1" x14ac:dyDescent="0.35">
      <c r="B109" s="25"/>
      <c r="E109" s="26"/>
      <c r="N109" s="42"/>
    </row>
    <row r="110" spans="2:14" s="13" customFormat="1" x14ac:dyDescent="0.35">
      <c r="B110" s="25"/>
      <c r="E110" s="26"/>
      <c r="N110" s="42"/>
    </row>
    <row r="111" spans="2:14" s="13" customFormat="1" x14ac:dyDescent="0.35">
      <c r="B111" s="25"/>
      <c r="E111" s="26"/>
      <c r="N111" s="42"/>
    </row>
    <row r="112" spans="2:14" s="13" customFormat="1" x14ac:dyDescent="0.35">
      <c r="B112" s="25"/>
      <c r="E112" s="26"/>
      <c r="N112" s="42"/>
    </row>
    <row r="113" spans="2:14" s="13" customFormat="1" x14ac:dyDescent="0.35">
      <c r="B113" s="25"/>
      <c r="E113" s="26"/>
      <c r="N113" s="42"/>
    </row>
    <row r="114" spans="2:14" s="13" customFormat="1" x14ac:dyDescent="0.35">
      <c r="B114" s="25"/>
      <c r="E114" s="26"/>
      <c r="N114" s="42"/>
    </row>
    <row r="115" spans="2:14" s="13" customFormat="1" x14ac:dyDescent="0.35">
      <c r="B115" s="25"/>
      <c r="E115" s="26"/>
      <c r="N115" s="42"/>
    </row>
    <row r="116" spans="2:14" s="13" customFormat="1" x14ac:dyDescent="0.35">
      <c r="B116" s="25"/>
      <c r="E116" s="26"/>
      <c r="N116" s="42"/>
    </row>
    <row r="117" spans="2:14" s="13" customFormat="1" x14ac:dyDescent="0.35">
      <c r="B117" s="25"/>
      <c r="E117" s="26"/>
      <c r="N117" s="42"/>
    </row>
    <row r="118" spans="2:14" s="13" customFormat="1" x14ac:dyDescent="0.35">
      <c r="B118" s="25"/>
      <c r="E118" s="26"/>
      <c r="N118" s="42"/>
    </row>
    <row r="119" spans="2:14" s="13" customFormat="1" x14ac:dyDescent="0.35">
      <c r="B119" s="25"/>
      <c r="E119" s="26"/>
      <c r="N119" s="42"/>
    </row>
    <row r="120" spans="2:14" s="13" customFormat="1" x14ac:dyDescent="0.35">
      <c r="B120" s="25"/>
      <c r="E120" s="26"/>
      <c r="N120" s="42"/>
    </row>
    <row r="121" spans="2:14" s="13" customFormat="1" x14ac:dyDescent="0.35">
      <c r="B121" s="25"/>
      <c r="E121" s="26"/>
      <c r="N121" s="42"/>
    </row>
    <row r="122" spans="2:14" s="13" customFormat="1" x14ac:dyDescent="0.35">
      <c r="B122" s="25"/>
      <c r="E122" s="26"/>
      <c r="N122" s="42"/>
    </row>
    <row r="123" spans="2:14" s="13" customFormat="1" x14ac:dyDescent="0.35">
      <c r="B123" s="25"/>
      <c r="E123" s="26"/>
      <c r="N123" s="42"/>
    </row>
    <row r="124" spans="2:14" s="13" customFormat="1" x14ac:dyDescent="0.35">
      <c r="B124" s="25"/>
      <c r="E124" s="26"/>
      <c r="N124" s="42"/>
    </row>
    <row r="125" spans="2:14" s="13" customFormat="1" x14ac:dyDescent="0.35">
      <c r="B125" s="25"/>
      <c r="E125" s="26"/>
      <c r="N125" s="42"/>
    </row>
    <row r="126" spans="2:14" s="13" customFormat="1" x14ac:dyDescent="0.35">
      <c r="B126" s="25"/>
      <c r="E126" s="26"/>
      <c r="N126" s="42"/>
    </row>
    <row r="127" spans="2:14" s="13" customFormat="1" x14ac:dyDescent="0.35">
      <c r="B127" s="25"/>
      <c r="E127" s="26"/>
      <c r="N127" s="42"/>
    </row>
    <row r="128" spans="2:14" s="13" customFormat="1" x14ac:dyDescent="0.35">
      <c r="B128" s="25"/>
      <c r="E128" s="26"/>
      <c r="N128" s="42"/>
    </row>
    <row r="129" spans="2:14" s="13" customFormat="1" x14ac:dyDescent="0.35">
      <c r="B129" s="25"/>
      <c r="E129" s="26"/>
      <c r="N129" s="42"/>
    </row>
    <row r="130" spans="2:14" s="13" customFormat="1" x14ac:dyDescent="0.35">
      <c r="B130" s="25"/>
      <c r="E130" s="26"/>
      <c r="N130" s="42"/>
    </row>
    <row r="131" spans="2:14" s="13" customFormat="1" x14ac:dyDescent="0.35">
      <c r="B131" s="25"/>
      <c r="E131" s="26"/>
      <c r="N131" s="42"/>
    </row>
    <row r="132" spans="2:14" s="13" customFormat="1" x14ac:dyDescent="0.35">
      <c r="B132" s="25"/>
      <c r="E132" s="26"/>
      <c r="N132" s="42"/>
    </row>
    <row r="133" spans="2:14" s="13" customFormat="1" x14ac:dyDescent="0.35">
      <c r="B133" s="25"/>
      <c r="E133" s="26"/>
      <c r="N133" s="42"/>
    </row>
    <row r="134" spans="2:14" s="13" customFormat="1" x14ac:dyDescent="0.35">
      <c r="B134" s="25"/>
      <c r="E134" s="26"/>
      <c r="N134" s="42"/>
    </row>
    <row r="135" spans="2:14" s="13" customFormat="1" x14ac:dyDescent="0.35">
      <c r="B135" s="25"/>
      <c r="E135" s="26"/>
      <c r="N135" s="42"/>
    </row>
    <row r="136" spans="2:14" s="13" customFormat="1" x14ac:dyDescent="0.35">
      <c r="B136" s="25"/>
      <c r="E136" s="26"/>
      <c r="N136" s="42"/>
    </row>
    <row r="137" spans="2:14" s="13" customFormat="1" x14ac:dyDescent="0.35">
      <c r="B137" s="25"/>
      <c r="E137" s="26"/>
      <c r="N137" s="42"/>
    </row>
    <row r="138" spans="2:14" s="13" customFormat="1" x14ac:dyDescent="0.35">
      <c r="B138" s="25"/>
      <c r="E138" s="26"/>
      <c r="N138" s="42"/>
    </row>
    <row r="139" spans="2:14" s="13" customFormat="1" x14ac:dyDescent="0.35">
      <c r="B139" s="25"/>
      <c r="E139" s="26"/>
      <c r="N139" s="42"/>
    </row>
    <row r="140" spans="2:14" s="13" customFormat="1" x14ac:dyDescent="0.35">
      <c r="B140" s="25"/>
      <c r="E140" s="26"/>
      <c r="N140" s="42"/>
    </row>
    <row r="141" spans="2:14" s="13" customFormat="1" x14ac:dyDescent="0.35">
      <c r="B141" s="25"/>
      <c r="E141" s="26"/>
      <c r="N141" s="42"/>
    </row>
    <row r="142" spans="2:14" s="13" customFormat="1" x14ac:dyDescent="0.35">
      <c r="B142" s="25"/>
      <c r="E142" s="26"/>
      <c r="N142" s="42"/>
    </row>
    <row r="143" spans="2:14" s="13" customFormat="1" x14ac:dyDescent="0.35">
      <c r="B143" s="25"/>
      <c r="E143" s="26"/>
      <c r="N143" s="42"/>
    </row>
    <row r="144" spans="2:14" s="13" customFormat="1" x14ac:dyDescent="0.35">
      <c r="B144" s="25"/>
      <c r="E144" s="26"/>
      <c r="N144" s="42"/>
    </row>
    <row r="145" spans="2:14" s="13" customFormat="1" x14ac:dyDescent="0.35">
      <c r="B145" s="25"/>
      <c r="E145" s="26"/>
      <c r="N145" s="42"/>
    </row>
    <row r="146" spans="2:14" s="13" customFormat="1" x14ac:dyDescent="0.35">
      <c r="B146" s="25"/>
      <c r="E146" s="26"/>
      <c r="N146" s="42"/>
    </row>
    <row r="147" spans="2:14" s="13" customFormat="1" x14ac:dyDescent="0.35">
      <c r="B147" s="25"/>
      <c r="E147" s="26"/>
      <c r="N147" s="42"/>
    </row>
    <row r="148" spans="2:14" s="13" customFormat="1" x14ac:dyDescent="0.35">
      <c r="B148" s="25"/>
      <c r="E148" s="26"/>
      <c r="N148" s="42"/>
    </row>
    <row r="149" spans="2:14" s="13" customFormat="1" x14ac:dyDescent="0.35">
      <c r="B149" s="25"/>
      <c r="E149" s="26"/>
      <c r="N149" s="42"/>
    </row>
    <row r="150" spans="2:14" s="13" customFormat="1" x14ac:dyDescent="0.35">
      <c r="B150" s="25"/>
      <c r="E150" s="26"/>
      <c r="N150" s="42"/>
    </row>
    <row r="151" spans="2:14" s="13" customFormat="1" x14ac:dyDescent="0.35">
      <c r="B151" s="25"/>
      <c r="E151" s="26"/>
      <c r="N151" s="42"/>
    </row>
    <row r="152" spans="2:14" s="13" customFormat="1" x14ac:dyDescent="0.35">
      <c r="B152" s="25"/>
      <c r="E152" s="26"/>
      <c r="N152" s="42"/>
    </row>
    <row r="153" spans="2:14" s="13" customFormat="1" x14ac:dyDescent="0.35">
      <c r="B153" s="25"/>
      <c r="E153" s="26"/>
      <c r="N153" s="42"/>
    </row>
    <row r="154" spans="2:14" s="13" customFormat="1" x14ac:dyDescent="0.35">
      <c r="B154" s="25"/>
      <c r="E154" s="26"/>
      <c r="N154" s="42"/>
    </row>
    <row r="155" spans="2:14" s="13" customFormat="1" x14ac:dyDescent="0.35">
      <c r="B155" s="25"/>
      <c r="E155" s="26"/>
      <c r="N155" s="42"/>
    </row>
    <row r="156" spans="2:14" s="13" customFormat="1" x14ac:dyDescent="0.35">
      <c r="B156" s="25"/>
      <c r="E156" s="26"/>
      <c r="N156" s="42"/>
    </row>
    <row r="157" spans="2:14" s="13" customFormat="1" x14ac:dyDescent="0.35">
      <c r="B157" s="25"/>
      <c r="E157" s="26"/>
      <c r="N157" s="42"/>
    </row>
    <row r="158" spans="2:14" s="13" customFormat="1" x14ac:dyDescent="0.35">
      <c r="B158" s="25"/>
      <c r="E158" s="26"/>
      <c r="N158" s="42"/>
    </row>
    <row r="159" spans="2:14" s="13" customFormat="1" x14ac:dyDescent="0.35">
      <c r="B159" s="25"/>
      <c r="E159" s="26"/>
      <c r="N159" s="42"/>
    </row>
    <row r="160" spans="2:14" s="13" customFormat="1" x14ac:dyDescent="0.35">
      <c r="B160" s="25"/>
      <c r="E160" s="26"/>
      <c r="N160" s="42"/>
    </row>
    <row r="161" spans="2:14" s="13" customFormat="1" x14ac:dyDescent="0.35">
      <c r="B161" s="25"/>
      <c r="E161" s="26"/>
      <c r="N161" s="42"/>
    </row>
    <row r="162" spans="2:14" s="13" customFormat="1" x14ac:dyDescent="0.35">
      <c r="B162" s="25"/>
      <c r="E162" s="26"/>
      <c r="N162" s="42"/>
    </row>
    <row r="163" spans="2:14" s="13" customFormat="1" x14ac:dyDescent="0.35">
      <c r="B163" s="25"/>
      <c r="E163" s="26"/>
      <c r="N163" s="42"/>
    </row>
    <row r="164" spans="2:14" s="13" customFormat="1" x14ac:dyDescent="0.35">
      <c r="B164" s="25"/>
      <c r="E164" s="26"/>
      <c r="N164" s="42"/>
    </row>
    <row r="165" spans="2:14" s="13" customFormat="1" x14ac:dyDescent="0.35">
      <c r="B165" s="25"/>
      <c r="E165" s="26"/>
      <c r="N165" s="42"/>
    </row>
    <row r="166" spans="2:14" s="13" customFormat="1" x14ac:dyDescent="0.35">
      <c r="B166" s="25"/>
      <c r="E166" s="26"/>
      <c r="N166" s="42"/>
    </row>
    <row r="167" spans="2:14" s="13" customFormat="1" x14ac:dyDescent="0.35">
      <c r="B167" s="25"/>
      <c r="E167" s="26"/>
      <c r="N167" s="42"/>
    </row>
    <row r="168" spans="2:14" s="13" customFormat="1" x14ac:dyDescent="0.35">
      <c r="B168" s="25"/>
      <c r="E168" s="26"/>
      <c r="N168" s="42"/>
    </row>
    <row r="169" spans="2:14" s="13" customFormat="1" x14ac:dyDescent="0.35">
      <c r="B169" s="25"/>
      <c r="E169" s="26"/>
      <c r="N169" s="42"/>
    </row>
    <row r="170" spans="2:14" s="13" customFormat="1" x14ac:dyDescent="0.35">
      <c r="B170" s="25"/>
      <c r="E170" s="26"/>
      <c r="N170" s="42"/>
    </row>
    <row r="171" spans="2:14" s="13" customFormat="1" x14ac:dyDescent="0.35">
      <c r="B171" s="25"/>
      <c r="E171" s="26"/>
      <c r="N171" s="42"/>
    </row>
    <row r="172" spans="2:14" s="13" customFormat="1" x14ac:dyDescent="0.35">
      <c r="B172" s="25"/>
      <c r="E172" s="26"/>
      <c r="N172" s="42"/>
    </row>
    <row r="173" spans="2:14" s="13" customFormat="1" x14ac:dyDescent="0.35">
      <c r="B173" s="25"/>
      <c r="E173" s="26"/>
      <c r="N173" s="42"/>
    </row>
    <row r="174" spans="2:14" s="13" customFormat="1" x14ac:dyDescent="0.35">
      <c r="B174" s="25"/>
      <c r="E174" s="26"/>
      <c r="N174" s="42"/>
    </row>
    <row r="175" spans="2:14" s="13" customFormat="1" x14ac:dyDescent="0.35">
      <c r="B175" s="25"/>
      <c r="E175" s="26"/>
      <c r="N175" s="42"/>
    </row>
    <row r="176" spans="2:14" s="13" customFormat="1" x14ac:dyDescent="0.35">
      <c r="B176" s="25"/>
      <c r="E176" s="26"/>
      <c r="N176" s="42"/>
    </row>
    <row r="177" spans="2:14" s="13" customFormat="1" x14ac:dyDescent="0.35">
      <c r="B177" s="25"/>
      <c r="E177" s="26"/>
      <c r="N177" s="42"/>
    </row>
    <row r="178" spans="2:14" s="13" customFormat="1" x14ac:dyDescent="0.35">
      <c r="B178" s="25"/>
      <c r="E178" s="26"/>
      <c r="N178" s="42"/>
    </row>
    <row r="179" spans="2:14" s="13" customFormat="1" x14ac:dyDescent="0.35">
      <c r="B179" s="25"/>
      <c r="E179" s="26"/>
      <c r="N179" s="42"/>
    </row>
    <row r="180" spans="2:14" s="13" customFormat="1" x14ac:dyDescent="0.35">
      <c r="B180" s="25"/>
      <c r="E180" s="26"/>
      <c r="N180" s="42"/>
    </row>
    <row r="181" spans="2:14" s="13" customFormat="1" x14ac:dyDescent="0.35">
      <c r="B181" s="25"/>
      <c r="E181" s="26"/>
      <c r="N181" s="42"/>
    </row>
    <row r="182" spans="2:14" s="13" customFormat="1" x14ac:dyDescent="0.35">
      <c r="B182" s="25"/>
      <c r="E182" s="26"/>
      <c r="N182" s="42"/>
    </row>
    <row r="183" spans="2:14" s="13" customFormat="1" x14ac:dyDescent="0.35">
      <c r="B183" s="25"/>
      <c r="E183" s="26"/>
      <c r="N183" s="42"/>
    </row>
    <row r="184" spans="2:14" s="13" customFormat="1" x14ac:dyDescent="0.35">
      <c r="B184" s="25"/>
      <c r="E184" s="26"/>
      <c r="N184" s="42"/>
    </row>
    <row r="185" spans="2:14" s="13" customFormat="1" x14ac:dyDescent="0.35">
      <c r="B185" s="25"/>
      <c r="E185" s="26"/>
      <c r="N185" s="42"/>
    </row>
    <row r="186" spans="2:14" s="13" customFormat="1" x14ac:dyDescent="0.35">
      <c r="B186" s="25"/>
      <c r="E186" s="26"/>
      <c r="N186" s="42"/>
    </row>
    <row r="187" spans="2:14" s="13" customFormat="1" x14ac:dyDescent="0.35">
      <c r="B187" s="25"/>
      <c r="E187" s="26"/>
      <c r="N187" s="42"/>
    </row>
    <row r="188" spans="2:14" s="13" customFormat="1" x14ac:dyDescent="0.35">
      <c r="B188" s="25"/>
      <c r="E188" s="26"/>
      <c r="N188" s="42"/>
    </row>
    <row r="189" spans="2:14" s="13" customFormat="1" x14ac:dyDescent="0.35">
      <c r="B189" s="25"/>
      <c r="E189" s="26"/>
      <c r="N189" s="42"/>
    </row>
    <row r="190" spans="2:14" s="13" customFormat="1" x14ac:dyDescent="0.35">
      <c r="B190" s="25"/>
      <c r="E190" s="26"/>
      <c r="N190" s="42"/>
    </row>
    <row r="191" spans="2:14" s="13" customFormat="1" x14ac:dyDescent="0.35">
      <c r="B191" s="25"/>
      <c r="E191" s="26"/>
      <c r="N191" s="42"/>
    </row>
    <row r="192" spans="2:14" s="13" customFormat="1" x14ac:dyDescent="0.35">
      <c r="B192" s="25"/>
      <c r="E192" s="26"/>
      <c r="N192" s="42"/>
    </row>
    <row r="193" spans="2:14" s="13" customFormat="1" x14ac:dyDescent="0.35">
      <c r="B193" s="25"/>
      <c r="E193" s="26"/>
      <c r="N193" s="42"/>
    </row>
    <row r="194" spans="2:14" s="13" customFormat="1" x14ac:dyDescent="0.35">
      <c r="B194" s="25"/>
      <c r="E194" s="26"/>
      <c r="N194" s="42"/>
    </row>
    <row r="195" spans="2:14" s="13" customFormat="1" x14ac:dyDescent="0.35">
      <c r="B195" s="25"/>
      <c r="E195" s="26"/>
      <c r="N195" s="42"/>
    </row>
    <row r="196" spans="2:14" s="13" customFormat="1" x14ac:dyDescent="0.35">
      <c r="B196" s="25"/>
      <c r="E196" s="26"/>
      <c r="N196" s="42"/>
    </row>
    <row r="197" spans="2:14" s="13" customFormat="1" x14ac:dyDescent="0.35">
      <c r="B197" s="25"/>
      <c r="E197" s="26"/>
      <c r="N197" s="42"/>
    </row>
    <row r="198" spans="2:14" s="13" customFormat="1" x14ac:dyDescent="0.35">
      <c r="B198" s="25"/>
      <c r="E198" s="26"/>
      <c r="N198" s="42"/>
    </row>
    <row r="199" spans="2:14" s="13" customFormat="1" x14ac:dyDescent="0.35">
      <c r="B199" s="25"/>
      <c r="E199" s="26"/>
      <c r="N199" s="42"/>
    </row>
    <row r="200" spans="2:14" s="13" customFormat="1" x14ac:dyDescent="0.35">
      <c r="B200" s="25"/>
      <c r="E200" s="26"/>
      <c r="N200" s="42"/>
    </row>
    <row r="201" spans="2:14" s="13" customFormat="1" x14ac:dyDescent="0.35">
      <c r="B201" s="25"/>
      <c r="E201" s="26"/>
      <c r="N201" s="42"/>
    </row>
    <row r="202" spans="2:14" s="13" customFormat="1" x14ac:dyDescent="0.35">
      <c r="B202" s="25"/>
      <c r="E202" s="26"/>
      <c r="N202" s="42"/>
    </row>
    <row r="203" spans="2:14" s="13" customFormat="1" x14ac:dyDescent="0.35">
      <c r="B203" s="25"/>
      <c r="E203" s="26"/>
      <c r="N203" s="42"/>
    </row>
    <row r="204" spans="2:14" s="13" customFormat="1" x14ac:dyDescent="0.35">
      <c r="B204" s="25"/>
      <c r="E204" s="26"/>
      <c r="N204" s="42"/>
    </row>
    <row r="205" spans="2:14" s="13" customFormat="1" x14ac:dyDescent="0.35">
      <c r="B205" s="25"/>
      <c r="E205" s="26"/>
      <c r="N205" s="42"/>
    </row>
    <row r="206" spans="2:14" s="13" customFormat="1" x14ac:dyDescent="0.35">
      <c r="B206" s="25"/>
      <c r="E206" s="26"/>
      <c r="N206" s="42"/>
    </row>
    <row r="207" spans="2:14" s="13" customFormat="1" x14ac:dyDescent="0.35">
      <c r="B207" s="25"/>
      <c r="E207" s="26"/>
      <c r="N207" s="42"/>
    </row>
    <row r="208" spans="2:14" s="13" customFormat="1" x14ac:dyDescent="0.35">
      <c r="B208" s="25"/>
      <c r="E208" s="26"/>
      <c r="N208" s="42"/>
    </row>
    <row r="209" spans="2:14" s="13" customFormat="1" x14ac:dyDescent="0.35">
      <c r="B209" s="25"/>
      <c r="E209" s="26"/>
      <c r="N209" s="42"/>
    </row>
    <row r="210" spans="2:14" s="13" customFormat="1" x14ac:dyDescent="0.35">
      <c r="B210" s="25"/>
      <c r="E210" s="26"/>
      <c r="N210" s="42"/>
    </row>
    <row r="211" spans="2:14" s="13" customFormat="1" x14ac:dyDescent="0.35">
      <c r="B211" s="25"/>
      <c r="E211" s="26"/>
      <c r="N211" s="42"/>
    </row>
    <row r="212" spans="2:14" s="13" customFormat="1" x14ac:dyDescent="0.35">
      <c r="B212" s="25"/>
      <c r="E212" s="26"/>
      <c r="N212" s="42"/>
    </row>
    <row r="213" spans="2:14" s="13" customFormat="1" x14ac:dyDescent="0.35">
      <c r="B213" s="25"/>
      <c r="E213" s="26"/>
      <c r="N213" s="42"/>
    </row>
    <row r="214" spans="2:14" s="13" customFormat="1" x14ac:dyDescent="0.35">
      <c r="B214" s="25"/>
      <c r="E214" s="26"/>
      <c r="N214" s="42"/>
    </row>
    <row r="215" spans="2:14" s="13" customFormat="1" x14ac:dyDescent="0.35">
      <c r="B215" s="25"/>
      <c r="E215" s="26"/>
      <c r="N215" s="42"/>
    </row>
    <row r="216" spans="2:14" s="13" customFormat="1" x14ac:dyDescent="0.35">
      <c r="B216" s="25"/>
      <c r="E216" s="26"/>
      <c r="N216" s="42"/>
    </row>
    <row r="217" spans="2:14" s="13" customFormat="1" x14ac:dyDescent="0.35">
      <c r="B217" s="25"/>
      <c r="E217" s="26"/>
      <c r="N217" s="42"/>
    </row>
    <row r="218" spans="2:14" s="13" customFormat="1" x14ac:dyDescent="0.35">
      <c r="B218" s="25"/>
      <c r="E218" s="26"/>
      <c r="N218" s="42"/>
    </row>
    <row r="219" spans="2:14" s="13" customFormat="1" x14ac:dyDescent="0.35">
      <c r="B219" s="25"/>
      <c r="E219" s="26"/>
      <c r="N219" s="42"/>
    </row>
    <row r="220" spans="2:14" s="13" customFormat="1" x14ac:dyDescent="0.35">
      <c r="B220" s="25"/>
      <c r="E220" s="26"/>
      <c r="N220" s="42"/>
    </row>
    <row r="221" spans="2:14" s="13" customFormat="1" x14ac:dyDescent="0.35">
      <c r="B221" s="25"/>
      <c r="E221" s="26"/>
      <c r="N221" s="42"/>
    </row>
    <row r="222" spans="2:14" s="13" customFormat="1" x14ac:dyDescent="0.35">
      <c r="B222" s="25"/>
      <c r="E222" s="26"/>
      <c r="N222" s="42"/>
    </row>
    <row r="223" spans="2:14" s="13" customFormat="1" x14ac:dyDescent="0.35">
      <c r="B223" s="25"/>
      <c r="E223" s="26"/>
      <c r="N223" s="42"/>
    </row>
    <row r="224" spans="2:14" s="13" customFormat="1" x14ac:dyDescent="0.35">
      <c r="B224" s="25"/>
      <c r="E224" s="26"/>
      <c r="N224" s="42"/>
    </row>
    <row r="225" spans="2:14" s="13" customFormat="1" x14ac:dyDescent="0.35">
      <c r="B225" s="25"/>
      <c r="E225" s="26"/>
      <c r="N225" s="42"/>
    </row>
    <row r="226" spans="2:14" s="13" customFormat="1" x14ac:dyDescent="0.35">
      <c r="B226" s="25"/>
      <c r="E226" s="26"/>
      <c r="N226" s="42"/>
    </row>
    <row r="227" spans="2:14" s="13" customFormat="1" x14ac:dyDescent="0.35">
      <c r="B227" s="25"/>
      <c r="E227" s="26"/>
      <c r="N227" s="42"/>
    </row>
    <row r="228" spans="2:14" s="13" customFormat="1" x14ac:dyDescent="0.35">
      <c r="B228" s="25"/>
      <c r="E228" s="26"/>
      <c r="N228" s="42"/>
    </row>
    <row r="229" spans="2:14" s="13" customFormat="1" x14ac:dyDescent="0.35">
      <c r="B229" s="25"/>
      <c r="E229" s="26"/>
      <c r="N229" s="42"/>
    </row>
    <row r="230" spans="2:14" s="13" customFormat="1" x14ac:dyDescent="0.35">
      <c r="B230" s="25"/>
      <c r="E230" s="26"/>
      <c r="N230" s="42"/>
    </row>
    <row r="231" spans="2:14" s="13" customFormat="1" x14ac:dyDescent="0.35">
      <c r="B231" s="25"/>
      <c r="E231" s="26"/>
      <c r="N231" s="42"/>
    </row>
    <row r="232" spans="2:14" s="13" customFormat="1" x14ac:dyDescent="0.35">
      <c r="B232" s="25"/>
      <c r="E232" s="26"/>
      <c r="N232" s="42"/>
    </row>
    <row r="233" spans="2:14" s="13" customFormat="1" x14ac:dyDescent="0.35">
      <c r="B233" s="25"/>
      <c r="E233" s="26"/>
      <c r="N233" s="42"/>
    </row>
    <row r="234" spans="2:14" s="13" customFormat="1" x14ac:dyDescent="0.35">
      <c r="B234" s="25"/>
      <c r="E234" s="26"/>
      <c r="N234" s="42"/>
    </row>
    <row r="235" spans="2:14" s="13" customFormat="1" x14ac:dyDescent="0.35">
      <c r="B235" s="25"/>
      <c r="E235" s="26"/>
      <c r="N235" s="42"/>
    </row>
    <row r="236" spans="2:14" s="13" customFormat="1" x14ac:dyDescent="0.35">
      <c r="B236" s="25"/>
      <c r="E236" s="26"/>
      <c r="N236" s="42"/>
    </row>
    <row r="237" spans="2:14" s="13" customFormat="1" x14ac:dyDescent="0.35">
      <c r="B237" s="25"/>
      <c r="E237" s="26"/>
      <c r="N237" s="42"/>
    </row>
    <row r="238" spans="2:14" s="13" customFormat="1" x14ac:dyDescent="0.35">
      <c r="B238" s="25"/>
      <c r="E238" s="26"/>
      <c r="N238" s="42"/>
    </row>
    <row r="239" spans="2:14" s="13" customFormat="1" x14ac:dyDescent="0.35">
      <c r="B239" s="25"/>
      <c r="E239" s="26"/>
      <c r="N239" s="42"/>
    </row>
    <row r="240" spans="2:14" s="13" customFormat="1" x14ac:dyDescent="0.35">
      <c r="B240" s="25"/>
      <c r="E240" s="26"/>
      <c r="N240" s="42"/>
    </row>
    <row r="241" spans="2:14" s="13" customFormat="1" x14ac:dyDescent="0.35">
      <c r="B241" s="25"/>
      <c r="E241" s="26"/>
      <c r="N241" s="42"/>
    </row>
    <row r="242" spans="2:14" s="13" customFormat="1" x14ac:dyDescent="0.35">
      <c r="B242" s="25"/>
      <c r="E242" s="26"/>
      <c r="N242" s="42"/>
    </row>
    <row r="243" spans="2:14" s="13" customFormat="1" x14ac:dyDescent="0.35">
      <c r="B243" s="25"/>
      <c r="E243" s="26"/>
      <c r="N243" s="42"/>
    </row>
    <row r="244" spans="2:14" s="13" customFormat="1" x14ac:dyDescent="0.35">
      <c r="B244" s="25"/>
      <c r="E244" s="26"/>
      <c r="N244" s="42"/>
    </row>
    <row r="245" spans="2:14" s="13" customFormat="1" x14ac:dyDescent="0.35">
      <c r="B245" s="25"/>
      <c r="E245" s="26"/>
      <c r="N245" s="42"/>
    </row>
    <row r="246" spans="2:14" s="13" customFormat="1" x14ac:dyDescent="0.35">
      <c r="B246" s="25"/>
      <c r="E246" s="26"/>
      <c r="N246" s="42"/>
    </row>
    <row r="247" spans="2:14" s="13" customFormat="1" x14ac:dyDescent="0.35">
      <c r="B247" s="25"/>
      <c r="E247" s="26"/>
      <c r="N247" s="42"/>
    </row>
    <row r="248" spans="2:14" s="13" customFormat="1" x14ac:dyDescent="0.35">
      <c r="B248" s="25"/>
      <c r="E248" s="26"/>
      <c r="N248" s="42"/>
    </row>
    <row r="249" spans="2:14" s="13" customFormat="1" x14ac:dyDescent="0.35">
      <c r="B249" s="25"/>
      <c r="E249" s="26"/>
      <c r="N249" s="42"/>
    </row>
    <row r="250" spans="2:14" s="13" customFormat="1" x14ac:dyDescent="0.35">
      <c r="B250" s="25"/>
      <c r="E250" s="26"/>
      <c r="N250" s="42"/>
    </row>
    <row r="251" spans="2:14" s="13" customFormat="1" x14ac:dyDescent="0.35">
      <c r="B251" s="25"/>
      <c r="E251" s="26"/>
      <c r="N251" s="42"/>
    </row>
    <row r="252" spans="2:14" s="13" customFormat="1" x14ac:dyDescent="0.35">
      <c r="B252" s="25"/>
      <c r="E252" s="26"/>
      <c r="N252" s="42"/>
    </row>
    <row r="253" spans="2:14" s="13" customFormat="1" x14ac:dyDescent="0.35">
      <c r="B253" s="25"/>
      <c r="E253" s="26"/>
      <c r="N253" s="42"/>
    </row>
    <row r="254" spans="2:14" s="13" customFormat="1" x14ac:dyDescent="0.35">
      <c r="B254" s="25"/>
      <c r="E254" s="26"/>
      <c r="N254" s="42"/>
    </row>
    <row r="255" spans="2:14" s="13" customFormat="1" x14ac:dyDescent="0.35">
      <c r="B255" s="25"/>
      <c r="E255" s="26"/>
      <c r="N255" s="42"/>
    </row>
    <row r="256" spans="2:14" s="13" customFormat="1" x14ac:dyDescent="0.35">
      <c r="B256" s="25"/>
      <c r="E256" s="26"/>
      <c r="N256" s="42"/>
    </row>
    <row r="257" spans="2:14" s="13" customFormat="1" x14ac:dyDescent="0.35">
      <c r="B257" s="25"/>
      <c r="E257" s="26"/>
      <c r="N257" s="42"/>
    </row>
    <row r="258" spans="2:14" s="13" customFormat="1" x14ac:dyDescent="0.35">
      <c r="B258" s="25"/>
      <c r="E258" s="26"/>
      <c r="N258" s="42"/>
    </row>
    <row r="259" spans="2:14" s="13" customFormat="1" x14ac:dyDescent="0.35">
      <c r="B259" s="25"/>
      <c r="E259" s="26"/>
      <c r="N259" s="42"/>
    </row>
    <row r="260" spans="2:14" s="13" customFormat="1" x14ac:dyDescent="0.35">
      <c r="B260" s="25"/>
      <c r="E260" s="26"/>
      <c r="N260" s="42"/>
    </row>
    <row r="261" spans="2:14" s="13" customFormat="1" x14ac:dyDescent="0.35">
      <c r="B261" s="25"/>
      <c r="E261" s="26"/>
      <c r="N261" s="42"/>
    </row>
    <row r="262" spans="2:14" s="13" customFormat="1" x14ac:dyDescent="0.35">
      <c r="B262" s="25"/>
      <c r="E262" s="26"/>
      <c r="N262" s="42"/>
    </row>
    <row r="263" spans="2:14" s="13" customFormat="1" x14ac:dyDescent="0.35">
      <c r="B263" s="25"/>
      <c r="E263" s="26"/>
      <c r="N263" s="42"/>
    </row>
    <row r="264" spans="2:14" s="13" customFormat="1" x14ac:dyDescent="0.35">
      <c r="B264" s="25"/>
      <c r="E264" s="26"/>
      <c r="N264" s="42"/>
    </row>
    <row r="265" spans="2:14" s="13" customFormat="1" x14ac:dyDescent="0.35">
      <c r="B265" s="25"/>
      <c r="E265" s="26"/>
      <c r="N265" s="42"/>
    </row>
    <row r="266" spans="2:14" s="13" customFormat="1" x14ac:dyDescent="0.35">
      <c r="B266" s="25"/>
      <c r="E266" s="26"/>
      <c r="N266" s="42"/>
    </row>
    <row r="267" spans="2:14" s="13" customFormat="1" x14ac:dyDescent="0.35">
      <c r="B267" s="25"/>
      <c r="E267" s="26"/>
      <c r="N267" s="42"/>
    </row>
    <row r="268" spans="2:14" s="13" customFormat="1" x14ac:dyDescent="0.35">
      <c r="B268" s="25"/>
      <c r="E268" s="26"/>
      <c r="N268" s="42"/>
    </row>
    <row r="269" spans="2:14" s="13" customFormat="1" x14ac:dyDescent="0.35">
      <c r="B269" s="25"/>
      <c r="E269" s="26"/>
      <c r="N269" s="42"/>
    </row>
    <row r="270" spans="2:14" s="13" customFormat="1" x14ac:dyDescent="0.35">
      <c r="B270" s="25"/>
      <c r="E270" s="26"/>
      <c r="N270" s="42"/>
    </row>
    <row r="271" spans="2:14" s="13" customFormat="1" x14ac:dyDescent="0.35">
      <c r="B271" s="25"/>
      <c r="E271" s="26"/>
      <c r="N271" s="42"/>
    </row>
    <row r="272" spans="2:14" s="13" customFormat="1" x14ac:dyDescent="0.35">
      <c r="B272" s="25"/>
      <c r="E272" s="26"/>
      <c r="N272" s="42"/>
    </row>
    <row r="273" spans="2:14" s="13" customFormat="1" x14ac:dyDescent="0.35">
      <c r="B273" s="25"/>
      <c r="E273" s="26"/>
      <c r="N273" s="42"/>
    </row>
    <row r="274" spans="2:14" s="13" customFormat="1" x14ac:dyDescent="0.35">
      <c r="B274" s="25"/>
      <c r="E274" s="26"/>
      <c r="N274" s="42"/>
    </row>
    <row r="275" spans="2:14" s="13" customFormat="1" x14ac:dyDescent="0.35">
      <c r="B275" s="25"/>
      <c r="E275" s="26"/>
      <c r="N275" s="42"/>
    </row>
    <row r="276" spans="2:14" s="13" customFormat="1" x14ac:dyDescent="0.35">
      <c r="B276" s="25"/>
      <c r="E276" s="26"/>
      <c r="N276" s="42"/>
    </row>
    <row r="277" spans="2:14" s="13" customFormat="1" x14ac:dyDescent="0.35">
      <c r="B277" s="25"/>
      <c r="E277" s="26"/>
      <c r="N277" s="42"/>
    </row>
    <row r="278" spans="2:14" s="13" customFormat="1" x14ac:dyDescent="0.35">
      <c r="B278" s="25"/>
      <c r="E278" s="26"/>
      <c r="N278" s="42"/>
    </row>
    <row r="279" spans="2:14" s="13" customFormat="1" x14ac:dyDescent="0.35">
      <c r="B279" s="25"/>
      <c r="E279" s="26"/>
      <c r="N279" s="42"/>
    </row>
    <row r="280" spans="2:14" s="13" customFormat="1" x14ac:dyDescent="0.35">
      <c r="B280" s="25"/>
      <c r="E280" s="26"/>
      <c r="N280" s="42"/>
    </row>
    <row r="281" spans="2:14" s="13" customFormat="1" x14ac:dyDescent="0.35">
      <c r="B281" s="25"/>
      <c r="E281" s="26"/>
      <c r="N281" s="42"/>
    </row>
    <row r="282" spans="2:14" s="13" customFormat="1" x14ac:dyDescent="0.35">
      <c r="B282" s="25"/>
      <c r="E282" s="26"/>
      <c r="N282" s="42"/>
    </row>
    <row r="283" spans="2:14" s="13" customFormat="1" x14ac:dyDescent="0.35">
      <c r="B283" s="25"/>
      <c r="E283" s="26"/>
      <c r="N283" s="42"/>
    </row>
    <row r="284" spans="2:14" s="13" customFormat="1" x14ac:dyDescent="0.35">
      <c r="B284" s="25"/>
      <c r="E284" s="26"/>
      <c r="N284" s="42"/>
    </row>
    <row r="285" spans="2:14" s="13" customFormat="1" x14ac:dyDescent="0.35">
      <c r="B285" s="25"/>
      <c r="E285" s="26"/>
      <c r="N285" s="42"/>
    </row>
    <row r="286" spans="2:14" s="13" customFormat="1" x14ac:dyDescent="0.35">
      <c r="B286" s="25"/>
      <c r="E286" s="26"/>
      <c r="N286" s="42"/>
    </row>
    <row r="287" spans="2:14" s="13" customFormat="1" x14ac:dyDescent="0.35">
      <c r="B287" s="25"/>
      <c r="E287" s="26"/>
      <c r="N287" s="42"/>
    </row>
    <row r="288" spans="2:14" s="13" customFormat="1" x14ac:dyDescent="0.35">
      <c r="B288" s="25"/>
      <c r="E288" s="26"/>
      <c r="N288" s="42"/>
    </row>
    <row r="289" spans="2:14" s="13" customFormat="1" x14ac:dyDescent="0.35">
      <c r="B289" s="25"/>
      <c r="E289" s="26"/>
      <c r="N289" s="42"/>
    </row>
    <row r="290" spans="2:14" s="13" customFormat="1" x14ac:dyDescent="0.35">
      <c r="B290" s="25"/>
      <c r="E290" s="26"/>
      <c r="N290" s="42"/>
    </row>
    <row r="291" spans="2:14" s="13" customFormat="1" x14ac:dyDescent="0.35">
      <c r="B291" s="25"/>
      <c r="E291" s="26"/>
      <c r="N291" s="42"/>
    </row>
    <row r="292" spans="2:14" s="13" customFormat="1" x14ac:dyDescent="0.35">
      <c r="B292" s="25"/>
      <c r="E292" s="26"/>
      <c r="N292" s="42"/>
    </row>
    <row r="293" spans="2:14" s="13" customFormat="1" x14ac:dyDescent="0.35">
      <c r="B293" s="25"/>
      <c r="E293" s="26"/>
      <c r="N293" s="42"/>
    </row>
    <row r="294" spans="2:14" s="13" customFormat="1" x14ac:dyDescent="0.35">
      <c r="B294" s="25"/>
      <c r="E294" s="26"/>
      <c r="N294" s="42"/>
    </row>
    <row r="295" spans="2:14" s="13" customFormat="1" x14ac:dyDescent="0.35">
      <c r="B295" s="25"/>
      <c r="E295" s="26"/>
      <c r="N295" s="42"/>
    </row>
    <row r="296" spans="2:14" s="13" customFormat="1" x14ac:dyDescent="0.35">
      <c r="B296" s="25"/>
      <c r="E296" s="26"/>
      <c r="N296" s="42"/>
    </row>
    <row r="297" spans="2:14" s="13" customFormat="1" x14ac:dyDescent="0.35">
      <c r="B297" s="25"/>
      <c r="E297" s="26"/>
      <c r="N297" s="42"/>
    </row>
    <row r="298" spans="2:14" s="13" customFormat="1" x14ac:dyDescent="0.35">
      <c r="B298" s="25"/>
      <c r="E298" s="26"/>
      <c r="N298" s="42"/>
    </row>
    <row r="299" spans="2:14" s="13" customFormat="1" x14ac:dyDescent="0.35">
      <c r="B299" s="25"/>
      <c r="E299" s="26"/>
      <c r="N299" s="42"/>
    </row>
    <row r="300" spans="2:14" s="13" customFormat="1" x14ac:dyDescent="0.35">
      <c r="B300" s="25"/>
      <c r="E300" s="26"/>
      <c r="N300" s="42"/>
    </row>
    <row r="301" spans="2:14" s="13" customFormat="1" x14ac:dyDescent="0.35">
      <c r="B301" s="25"/>
      <c r="E301" s="26"/>
      <c r="N301" s="42"/>
    </row>
    <row r="302" spans="2:14" s="13" customFormat="1" x14ac:dyDescent="0.35">
      <c r="B302" s="25"/>
      <c r="E302" s="26"/>
      <c r="N302" s="42"/>
    </row>
    <row r="303" spans="2:14" s="13" customFormat="1" x14ac:dyDescent="0.35">
      <c r="B303" s="25"/>
      <c r="E303" s="26"/>
      <c r="N303" s="42"/>
    </row>
    <row r="304" spans="2:14" s="13" customFormat="1" x14ac:dyDescent="0.35">
      <c r="B304" s="25"/>
      <c r="E304" s="26"/>
      <c r="N304" s="42"/>
    </row>
    <row r="305" spans="2:14" s="13" customFormat="1" x14ac:dyDescent="0.35">
      <c r="B305" s="25"/>
      <c r="E305" s="26"/>
      <c r="N305" s="42"/>
    </row>
    <row r="306" spans="2:14" s="13" customFormat="1" x14ac:dyDescent="0.35">
      <c r="B306" s="25"/>
      <c r="E306" s="26"/>
      <c r="N306" s="42"/>
    </row>
    <row r="307" spans="2:14" s="13" customFormat="1" x14ac:dyDescent="0.35">
      <c r="B307" s="25"/>
      <c r="E307" s="26"/>
      <c r="N307" s="42"/>
    </row>
    <row r="308" spans="2:14" s="13" customFormat="1" x14ac:dyDescent="0.35">
      <c r="B308" s="25"/>
      <c r="E308" s="26"/>
      <c r="N308" s="42"/>
    </row>
    <row r="309" spans="2:14" s="13" customFormat="1" x14ac:dyDescent="0.35">
      <c r="B309" s="25"/>
      <c r="E309" s="26"/>
      <c r="N309" s="42"/>
    </row>
    <row r="310" spans="2:14" s="13" customFormat="1" x14ac:dyDescent="0.35">
      <c r="B310" s="25"/>
      <c r="E310" s="26"/>
      <c r="N310" s="42"/>
    </row>
    <row r="311" spans="2:14" s="13" customFormat="1" x14ac:dyDescent="0.35">
      <c r="B311" s="25"/>
      <c r="E311" s="26"/>
      <c r="N311" s="42"/>
    </row>
    <row r="312" spans="2:14" s="13" customFormat="1" x14ac:dyDescent="0.35">
      <c r="B312" s="25"/>
      <c r="E312" s="26"/>
      <c r="N312" s="42"/>
    </row>
    <row r="313" spans="2:14" s="13" customFormat="1" x14ac:dyDescent="0.35">
      <c r="B313" s="25"/>
      <c r="E313" s="26"/>
      <c r="N313" s="42"/>
    </row>
    <row r="314" spans="2:14" s="13" customFormat="1" x14ac:dyDescent="0.35">
      <c r="B314" s="25"/>
      <c r="E314" s="26"/>
      <c r="N314" s="42"/>
    </row>
    <row r="315" spans="2:14" s="13" customFormat="1" x14ac:dyDescent="0.35">
      <c r="B315" s="25"/>
      <c r="E315" s="26"/>
      <c r="N315" s="42"/>
    </row>
    <row r="316" spans="2:14" s="13" customFormat="1" x14ac:dyDescent="0.35">
      <c r="B316" s="25"/>
      <c r="E316" s="26"/>
      <c r="N316" s="42"/>
    </row>
    <row r="317" spans="2:14" s="13" customFormat="1" x14ac:dyDescent="0.35">
      <c r="B317" s="25"/>
      <c r="E317" s="26"/>
      <c r="N317" s="42"/>
    </row>
    <row r="318" spans="2:14" s="13" customFormat="1" x14ac:dyDescent="0.35">
      <c r="B318" s="25"/>
      <c r="E318" s="26"/>
      <c r="N318" s="42"/>
    </row>
    <row r="319" spans="2:14" s="13" customFormat="1" x14ac:dyDescent="0.35">
      <c r="B319" s="25"/>
      <c r="E319" s="26"/>
      <c r="N319" s="42"/>
    </row>
    <row r="320" spans="2:14" s="13" customFormat="1" x14ac:dyDescent="0.35">
      <c r="B320" s="25"/>
      <c r="E320" s="26"/>
      <c r="N320" s="42"/>
    </row>
    <row r="321" spans="2:14" s="13" customFormat="1" x14ac:dyDescent="0.35">
      <c r="B321" s="25"/>
      <c r="E321" s="26"/>
      <c r="N321" s="42"/>
    </row>
    <row r="322" spans="2:14" s="13" customFormat="1" x14ac:dyDescent="0.35">
      <c r="B322" s="25"/>
      <c r="E322" s="26"/>
      <c r="N322" s="42"/>
    </row>
    <row r="323" spans="2:14" s="13" customFormat="1" x14ac:dyDescent="0.35">
      <c r="B323" s="25"/>
      <c r="E323" s="26"/>
      <c r="N323" s="42"/>
    </row>
    <row r="324" spans="2:14" s="13" customFormat="1" x14ac:dyDescent="0.35">
      <c r="B324" s="25"/>
      <c r="E324" s="26"/>
      <c r="N324" s="42"/>
    </row>
    <row r="325" spans="2:14" s="13" customFormat="1" x14ac:dyDescent="0.35">
      <c r="B325" s="25"/>
      <c r="E325" s="26"/>
      <c r="N325" s="42"/>
    </row>
    <row r="326" spans="2:14" s="13" customFormat="1" x14ac:dyDescent="0.35">
      <c r="B326" s="25"/>
      <c r="E326" s="26"/>
      <c r="N326" s="42"/>
    </row>
    <row r="327" spans="2:14" s="13" customFormat="1" x14ac:dyDescent="0.35">
      <c r="B327" s="25"/>
      <c r="E327" s="26"/>
      <c r="N327" s="42"/>
    </row>
    <row r="328" spans="2:14" s="13" customFormat="1" x14ac:dyDescent="0.35">
      <c r="B328" s="25"/>
      <c r="E328" s="26"/>
      <c r="N328" s="42"/>
    </row>
    <row r="329" spans="2:14" s="13" customFormat="1" x14ac:dyDescent="0.35">
      <c r="B329" s="25"/>
      <c r="E329" s="26"/>
      <c r="N329" s="42"/>
    </row>
    <row r="330" spans="2:14" s="13" customFormat="1" x14ac:dyDescent="0.35">
      <c r="B330" s="25"/>
      <c r="E330" s="26"/>
      <c r="N330" s="42"/>
    </row>
    <row r="331" spans="2:14" s="13" customFormat="1" x14ac:dyDescent="0.35">
      <c r="B331" s="25"/>
      <c r="E331" s="26"/>
      <c r="N331" s="42"/>
    </row>
    <row r="332" spans="2:14" s="13" customFormat="1" x14ac:dyDescent="0.35">
      <c r="B332" s="25"/>
      <c r="E332" s="26"/>
      <c r="N332" s="42"/>
    </row>
    <row r="333" spans="2:14" s="13" customFormat="1" x14ac:dyDescent="0.35">
      <c r="B333" s="25"/>
      <c r="E333" s="26"/>
      <c r="N333" s="42"/>
    </row>
    <row r="334" spans="2:14" s="13" customFormat="1" x14ac:dyDescent="0.35">
      <c r="B334" s="25"/>
      <c r="E334" s="26"/>
      <c r="N334" s="42"/>
    </row>
    <row r="335" spans="2:14" s="13" customFormat="1" x14ac:dyDescent="0.35">
      <c r="B335" s="25"/>
      <c r="E335" s="26"/>
      <c r="N335" s="42"/>
    </row>
    <row r="336" spans="2:14" s="13" customFormat="1" x14ac:dyDescent="0.35">
      <c r="B336" s="25"/>
      <c r="E336" s="26"/>
      <c r="N336" s="42"/>
    </row>
    <row r="337" spans="2:14" s="13" customFormat="1" x14ac:dyDescent="0.35">
      <c r="B337" s="25"/>
      <c r="E337" s="26"/>
      <c r="N337" s="42"/>
    </row>
    <row r="338" spans="2:14" s="13" customFormat="1" x14ac:dyDescent="0.35">
      <c r="B338" s="25"/>
      <c r="E338" s="26"/>
      <c r="N338" s="42"/>
    </row>
    <row r="339" spans="2:14" s="13" customFormat="1" x14ac:dyDescent="0.35">
      <c r="B339" s="25"/>
      <c r="E339" s="26"/>
      <c r="N339" s="42"/>
    </row>
    <row r="340" spans="2:14" s="13" customFormat="1" x14ac:dyDescent="0.35">
      <c r="B340" s="25"/>
      <c r="E340" s="26"/>
      <c r="N340" s="42"/>
    </row>
    <row r="341" spans="2:14" s="13" customFormat="1" x14ac:dyDescent="0.35">
      <c r="B341" s="25"/>
      <c r="E341" s="26"/>
      <c r="N341" s="42"/>
    </row>
    <row r="342" spans="2:14" s="13" customFormat="1" x14ac:dyDescent="0.35">
      <c r="B342" s="25"/>
      <c r="E342" s="26"/>
      <c r="N342" s="42"/>
    </row>
    <row r="343" spans="2:14" s="13" customFormat="1" x14ac:dyDescent="0.35">
      <c r="B343" s="25"/>
      <c r="E343" s="26"/>
      <c r="N343" s="42"/>
    </row>
    <row r="344" spans="2:14" s="13" customFormat="1" x14ac:dyDescent="0.35">
      <c r="B344" s="25"/>
      <c r="E344" s="26"/>
      <c r="N344" s="42"/>
    </row>
    <row r="345" spans="2:14" s="13" customFormat="1" x14ac:dyDescent="0.35">
      <c r="B345" s="25"/>
      <c r="E345" s="26"/>
      <c r="N345" s="42"/>
    </row>
    <row r="346" spans="2:14" s="13" customFormat="1" x14ac:dyDescent="0.35">
      <c r="B346" s="25"/>
      <c r="E346" s="26"/>
      <c r="N346" s="42"/>
    </row>
    <row r="347" spans="2:14" s="13" customFormat="1" x14ac:dyDescent="0.35">
      <c r="B347" s="25"/>
      <c r="E347" s="26"/>
      <c r="N347" s="42"/>
    </row>
    <row r="348" spans="2:14" s="13" customFormat="1" x14ac:dyDescent="0.35">
      <c r="B348" s="25"/>
      <c r="E348" s="26"/>
      <c r="N348" s="42"/>
    </row>
    <row r="349" spans="2:14" s="13" customFormat="1" x14ac:dyDescent="0.35">
      <c r="B349" s="25"/>
      <c r="E349" s="26"/>
      <c r="N349" s="42"/>
    </row>
    <row r="350" spans="2:14" s="13" customFormat="1" x14ac:dyDescent="0.35">
      <c r="B350" s="25"/>
      <c r="E350" s="26"/>
      <c r="N350" s="42"/>
    </row>
    <row r="351" spans="2:14" s="13" customFormat="1" x14ac:dyDescent="0.35">
      <c r="B351" s="25"/>
      <c r="E351" s="26"/>
      <c r="N351" s="42"/>
    </row>
    <row r="352" spans="2:14" s="13" customFormat="1" x14ac:dyDescent="0.35">
      <c r="B352" s="25"/>
      <c r="E352" s="26"/>
      <c r="N352" s="42"/>
    </row>
    <row r="353" spans="2:14" s="13" customFormat="1" x14ac:dyDescent="0.35">
      <c r="B353" s="25"/>
      <c r="E353" s="26"/>
      <c r="N353" s="42"/>
    </row>
    <row r="354" spans="2:14" s="13" customFormat="1" x14ac:dyDescent="0.35">
      <c r="B354" s="25"/>
      <c r="E354" s="26"/>
      <c r="N354" s="42"/>
    </row>
    <row r="355" spans="2:14" s="13" customFormat="1" x14ac:dyDescent="0.35">
      <c r="B355" s="25"/>
      <c r="E355" s="26"/>
      <c r="N355" s="42"/>
    </row>
    <row r="356" spans="2:14" s="13" customFormat="1" x14ac:dyDescent="0.35">
      <c r="B356" s="25"/>
      <c r="E356" s="26"/>
      <c r="N356" s="42"/>
    </row>
    <row r="357" spans="2:14" s="13" customFormat="1" x14ac:dyDescent="0.35">
      <c r="B357" s="25"/>
      <c r="E357" s="26"/>
      <c r="N357" s="42"/>
    </row>
    <row r="358" spans="2:14" s="13" customFormat="1" x14ac:dyDescent="0.35">
      <c r="B358" s="25"/>
      <c r="E358" s="26"/>
      <c r="N358" s="42"/>
    </row>
    <row r="359" spans="2:14" s="13" customFormat="1" x14ac:dyDescent="0.35">
      <c r="B359" s="25"/>
      <c r="E359" s="26"/>
      <c r="N359" s="42"/>
    </row>
    <row r="360" spans="2:14" s="13" customFormat="1" x14ac:dyDescent="0.35">
      <c r="B360" s="25"/>
      <c r="E360" s="26"/>
      <c r="N360" s="42"/>
    </row>
    <row r="361" spans="2:14" s="13" customFormat="1" x14ac:dyDescent="0.35">
      <c r="B361" s="25"/>
      <c r="E361" s="26"/>
      <c r="N361" s="42"/>
    </row>
    <row r="362" spans="2:14" s="13" customFormat="1" x14ac:dyDescent="0.35">
      <c r="B362" s="25"/>
      <c r="E362" s="26"/>
      <c r="N362" s="42"/>
    </row>
    <row r="363" spans="2:14" s="13" customFormat="1" x14ac:dyDescent="0.35">
      <c r="B363" s="25"/>
      <c r="E363" s="26"/>
      <c r="N363" s="42"/>
    </row>
    <row r="364" spans="2:14" s="13" customFormat="1" x14ac:dyDescent="0.35">
      <c r="B364" s="25"/>
      <c r="E364" s="26"/>
      <c r="N364" s="42"/>
    </row>
    <row r="365" spans="2:14" s="13" customFormat="1" x14ac:dyDescent="0.35">
      <c r="B365" s="25"/>
      <c r="E365" s="26"/>
      <c r="N365" s="42"/>
    </row>
    <row r="366" spans="2:14" s="13" customFormat="1" x14ac:dyDescent="0.35">
      <c r="B366" s="25"/>
      <c r="E366" s="26"/>
      <c r="N366" s="42"/>
    </row>
    <row r="367" spans="2:14" s="13" customFormat="1" x14ac:dyDescent="0.35">
      <c r="B367" s="25"/>
      <c r="E367" s="26"/>
      <c r="N367" s="42"/>
    </row>
    <row r="368" spans="2:14" s="13" customFormat="1" x14ac:dyDescent="0.35">
      <c r="B368" s="25"/>
      <c r="E368" s="26"/>
      <c r="N368" s="42"/>
    </row>
    <row r="369" spans="2:14" s="13" customFormat="1" x14ac:dyDescent="0.35">
      <c r="B369" s="25"/>
      <c r="E369" s="26"/>
      <c r="N369" s="42"/>
    </row>
    <row r="370" spans="2:14" s="13" customFormat="1" x14ac:dyDescent="0.35">
      <c r="B370" s="25"/>
      <c r="E370" s="26"/>
      <c r="N370" s="42"/>
    </row>
    <row r="371" spans="2:14" s="13" customFormat="1" x14ac:dyDescent="0.35">
      <c r="B371" s="25"/>
      <c r="E371" s="26"/>
      <c r="N371" s="42"/>
    </row>
    <row r="372" spans="2:14" s="13" customFormat="1" x14ac:dyDescent="0.35">
      <c r="B372" s="25"/>
      <c r="E372" s="26"/>
      <c r="N372" s="42"/>
    </row>
    <row r="373" spans="2:14" s="13" customFormat="1" x14ac:dyDescent="0.35">
      <c r="B373" s="25"/>
      <c r="E373" s="26"/>
      <c r="N373" s="42"/>
    </row>
    <row r="374" spans="2:14" s="13" customFormat="1" x14ac:dyDescent="0.35">
      <c r="B374" s="25"/>
      <c r="E374" s="26"/>
      <c r="N374" s="42"/>
    </row>
    <row r="375" spans="2:14" s="13" customFormat="1" x14ac:dyDescent="0.35">
      <c r="B375" s="25"/>
      <c r="E375" s="26"/>
      <c r="N375" s="42"/>
    </row>
    <row r="376" spans="2:14" s="13" customFormat="1" x14ac:dyDescent="0.35">
      <c r="B376" s="25"/>
      <c r="E376" s="26"/>
      <c r="N376" s="42"/>
    </row>
    <row r="377" spans="2:14" s="13" customFormat="1" x14ac:dyDescent="0.35">
      <c r="B377" s="25"/>
      <c r="E377" s="26"/>
      <c r="N377" s="42"/>
    </row>
    <row r="378" spans="2:14" s="13" customFormat="1" x14ac:dyDescent="0.35">
      <c r="B378" s="25"/>
      <c r="E378" s="26"/>
      <c r="N378" s="42"/>
    </row>
    <row r="379" spans="2:14" s="13" customFormat="1" x14ac:dyDescent="0.35">
      <c r="B379" s="25"/>
      <c r="E379" s="26"/>
      <c r="N379" s="42"/>
    </row>
    <row r="380" spans="2:14" s="13" customFormat="1" x14ac:dyDescent="0.35">
      <c r="B380" s="25"/>
      <c r="E380" s="26"/>
      <c r="N380" s="42"/>
    </row>
    <row r="381" spans="2:14" s="13" customFormat="1" x14ac:dyDescent="0.35">
      <c r="B381" s="25"/>
      <c r="E381" s="26"/>
      <c r="N381" s="42"/>
    </row>
    <row r="382" spans="2:14" s="13" customFormat="1" x14ac:dyDescent="0.35">
      <c r="B382" s="25"/>
      <c r="E382" s="26"/>
      <c r="N382" s="42"/>
    </row>
    <row r="383" spans="2:14" s="13" customFormat="1" x14ac:dyDescent="0.35">
      <c r="B383" s="25"/>
      <c r="E383" s="26"/>
      <c r="N383" s="42"/>
    </row>
    <row r="384" spans="2:14" s="13" customFormat="1" x14ac:dyDescent="0.35">
      <c r="B384" s="25"/>
      <c r="E384" s="26"/>
      <c r="N384" s="42"/>
    </row>
    <row r="385" spans="2:14" s="13" customFormat="1" x14ac:dyDescent="0.35">
      <c r="B385" s="25"/>
      <c r="E385" s="26"/>
      <c r="N385" s="42"/>
    </row>
    <row r="386" spans="2:14" s="13" customFormat="1" x14ac:dyDescent="0.35">
      <c r="B386" s="25"/>
      <c r="E386" s="26"/>
      <c r="N386" s="42"/>
    </row>
    <row r="387" spans="2:14" s="13" customFormat="1" x14ac:dyDescent="0.35">
      <c r="B387" s="25"/>
      <c r="E387" s="26"/>
      <c r="N387" s="42"/>
    </row>
    <row r="388" spans="2:14" s="13" customFormat="1" x14ac:dyDescent="0.35">
      <c r="B388" s="25"/>
      <c r="E388" s="26"/>
      <c r="N388" s="42"/>
    </row>
    <row r="389" spans="2:14" s="13" customFormat="1" x14ac:dyDescent="0.35">
      <c r="B389" s="25"/>
      <c r="E389" s="26"/>
      <c r="N389" s="42"/>
    </row>
    <row r="390" spans="2:14" s="13" customFormat="1" x14ac:dyDescent="0.35">
      <c r="B390" s="25"/>
      <c r="E390" s="26"/>
      <c r="N390" s="42"/>
    </row>
    <row r="391" spans="2:14" s="13" customFormat="1" x14ac:dyDescent="0.35">
      <c r="B391" s="25"/>
      <c r="E391" s="26"/>
      <c r="N391" s="42"/>
    </row>
    <row r="392" spans="2:14" s="13" customFormat="1" x14ac:dyDescent="0.35">
      <c r="B392" s="25"/>
      <c r="E392" s="26"/>
      <c r="N392" s="42"/>
    </row>
    <row r="393" spans="2:14" s="13" customFormat="1" x14ac:dyDescent="0.35">
      <c r="B393" s="25"/>
      <c r="E393" s="26"/>
      <c r="N393" s="42"/>
    </row>
    <row r="394" spans="2:14" s="13" customFormat="1" x14ac:dyDescent="0.35">
      <c r="B394" s="25"/>
      <c r="E394" s="26"/>
      <c r="N394" s="42"/>
    </row>
    <row r="395" spans="2:14" s="13" customFormat="1" x14ac:dyDescent="0.35">
      <c r="B395" s="25"/>
      <c r="E395" s="26"/>
      <c r="N395" s="42"/>
    </row>
    <row r="396" spans="2:14" s="13" customFormat="1" x14ac:dyDescent="0.35">
      <c r="B396" s="25"/>
      <c r="E396" s="26"/>
      <c r="N396" s="42"/>
    </row>
    <row r="397" spans="2:14" s="13" customFormat="1" x14ac:dyDescent="0.35">
      <c r="B397" s="25"/>
      <c r="E397" s="26"/>
      <c r="N397" s="42"/>
    </row>
    <row r="398" spans="2:14" s="13" customFormat="1" x14ac:dyDescent="0.35">
      <c r="B398" s="25"/>
      <c r="E398" s="26"/>
      <c r="N398" s="42"/>
    </row>
    <row r="399" spans="2:14" s="13" customFormat="1" x14ac:dyDescent="0.35">
      <c r="B399" s="25"/>
      <c r="E399" s="26"/>
      <c r="N399" s="42"/>
    </row>
    <row r="400" spans="2:14" s="13" customFormat="1" x14ac:dyDescent="0.35">
      <c r="B400" s="25"/>
      <c r="E400" s="26"/>
      <c r="N400" s="42"/>
    </row>
    <row r="401" spans="2:14" s="13" customFormat="1" x14ac:dyDescent="0.35">
      <c r="B401" s="25"/>
      <c r="E401" s="26"/>
      <c r="N401" s="42"/>
    </row>
    <row r="402" spans="2:14" s="13" customFormat="1" x14ac:dyDescent="0.35">
      <c r="B402" s="25"/>
      <c r="E402" s="26"/>
      <c r="N402" s="42"/>
    </row>
    <row r="403" spans="2:14" s="13" customFormat="1" x14ac:dyDescent="0.35">
      <c r="B403" s="25"/>
      <c r="E403" s="26"/>
      <c r="N403" s="42"/>
    </row>
    <row r="404" spans="2:14" s="13" customFormat="1" x14ac:dyDescent="0.35">
      <c r="B404" s="25"/>
      <c r="E404" s="26"/>
      <c r="N404" s="42"/>
    </row>
    <row r="405" spans="2:14" s="13" customFormat="1" x14ac:dyDescent="0.35">
      <c r="B405" s="25"/>
      <c r="E405" s="26"/>
      <c r="N405" s="42"/>
    </row>
    <row r="406" spans="2:14" s="13" customFormat="1" x14ac:dyDescent="0.35">
      <c r="B406" s="25"/>
      <c r="E406" s="26"/>
      <c r="N406" s="42"/>
    </row>
    <row r="407" spans="2:14" s="13" customFormat="1" x14ac:dyDescent="0.35">
      <c r="B407" s="25"/>
      <c r="E407" s="26"/>
      <c r="N407" s="42"/>
    </row>
    <row r="408" spans="2:14" s="13" customFormat="1" x14ac:dyDescent="0.35">
      <c r="B408" s="25"/>
      <c r="E408" s="26"/>
      <c r="N408" s="42"/>
    </row>
    <row r="409" spans="2:14" s="13" customFormat="1" x14ac:dyDescent="0.35">
      <c r="B409" s="25"/>
      <c r="E409" s="26"/>
      <c r="N409" s="42"/>
    </row>
    <row r="410" spans="2:14" s="13" customFormat="1" x14ac:dyDescent="0.35">
      <c r="B410" s="25"/>
      <c r="E410" s="26"/>
      <c r="N410" s="42"/>
    </row>
    <row r="411" spans="2:14" s="13" customFormat="1" x14ac:dyDescent="0.35">
      <c r="B411" s="25"/>
      <c r="E411" s="26"/>
      <c r="N411" s="42"/>
    </row>
    <row r="412" spans="2:14" s="13" customFormat="1" x14ac:dyDescent="0.35">
      <c r="B412" s="25"/>
      <c r="E412" s="26"/>
      <c r="N412" s="42"/>
    </row>
    <row r="413" spans="2:14" s="13" customFormat="1" x14ac:dyDescent="0.35">
      <c r="B413" s="25"/>
      <c r="E413" s="26"/>
      <c r="N413" s="42"/>
    </row>
    <row r="414" spans="2:14" s="13" customFormat="1" x14ac:dyDescent="0.35">
      <c r="B414" s="25"/>
      <c r="E414" s="26"/>
      <c r="N414" s="42"/>
    </row>
    <row r="415" spans="2:14" s="13" customFormat="1" x14ac:dyDescent="0.35">
      <c r="B415" s="25"/>
      <c r="E415" s="26"/>
      <c r="N415" s="42"/>
    </row>
    <row r="416" spans="2:14" s="13" customFormat="1" x14ac:dyDescent="0.35">
      <c r="B416" s="25"/>
      <c r="E416" s="26"/>
      <c r="N416" s="42"/>
    </row>
    <row r="417" spans="2:14" s="13" customFormat="1" x14ac:dyDescent="0.35">
      <c r="B417" s="25"/>
      <c r="E417" s="26"/>
      <c r="N417" s="42"/>
    </row>
    <row r="418" spans="2:14" s="13" customFormat="1" x14ac:dyDescent="0.35">
      <c r="B418" s="25"/>
      <c r="E418" s="26"/>
      <c r="N418" s="42"/>
    </row>
    <row r="419" spans="2:14" s="13" customFormat="1" x14ac:dyDescent="0.35">
      <c r="B419" s="25"/>
      <c r="E419" s="26"/>
      <c r="N419" s="42"/>
    </row>
    <row r="420" spans="2:14" s="13" customFormat="1" x14ac:dyDescent="0.35">
      <c r="B420" s="25"/>
      <c r="E420" s="26"/>
      <c r="N420" s="42"/>
    </row>
    <row r="421" spans="2:14" s="13" customFormat="1" x14ac:dyDescent="0.35">
      <c r="B421" s="25"/>
      <c r="E421" s="26"/>
      <c r="N421" s="42"/>
    </row>
    <row r="422" spans="2:14" s="13" customFormat="1" x14ac:dyDescent="0.35">
      <c r="B422" s="25"/>
      <c r="E422" s="26"/>
      <c r="N422" s="42"/>
    </row>
    <row r="423" spans="2:14" s="13" customFormat="1" x14ac:dyDescent="0.35">
      <c r="B423" s="25"/>
      <c r="E423" s="26"/>
      <c r="N423" s="42"/>
    </row>
    <row r="424" spans="2:14" s="13" customFormat="1" x14ac:dyDescent="0.35">
      <c r="B424" s="25"/>
      <c r="E424" s="26"/>
      <c r="N424" s="42"/>
    </row>
    <row r="425" spans="2:14" s="13" customFormat="1" x14ac:dyDescent="0.35">
      <c r="B425" s="25"/>
      <c r="E425" s="26"/>
      <c r="N425" s="42"/>
    </row>
    <row r="426" spans="2:14" s="13" customFormat="1" x14ac:dyDescent="0.35">
      <c r="B426" s="25"/>
      <c r="E426" s="26"/>
      <c r="N426" s="42"/>
    </row>
    <row r="427" spans="2:14" s="13" customFormat="1" x14ac:dyDescent="0.35">
      <c r="B427" s="25"/>
      <c r="E427" s="26"/>
      <c r="N427" s="42"/>
    </row>
    <row r="428" spans="2:14" s="13" customFormat="1" x14ac:dyDescent="0.35">
      <c r="B428" s="25"/>
      <c r="E428" s="26"/>
      <c r="N428" s="42"/>
    </row>
    <row r="429" spans="2:14" s="13" customFormat="1" x14ac:dyDescent="0.35">
      <c r="B429" s="25"/>
      <c r="E429" s="26"/>
      <c r="N429" s="42"/>
    </row>
    <row r="430" spans="2:14" s="13" customFormat="1" x14ac:dyDescent="0.35">
      <c r="B430" s="25"/>
      <c r="E430" s="26"/>
      <c r="N430" s="42"/>
    </row>
    <row r="431" spans="2:14" s="13" customFormat="1" x14ac:dyDescent="0.35">
      <c r="B431" s="25"/>
      <c r="E431" s="26"/>
      <c r="N431" s="42"/>
    </row>
    <row r="432" spans="2:14" s="13" customFormat="1" x14ac:dyDescent="0.35">
      <c r="B432" s="25"/>
      <c r="E432" s="26"/>
      <c r="N432" s="42"/>
    </row>
    <row r="433" spans="2:14" s="13" customFormat="1" x14ac:dyDescent="0.35">
      <c r="B433" s="25"/>
      <c r="E433" s="26"/>
      <c r="N433" s="42"/>
    </row>
    <row r="434" spans="2:14" s="13" customFormat="1" x14ac:dyDescent="0.35">
      <c r="B434" s="25"/>
      <c r="E434" s="26"/>
      <c r="N434" s="42"/>
    </row>
    <row r="435" spans="2:14" s="13" customFormat="1" x14ac:dyDescent="0.35">
      <c r="B435" s="25"/>
      <c r="E435" s="26"/>
      <c r="N435" s="42"/>
    </row>
    <row r="436" spans="2:14" s="13" customFormat="1" x14ac:dyDescent="0.35">
      <c r="B436" s="25"/>
      <c r="E436" s="26"/>
      <c r="N436" s="42"/>
    </row>
    <row r="437" spans="2:14" s="13" customFormat="1" x14ac:dyDescent="0.35">
      <c r="B437" s="25"/>
      <c r="E437" s="26"/>
      <c r="N437" s="42"/>
    </row>
    <row r="438" spans="2:14" s="13" customFormat="1" x14ac:dyDescent="0.35">
      <c r="B438" s="25"/>
      <c r="E438" s="26"/>
      <c r="N438" s="42"/>
    </row>
    <row r="439" spans="2:14" s="13" customFormat="1" x14ac:dyDescent="0.35">
      <c r="B439" s="25"/>
      <c r="E439" s="26"/>
      <c r="N439" s="42"/>
    </row>
    <row r="440" spans="2:14" s="13" customFormat="1" x14ac:dyDescent="0.35">
      <c r="B440" s="25"/>
      <c r="E440" s="26"/>
      <c r="N440" s="42"/>
    </row>
    <row r="441" spans="2:14" s="13" customFormat="1" x14ac:dyDescent="0.35">
      <c r="B441" s="25"/>
      <c r="E441" s="26"/>
      <c r="N441" s="42"/>
    </row>
    <row r="442" spans="2:14" s="13" customFormat="1" x14ac:dyDescent="0.35">
      <c r="B442" s="25"/>
      <c r="E442" s="26"/>
      <c r="N442" s="42"/>
    </row>
    <row r="443" spans="2:14" s="13" customFormat="1" x14ac:dyDescent="0.35">
      <c r="B443" s="25"/>
      <c r="E443" s="26"/>
      <c r="N443" s="42"/>
    </row>
    <row r="444" spans="2:14" s="13" customFormat="1" x14ac:dyDescent="0.35">
      <c r="B444" s="25"/>
      <c r="E444" s="26"/>
      <c r="N444" s="42"/>
    </row>
    <row r="445" spans="2:14" s="13" customFormat="1" x14ac:dyDescent="0.35">
      <c r="B445" s="25"/>
      <c r="E445" s="26"/>
      <c r="N445" s="42"/>
    </row>
    <row r="446" spans="2:14" s="13" customFormat="1" x14ac:dyDescent="0.35">
      <c r="B446" s="25"/>
      <c r="E446" s="26"/>
      <c r="N446" s="42"/>
    </row>
    <row r="447" spans="2:14" s="13" customFormat="1" x14ac:dyDescent="0.35">
      <c r="B447" s="25"/>
      <c r="E447" s="26"/>
      <c r="N447" s="42"/>
    </row>
    <row r="448" spans="2:14" s="13" customFormat="1" x14ac:dyDescent="0.35">
      <c r="B448" s="25"/>
      <c r="E448" s="26"/>
      <c r="N448" s="42"/>
    </row>
    <row r="449" spans="2:14" s="13" customFormat="1" x14ac:dyDescent="0.35">
      <c r="B449" s="25"/>
      <c r="E449" s="26"/>
      <c r="N449" s="42"/>
    </row>
    <row r="450" spans="2:14" s="13" customFormat="1" x14ac:dyDescent="0.35">
      <c r="B450" s="25"/>
      <c r="E450" s="26"/>
      <c r="N450" s="42"/>
    </row>
    <row r="451" spans="2:14" s="13" customFormat="1" x14ac:dyDescent="0.35">
      <c r="B451" s="25"/>
      <c r="E451" s="26"/>
      <c r="N451" s="42"/>
    </row>
    <row r="452" spans="2:14" s="13" customFormat="1" x14ac:dyDescent="0.35">
      <c r="B452" s="25"/>
      <c r="E452" s="26"/>
      <c r="N452" s="42"/>
    </row>
    <row r="453" spans="2:14" s="13" customFormat="1" x14ac:dyDescent="0.35">
      <c r="B453" s="25"/>
      <c r="E453" s="26"/>
      <c r="N453" s="42"/>
    </row>
    <row r="454" spans="2:14" s="13" customFormat="1" x14ac:dyDescent="0.35">
      <c r="B454" s="25"/>
      <c r="E454" s="26"/>
      <c r="N454" s="42"/>
    </row>
    <row r="455" spans="2:14" s="13" customFormat="1" x14ac:dyDescent="0.35">
      <c r="B455" s="25"/>
      <c r="E455" s="26"/>
      <c r="N455" s="42"/>
    </row>
    <row r="456" spans="2:14" s="13" customFormat="1" x14ac:dyDescent="0.35">
      <c r="B456" s="25"/>
      <c r="E456" s="26"/>
      <c r="N456" s="42"/>
    </row>
    <row r="457" spans="2:14" s="13" customFormat="1" x14ac:dyDescent="0.35">
      <c r="B457" s="25"/>
      <c r="E457" s="26"/>
      <c r="N457" s="42"/>
    </row>
    <row r="458" spans="2:14" s="13" customFormat="1" x14ac:dyDescent="0.35">
      <c r="B458" s="25"/>
      <c r="E458" s="26"/>
      <c r="N458" s="42"/>
    </row>
    <row r="459" spans="2:14" s="13" customFormat="1" x14ac:dyDescent="0.35">
      <c r="B459" s="25"/>
      <c r="E459" s="26"/>
      <c r="N459" s="42"/>
    </row>
    <row r="460" spans="2:14" s="13" customFormat="1" x14ac:dyDescent="0.35">
      <c r="B460" s="25"/>
      <c r="E460" s="26"/>
      <c r="N460" s="42"/>
    </row>
    <row r="461" spans="2:14" s="13" customFormat="1" x14ac:dyDescent="0.35">
      <c r="B461" s="25"/>
      <c r="E461" s="26"/>
      <c r="N461" s="42"/>
    </row>
    <row r="462" spans="2:14" s="13" customFormat="1" x14ac:dyDescent="0.35">
      <c r="B462" s="25"/>
      <c r="E462" s="26"/>
      <c r="N462" s="42"/>
    </row>
    <row r="463" spans="2:14" s="13" customFormat="1" x14ac:dyDescent="0.35">
      <c r="B463" s="25"/>
      <c r="E463" s="26"/>
      <c r="N463" s="42"/>
    </row>
    <row r="464" spans="2:14" s="13" customFormat="1" x14ac:dyDescent="0.35">
      <c r="B464" s="25"/>
      <c r="E464" s="26"/>
      <c r="N464" s="42"/>
    </row>
    <row r="465" spans="2:14" s="13" customFormat="1" x14ac:dyDescent="0.35">
      <c r="B465" s="25"/>
      <c r="E465" s="26"/>
      <c r="N465" s="42"/>
    </row>
    <row r="466" spans="2:14" s="13" customFormat="1" x14ac:dyDescent="0.35">
      <c r="B466" s="25"/>
      <c r="E466" s="26"/>
      <c r="N466" s="42"/>
    </row>
    <row r="467" spans="2:14" s="13" customFormat="1" x14ac:dyDescent="0.35">
      <c r="B467" s="25"/>
      <c r="E467" s="26"/>
      <c r="N467" s="42"/>
    </row>
    <row r="468" spans="2:14" s="13" customFormat="1" x14ac:dyDescent="0.35">
      <c r="B468" s="25"/>
      <c r="E468" s="26"/>
      <c r="N468" s="42"/>
    </row>
    <row r="469" spans="2:14" s="13" customFormat="1" x14ac:dyDescent="0.35">
      <c r="B469" s="25"/>
      <c r="E469" s="26"/>
      <c r="N469" s="42"/>
    </row>
    <row r="470" spans="2:14" s="13" customFormat="1" x14ac:dyDescent="0.35">
      <c r="B470" s="25"/>
      <c r="E470" s="26"/>
      <c r="N470" s="42"/>
    </row>
    <row r="471" spans="2:14" s="13" customFormat="1" x14ac:dyDescent="0.35">
      <c r="B471" s="25"/>
      <c r="E471" s="26"/>
      <c r="N471" s="42"/>
    </row>
    <row r="472" spans="2:14" s="13" customFormat="1" x14ac:dyDescent="0.35">
      <c r="B472" s="25"/>
      <c r="E472" s="26"/>
      <c r="N472" s="42"/>
    </row>
    <row r="473" spans="2:14" s="13" customFormat="1" x14ac:dyDescent="0.35">
      <c r="B473" s="25"/>
      <c r="E473" s="26"/>
      <c r="N473" s="42"/>
    </row>
    <row r="474" spans="2:14" s="13" customFormat="1" x14ac:dyDescent="0.35">
      <c r="B474" s="25"/>
      <c r="E474" s="26"/>
      <c r="N474" s="42"/>
    </row>
    <row r="475" spans="2:14" s="13" customFormat="1" x14ac:dyDescent="0.35">
      <c r="B475" s="25"/>
      <c r="E475" s="26"/>
      <c r="N475" s="42"/>
    </row>
    <row r="476" spans="2:14" s="13" customFormat="1" x14ac:dyDescent="0.35">
      <c r="B476" s="25"/>
      <c r="E476" s="26"/>
      <c r="N476" s="42"/>
    </row>
    <row r="477" spans="2:14" s="13" customFormat="1" x14ac:dyDescent="0.35">
      <c r="B477" s="25"/>
      <c r="E477" s="26"/>
      <c r="N477" s="42"/>
    </row>
    <row r="478" spans="2:14" s="13" customFormat="1" x14ac:dyDescent="0.35">
      <c r="B478" s="25"/>
      <c r="E478" s="26"/>
      <c r="N478" s="42"/>
    </row>
    <row r="479" spans="2:14" s="13" customFormat="1" x14ac:dyDescent="0.35">
      <c r="B479" s="25"/>
      <c r="E479" s="26"/>
      <c r="N479" s="42"/>
    </row>
    <row r="480" spans="2:14" s="13" customFormat="1" x14ac:dyDescent="0.35">
      <c r="B480" s="25"/>
      <c r="E480" s="26"/>
      <c r="N480" s="42"/>
    </row>
    <row r="481" spans="2:14" s="13" customFormat="1" x14ac:dyDescent="0.35">
      <c r="B481" s="25"/>
      <c r="E481" s="26"/>
      <c r="N481" s="42"/>
    </row>
    <row r="482" spans="2:14" s="13" customFormat="1" x14ac:dyDescent="0.35">
      <c r="B482" s="25"/>
      <c r="E482" s="26"/>
      <c r="N482" s="42"/>
    </row>
    <row r="483" spans="2:14" s="13" customFormat="1" x14ac:dyDescent="0.35">
      <c r="B483" s="25"/>
      <c r="E483" s="26"/>
      <c r="N483" s="42"/>
    </row>
    <row r="484" spans="2:14" s="13" customFormat="1" x14ac:dyDescent="0.35">
      <c r="B484" s="25"/>
      <c r="E484" s="26"/>
      <c r="N484" s="42"/>
    </row>
    <row r="485" spans="2:14" s="13" customFormat="1" x14ac:dyDescent="0.35">
      <c r="B485" s="25"/>
      <c r="E485" s="26"/>
      <c r="N485" s="42"/>
    </row>
    <row r="486" spans="2:14" s="13" customFormat="1" x14ac:dyDescent="0.35">
      <c r="B486" s="25"/>
      <c r="E486" s="26"/>
      <c r="N486" s="42"/>
    </row>
    <row r="487" spans="2:14" s="13" customFormat="1" x14ac:dyDescent="0.35">
      <c r="B487" s="25"/>
      <c r="E487" s="26"/>
      <c r="N487" s="42"/>
    </row>
    <row r="488" spans="2:14" s="13" customFormat="1" x14ac:dyDescent="0.35">
      <c r="B488" s="25"/>
      <c r="E488" s="26"/>
      <c r="N488" s="42"/>
    </row>
    <row r="489" spans="2:14" s="13" customFormat="1" x14ac:dyDescent="0.35">
      <c r="B489" s="25"/>
      <c r="E489" s="26"/>
      <c r="N489" s="42"/>
    </row>
    <row r="490" spans="2:14" s="13" customFormat="1" x14ac:dyDescent="0.35">
      <c r="B490" s="25"/>
      <c r="E490" s="26"/>
      <c r="N490" s="42"/>
    </row>
    <row r="491" spans="2:14" s="13" customFormat="1" x14ac:dyDescent="0.35">
      <c r="B491" s="25"/>
      <c r="E491" s="26"/>
      <c r="N491" s="42"/>
    </row>
    <row r="492" spans="2:14" s="13" customFormat="1" x14ac:dyDescent="0.35">
      <c r="B492" s="25"/>
      <c r="E492" s="26"/>
      <c r="N492" s="42"/>
    </row>
    <row r="493" spans="2:14" s="13" customFormat="1" x14ac:dyDescent="0.35">
      <c r="B493" s="25"/>
      <c r="E493" s="26"/>
      <c r="N493" s="42"/>
    </row>
    <row r="494" spans="2:14" s="13" customFormat="1" x14ac:dyDescent="0.35">
      <c r="B494" s="25"/>
      <c r="E494" s="26"/>
      <c r="N494" s="42"/>
    </row>
    <row r="495" spans="2:14" s="13" customFormat="1" x14ac:dyDescent="0.35">
      <c r="B495" s="25"/>
      <c r="E495" s="26"/>
      <c r="N495" s="42"/>
    </row>
    <row r="496" spans="2:14" s="13" customFormat="1" x14ac:dyDescent="0.35">
      <c r="B496" s="25"/>
      <c r="E496" s="26"/>
      <c r="N496" s="42"/>
    </row>
    <row r="497" spans="2:14" s="13" customFormat="1" x14ac:dyDescent="0.35">
      <c r="B497" s="25"/>
      <c r="E497" s="26"/>
      <c r="N497" s="42"/>
    </row>
    <row r="498" spans="2:14" s="13" customFormat="1" x14ac:dyDescent="0.35">
      <c r="B498" s="25"/>
      <c r="E498" s="26"/>
      <c r="N498" s="42"/>
    </row>
    <row r="499" spans="2:14" s="13" customFormat="1" x14ac:dyDescent="0.35">
      <c r="B499" s="25"/>
      <c r="E499" s="26"/>
      <c r="N499" s="42"/>
    </row>
    <row r="500" spans="2:14" s="13" customFormat="1" x14ac:dyDescent="0.35">
      <c r="B500" s="25"/>
      <c r="E500" s="26"/>
      <c r="N500" s="42"/>
    </row>
    <row r="501" spans="2:14" s="13" customFormat="1" x14ac:dyDescent="0.35">
      <c r="B501" s="25"/>
      <c r="E501" s="26"/>
      <c r="N501" s="42"/>
    </row>
    <row r="502" spans="2:14" s="13" customFormat="1" x14ac:dyDescent="0.35">
      <c r="B502" s="25"/>
      <c r="E502" s="26"/>
      <c r="N502" s="42"/>
    </row>
    <row r="503" spans="2:14" s="13" customFormat="1" x14ac:dyDescent="0.35">
      <c r="B503" s="25"/>
      <c r="E503" s="26"/>
      <c r="N503" s="42"/>
    </row>
    <row r="504" spans="2:14" s="13" customFormat="1" x14ac:dyDescent="0.35">
      <c r="B504" s="25"/>
      <c r="E504" s="26"/>
      <c r="N504" s="42"/>
    </row>
    <row r="505" spans="2:14" s="13" customFormat="1" x14ac:dyDescent="0.35">
      <c r="B505" s="25"/>
      <c r="E505" s="26"/>
      <c r="N505" s="42"/>
    </row>
    <row r="506" spans="2:14" s="13" customFormat="1" x14ac:dyDescent="0.35">
      <c r="B506" s="25"/>
      <c r="E506" s="26"/>
      <c r="N506" s="42"/>
    </row>
    <row r="507" spans="2:14" s="13" customFormat="1" x14ac:dyDescent="0.35">
      <c r="B507" s="25"/>
      <c r="E507" s="26"/>
      <c r="N507" s="42"/>
    </row>
    <row r="508" spans="2:14" s="13" customFormat="1" x14ac:dyDescent="0.35">
      <c r="B508" s="25"/>
      <c r="E508" s="26"/>
      <c r="N508" s="42"/>
    </row>
    <row r="509" spans="2:14" s="13" customFormat="1" x14ac:dyDescent="0.35">
      <c r="B509" s="25"/>
      <c r="E509" s="26"/>
      <c r="N509" s="42"/>
    </row>
    <row r="510" spans="2:14" s="13" customFormat="1" x14ac:dyDescent="0.35">
      <c r="B510" s="25"/>
      <c r="E510" s="26"/>
      <c r="N510" s="42"/>
    </row>
    <row r="511" spans="2:14" s="13" customFormat="1" x14ac:dyDescent="0.35">
      <c r="B511" s="25"/>
      <c r="E511" s="26"/>
      <c r="N511" s="42"/>
    </row>
    <row r="512" spans="2:14" s="13" customFormat="1" x14ac:dyDescent="0.35">
      <c r="B512" s="25"/>
      <c r="E512" s="26"/>
      <c r="N512" s="42"/>
    </row>
    <row r="513" spans="2:14" s="13" customFormat="1" x14ac:dyDescent="0.35">
      <c r="B513" s="25"/>
      <c r="E513" s="26"/>
      <c r="N513" s="42"/>
    </row>
    <row r="514" spans="2:14" s="13" customFormat="1" x14ac:dyDescent="0.35">
      <c r="B514" s="25"/>
      <c r="E514" s="26"/>
      <c r="N514" s="42"/>
    </row>
    <row r="515" spans="2:14" s="13" customFormat="1" x14ac:dyDescent="0.35">
      <c r="B515" s="25"/>
      <c r="E515" s="26"/>
      <c r="N515" s="42"/>
    </row>
    <row r="516" spans="2:14" s="13" customFormat="1" x14ac:dyDescent="0.35">
      <c r="B516" s="25"/>
      <c r="E516" s="26"/>
      <c r="N516" s="42"/>
    </row>
    <row r="517" spans="2:14" s="13" customFormat="1" x14ac:dyDescent="0.35">
      <c r="B517" s="25"/>
      <c r="E517" s="26"/>
      <c r="N517" s="42"/>
    </row>
    <row r="518" spans="2:14" s="13" customFormat="1" x14ac:dyDescent="0.35">
      <c r="B518" s="25"/>
      <c r="E518" s="26"/>
      <c r="N518" s="42"/>
    </row>
    <row r="519" spans="2:14" s="13" customFormat="1" x14ac:dyDescent="0.35">
      <c r="B519" s="25"/>
      <c r="E519" s="26"/>
      <c r="N519" s="42"/>
    </row>
    <row r="520" spans="2:14" s="13" customFormat="1" x14ac:dyDescent="0.35">
      <c r="B520" s="25"/>
      <c r="E520" s="26"/>
      <c r="N520" s="42"/>
    </row>
    <row r="521" spans="2:14" s="13" customFormat="1" x14ac:dyDescent="0.35">
      <c r="B521" s="25"/>
      <c r="E521" s="26"/>
      <c r="N521" s="42"/>
    </row>
    <row r="522" spans="2:14" s="13" customFormat="1" x14ac:dyDescent="0.35">
      <c r="B522" s="25"/>
      <c r="E522" s="26"/>
      <c r="N522" s="42"/>
    </row>
    <row r="523" spans="2:14" s="13" customFormat="1" x14ac:dyDescent="0.35">
      <c r="B523" s="25"/>
      <c r="E523" s="26"/>
      <c r="N523" s="42"/>
    </row>
    <row r="524" spans="2:14" s="13" customFormat="1" x14ac:dyDescent="0.35">
      <c r="B524" s="25"/>
      <c r="E524" s="26"/>
      <c r="N524" s="42"/>
    </row>
    <row r="525" spans="2:14" s="13" customFormat="1" x14ac:dyDescent="0.35">
      <c r="B525" s="25"/>
      <c r="E525" s="26"/>
      <c r="N525" s="42"/>
    </row>
    <row r="526" spans="2:14" s="13" customFormat="1" x14ac:dyDescent="0.35">
      <c r="B526" s="25"/>
      <c r="E526" s="26"/>
      <c r="N526" s="42"/>
    </row>
    <row r="527" spans="2:14" s="13" customFormat="1" x14ac:dyDescent="0.35">
      <c r="B527" s="25"/>
      <c r="E527" s="26"/>
      <c r="N527" s="42"/>
    </row>
    <row r="528" spans="2:14" s="13" customFormat="1" x14ac:dyDescent="0.35">
      <c r="B528" s="25"/>
      <c r="E528" s="26"/>
      <c r="N528" s="42"/>
    </row>
    <row r="529" spans="2:14" s="13" customFormat="1" x14ac:dyDescent="0.35">
      <c r="B529" s="25"/>
      <c r="E529" s="26"/>
      <c r="N529" s="42"/>
    </row>
    <row r="530" spans="2:14" s="13" customFormat="1" x14ac:dyDescent="0.35">
      <c r="B530" s="25"/>
      <c r="E530" s="26"/>
      <c r="N530" s="42"/>
    </row>
    <row r="531" spans="2:14" s="13" customFormat="1" x14ac:dyDescent="0.35">
      <c r="B531" s="25"/>
      <c r="E531" s="26"/>
      <c r="N531" s="42"/>
    </row>
    <row r="532" spans="2:14" s="13" customFormat="1" x14ac:dyDescent="0.35">
      <c r="B532" s="25"/>
      <c r="E532" s="26"/>
      <c r="N532" s="42"/>
    </row>
    <row r="533" spans="2:14" s="13" customFormat="1" x14ac:dyDescent="0.35">
      <c r="B533" s="25"/>
      <c r="E533" s="26"/>
      <c r="N533" s="42"/>
    </row>
    <row r="534" spans="2:14" s="13" customFormat="1" x14ac:dyDescent="0.35">
      <c r="B534" s="25"/>
      <c r="E534" s="26"/>
      <c r="N534" s="42"/>
    </row>
    <row r="535" spans="2:14" s="13" customFormat="1" x14ac:dyDescent="0.35">
      <c r="B535" s="25"/>
      <c r="E535" s="26"/>
      <c r="N535" s="42"/>
    </row>
    <row r="536" spans="2:14" s="13" customFormat="1" x14ac:dyDescent="0.35">
      <c r="B536" s="25"/>
      <c r="E536" s="26"/>
      <c r="N536" s="42"/>
    </row>
    <row r="537" spans="2:14" s="13" customFormat="1" x14ac:dyDescent="0.35">
      <c r="B537" s="25"/>
      <c r="E537" s="26"/>
      <c r="N537" s="42"/>
    </row>
    <row r="538" spans="2:14" s="13" customFormat="1" x14ac:dyDescent="0.35">
      <c r="B538" s="25"/>
      <c r="E538" s="26"/>
      <c r="N538" s="42"/>
    </row>
    <row r="539" spans="2:14" s="13" customFormat="1" x14ac:dyDescent="0.35">
      <c r="B539" s="25"/>
      <c r="E539" s="26"/>
      <c r="N539" s="42"/>
    </row>
    <row r="540" spans="2:14" s="13" customFormat="1" x14ac:dyDescent="0.35">
      <c r="B540" s="25"/>
      <c r="E540" s="26"/>
      <c r="N540" s="42"/>
    </row>
    <row r="541" spans="2:14" s="13" customFormat="1" x14ac:dyDescent="0.35">
      <c r="B541" s="25"/>
      <c r="E541" s="26"/>
      <c r="N541" s="42"/>
    </row>
    <row r="542" spans="2:14" s="13" customFormat="1" x14ac:dyDescent="0.35">
      <c r="B542" s="25"/>
      <c r="E542" s="26"/>
      <c r="N542" s="42"/>
    </row>
    <row r="543" spans="2:14" s="13" customFormat="1" x14ac:dyDescent="0.35">
      <c r="B543" s="25"/>
      <c r="E543" s="26"/>
      <c r="N543" s="42"/>
    </row>
    <row r="544" spans="2:14" s="13" customFormat="1" x14ac:dyDescent="0.35">
      <c r="B544" s="25"/>
      <c r="E544" s="26"/>
      <c r="N544" s="42"/>
    </row>
    <row r="545" spans="2:14" s="13" customFormat="1" x14ac:dyDescent="0.35">
      <c r="B545" s="25"/>
      <c r="E545" s="26"/>
      <c r="N545" s="42"/>
    </row>
    <row r="546" spans="2:14" s="13" customFormat="1" x14ac:dyDescent="0.35">
      <c r="B546" s="25"/>
      <c r="E546" s="26"/>
      <c r="N546" s="42"/>
    </row>
    <row r="547" spans="2:14" s="13" customFormat="1" x14ac:dyDescent="0.35">
      <c r="B547" s="25"/>
      <c r="E547" s="26"/>
      <c r="N547" s="42"/>
    </row>
    <row r="548" spans="2:14" s="13" customFormat="1" x14ac:dyDescent="0.35">
      <c r="B548" s="25"/>
      <c r="E548" s="26"/>
      <c r="N548" s="42"/>
    </row>
    <row r="549" spans="2:14" s="13" customFormat="1" x14ac:dyDescent="0.35">
      <c r="B549" s="25"/>
      <c r="E549" s="26"/>
      <c r="N549" s="42"/>
    </row>
    <row r="550" spans="2:14" s="13" customFormat="1" x14ac:dyDescent="0.35">
      <c r="B550" s="25"/>
      <c r="E550" s="26"/>
      <c r="N550" s="42"/>
    </row>
    <row r="551" spans="2:14" s="13" customFormat="1" x14ac:dyDescent="0.35">
      <c r="B551" s="25"/>
      <c r="E551" s="26"/>
      <c r="N551" s="42"/>
    </row>
    <row r="552" spans="2:14" s="13" customFormat="1" x14ac:dyDescent="0.35">
      <c r="B552" s="25"/>
      <c r="E552" s="26"/>
      <c r="N552" s="42"/>
    </row>
    <row r="553" spans="2:14" s="13" customFormat="1" x14ac:dyDescent="0.35">
      <c r="B553" s="25"/>
      <c r="E553" s="26"/>
      <c r="N553" s="42"/>
    </row>
    <row r="554" spans="2:14" s="13" customFormat="1" x14ac:dyDescent="0.35">
      <c r="B554" s="25"/>
      <c r="E554" s="26"/>
      <c r="N554" s="42"/>
    </row>
    <row r="555" spans="2:14" s="13" customFormat="1" x14ac:dyDescent="0.35">
      <c r="B555" s="25"/>
      <c r="E555" s="26"/>
      <c r="N555" s="42"/>
    </row>
    <row r="556" spans="2:14" s="13" customFormat="1" x14ac:dyDescent="0.35">
      <c r="B556" s="25"/>
      <c r="E556" s="26"/>
      <c r="N556" s="42"/>
    </row>
    <row r="557" spans="2:14" s="13" customFormat="1" x14ac:dyDescent="0.35">
      <c r="B557" s="25"/>
      <c r="E557" s="26"/>
      <c r="N557" s="42"/>
    </row>
    <row r="558" spans="2:14" s="13" customFormat="1" x14ac:dyDescent="0.35">
      <c r="B558" s="25"/>
      <c r="E558" s="26"/>
      <c r="N558" s="42"/>
    </row>
    <row r="559" spans="2:14" s="13" customFormat="1" x14ac:dyDescent="0.35">
      <c r="B559" s="25"/>
      <c r="E559" s="26"/>
      <c r="N559" s="42"/>
    </row>
    <row r="560" spans="2:14" s="13" customFormat="1" x14ac:dyDescent="0.35">
      <c r="B560" s="25"/>
      <c r="E560" s="26"/>
      <c r="N560" s="42"/>
    </row>
    <row r="561" spans="2:14" s="13" customFormat="1" x14ac:dyDescent="0.35">
      <c r="B561" s="25"/>
      <c r="E561" s="26"/>
      <c r="N561" s="42"/>
    </row>
    <row r="562" spans="2:14" s="13" customFormat="1" x14ac:dyDescent="0.35">
      <c r="B562" s="25"/>
      <c r="E562" s="26"/>
      <c r="N562" s="42"/>
    </row>
    <row r="563" spans="2:14" s="13" customFormat="1" x14ac:dyDescent="0.35">
      <c r="B563" s="25"/>
      <c r="E563" s="26"/>
      <c r="N563" s="42"/>
    </row>
    <row r="564" spans="2:14" s="13" customFormat="1" x14ac:dyDescent="0.35">
      <c r="B564" s="25"/>
      <c r="E564" s="26"/>
      <c r="N564" s="42"/>
    </row>
    <row r="565" spans="2:14" s="13" customFormat="1" x14ac:dyDescent="0.35">
      <c r="B565" s="25"/>
      <c r="E565" s="26"/>
      <c r="N565" s="42"/>
    </row>
    <row r="566" spans="2:14" s="13" customFormat="1" x14ac:dyDescent="0.35">
      <c r="B566" s="25"/>
      <c r="E566" s="26"/>
      <c r="N566" s="42"/>
    </row>
    <row r="567" spans="2:14" s="13" customFormat="1" x14ac:dyDescent="0.35">
      <c r="B567" s="25"/>
      <c r="E567" s="26"/>
      <c r="N567" s="42"/>
    </row>
    <row r="568" spans="2:14" s="13" customFormat="1" x14ac:dyDescent="0.35">
      <c r="B568" s="25"/>
      <c r="E568" s="26"/>
      <c r="N568" s="42"/>
    </row>
    <row r="569" spans="2:14" s="13" customFormat="1" x14ac:dyDescent="0.35">
      <c r="B569" s="25"/>
      <c r="E569" s="26"/>
      <c r="N569" s="42"/>
    </row>
    <row r="570" spans="2:14" s="13" customFormat="1" x14ac:dyDescent="0.35">
      <c r="B570" s="25"/>
      <c r="E570" s="26"/>
      <c r="N570" s="42"/>
    </row>
    <row r="571" spans="2:14" s="13" customFormat="1" x14ac:dyDescent="0.35">
      <c r="B571" s="25"/>
      <c r="E571" s="26"/>
      <c r="N571" s="42"/>
    </row>
    <row r="572" spans="2:14" s="13" customFormat="1" x14ac:dyDescent="0.35">
      <c r="B572" s="25"/>
      <c r="E572" s="26"/>
      <c r="N572" s="42"/>
    </row>
    <row r="573" spans="2:14" s="13" customFormat="1" x14ac:dyDescent="0.35">
      <c r="B573" s="25"/>
      <c r="E573" s="26"/>
      <c r="N573" s="42"/>
    </row>
    <row r="574" spans="2:14" s="13" customFormat="1" x14ac:dyDescent="0.35">
      <c r="B574" s="25"/>
      <c r="E574" s="26"/>
      <c r="N574" s="42"/>
    </row>
    <row r="575" spans="2:14" s="13" customFormat="1" x14ac:dyDescent="0.35">
      <c r="B575" s="25"/>
      <c r="E575" s="26"/>
      <c r="N575" s="42"/>
    </row>
    <row r="576" spans="2:14" s="13" customFormat="1" x14ac:dyDescent="0.35">
      <c r="B576" s="25"/>
      <c r="E576" s="26"/>
      <c r="N576" s="42"/>
    </row>
    <row r="577" spans="2:14" s="13" customFormat="1" x14ac:dyDescent="0.35">
      <c r="B577" s="25"/>
      <c r="E577" s="26"/>
      <c r="N577" s="42"/>
    </row>
    <row r="578" spans="2:14" s="13" customFormat="1" x14ac:dyDescent="0.35">
      <c r="B578" s="25"/>
      <c r="E578" s="26"/>
      <c r="N578" s="42"/>
    </row>
    <row r="579" spans="2:14" s="13" customFormat="1" x14ac:dyDescent="0.35">
      <c r="B579" s="25"/>
      <c r="E579" s="26"/>
      <c r="N579" s="42"/>
    </row>
    <row r="580" spans="2:14" s="13" customFormat="1" x14ac:dyDescent="0.35">
      <c r="B580" s="25"/>
      <c r="E580" s="26"/>
      <c r="N580" s="42"/>
    </row>
    <row r="581" spans="2:14" s="13" customFormat="1" x14ac:dyDescent="0.35">
      <c r="B581" s="25"/>
      <c r="E581" s="26"/>
      <c r="N581" s="42"/>
    </row>
    <row r="582" spans="2:14" s="13" customFormat="1" x14ac:dyDescent="0.35">
      <c r="B582" s="25"/>
      <c r="E582" s="26"/>
      <c r="N582" s="42"/>
    </row>
    <row r="583" spans="2:14" s="13" customFormat="1" x14ac:dyDescent="0.35">
      <c r="B583" s="25"/>
      <c r="E583" s="26"/>
      <c r="N583" s="42"/>
    </row>
    <row r="584" spans="2:14" s="13" customFormat="1" x14ac:dyDescent="0.35">
      <c r="B584" s="25"/>
      <c r="E584" s="26"/>
      <c r="N584" s="42"/>
    </row>
    <row r="585" spans="2:14" s="13" customFormat="1" x14ac:dyDescent="0.35">
      <c r="B585" s="25"/>
      <c r="E585" s="26"/>
      <c r="N585" s="42"/>
    </row>
    <row r="586" spans="2:14" s="13" customFormat="1" x14ac:dyDescent="0.35">
      <c r="B586" s="25"/>
      <c r="E586" s="26"/>
      <c r="N586" s="42"/>
    </row>
    <row r="587" spans="2:14" s="13" customFormat="1" x14ac:dyDescent="0.35">
      <c r="B587" s="25"/>
      <c r="E587" s="26"/>
      <c r="N587" s="42"/>
    </row>
    <row r="588" spans="2:14" s="13" customFormat="1" x14ac:dyDescent="0.35">
      <c r="B588" s="25"/>
      <c r="E588" s="26"/>
      <c r="N588" s="42"/>
    </row>
    <row r="589" spans="2:14" s="13" customFormat="1" x14ac:dyDescent="0.35">
      <c r="B589" s="25"/>
      <c r="E589" s="26"/>
      <c r="N589" s="42"/>
    </row>
    <row r="590" spans="2:14" s="13" customFormat="1" x14ac:dyDescent="0.35">
      <c r="B590" s="25"/>
      <c r="E590" s="26"/>
      <c r="N590" s="42"/>
    </row>
    <row r="591" spans="2:14" s="13" customFormat="1" x14ac:dyDescent="0.35">
      <c r="B591" s="25"/>
      <c r="E591" s="26"/>
      <c r="N591" s="42"/>
    </row>
    <row r="592" spans="2:14" s="13" customFormat="1" x14ac:dyDescent="0.35">
      <c r="B592" s="25"/>
      <c r="E592" s="26"/>
      <c r="N592" s="42"/>
    </row>
    <row r="593" spans="2:14" s="13" customFormat="1" x14ac:dyDescent="0.35">
      <c r="B593" s="25"/>
      <c r="E593" s="26"/>
      <c r="N593" s="42"/>
    </row>
    <row r="594" spans="2:14" s="13" customFormat="1" x14ac:dyDescent="0.35">
      <c r="B594" s="25"/>
      <c r="E594" s="26"/>
      <c r="N594" s="42"/>
    </row>
    <row r="595" spans="2:14" s="13" customFormat="1" x14ac:dyDescent="0.35">
      <c r="B595" s="25"/>
      <c r="E595" s="26"/>
      <c r="N595" s="42"/>
    </row>
    <row r="596" spans="2:14" s="13" customFormat="1" x14ac:dyDescent="0.35">
      <c r="B596" s="25"/>
      <c r="E596" s="26"/>
      <c r="N596" s="42"/>
    </row>
    <row r="597" spans="2:14" s="13" customFormat="1" x14ac:dyDescent="0.35">
      <c r="B597" s="25"/>
      <c r="E597" s="26"/>
      <c r="N597" s="42"/>
    </row>
    <row r="598" spans="2:14" s="13" customFormat="1" x14ac:dyDescent="0.35">
      <c r="B598" s="25"/>
      <c r="E598" s="26"/>
      <c r="N598" s="42"/>
    </row>
    <row r="599" spans="2:14" s="13" customFormat="1" x14ac:dyDescent="0.35">
      <c r="B599" s="25"/>
      <c r="E599" s="26"/>
      <c r="N599" s="42"/>
    </row>
    <row r="600" spans="2:14" s="13" customFormat="1" x14ac:dyDescent="0.35">
      <c r="B600" s="25"/>
      <c r="E600" s="26"/>
      <c r="N600" s="42"/>
    </row>
    <row r="601" spans="2:14" s="13" customFormat="1" x14ac:dyDescent="0.35">
      <c r="B601" s="25"/>
      <c r="E601" s="26"/>
      <c r="N601" s="42"/>
    </row>
    <row r="602" spans="2:14" s="13" customFormat="1" x14ac:dyDescent="0.35">
      <c r="B602" s="25"/>
      <c r="E602" s="26"/>
      <c r="N602" s="42"/>
    </row>
    <row r="603" spans="2:14" s="13" customFormat="1" x14ac:dyDescent="0.35">
      <c r="B603" s="25"/>
      <c r="E603" s="26"/>
      <c r="N603" s="42"/>
    </row>
    <row r="604" spans="2:14" s="13" customFormat="1" x14ac:dyDescent="0.35">
      <c r="B604" s="25"/>
      <c r="E604" s="26"/>
      <c r="N604" s="42"/>
    </row>
    <row r="605" spans="2:14" s="13" customFormat="1" x14ac:dyDescent="0.35">
      <c r="B605" s="25"/>
      <c r="E605" s="26"/>
      <c r="N605" s="42"/>
    </row>
    <row r="606" spans="2:14" s="13" customFormat="1" x14ac:dyDescent="0.35">
      <c r="B606" s="25"/>
      <c r="E606" s="26"/>
      <c r="N606" s="42"/>
    </row>
    <row r="607" spans="2:14" s="13" customFormat="1" x14ac:dyDescent="0.35">
      <c r="B607" s="25"/>
      <c r="E607" s="26"/>
      <c r="N607" s="42"/>
    </row>
    <row r="608" spans="2:14" s="13" customFormat="1" x14ac:dyDescent="0.35">
      <c r="B608" s="25"/>
      <c r="E608" s="26"/>
      <c r="N608" s="42"/>
    </row>
    <row r="609" spans="2:14" s="13" customFormat="1" x14ac:dyDescent="0.35">
      <c r="B609" s="25"/>
      <c r="E609" s="26"/>
      <c r="N609" s="42"/>
    </row>
    <row r="610" spans="2:14" s="13" customFormat="1" x14ac:dyDescent="0.35">
      <c r="B610" s="25"/>
      <c r="E610" s="26"/>
      <c r="N610" s="42"/>
    </row>
    <row r="611" spans="2:14" s="13" customFormat="1" x14ac:dyDescent="0.35">
      <c r="B611" s="25"/>
      <c r="E611" s="26"/>
      <c r="N611" s="42"/>
    </row>
    <row r="612" spans="2:14" s="13" customFormat="1" x14ac:dyDescent="0.35">
      <c r="B612" s="25"/>
      <c r="E612" s="26"/>
      <c r="N612" s="42"/>
    </row>
    <row r="613" spans="2:14" s="13" customFormat="1" x14ac:dyDescent="0.35">
      <c r="B613" s="25"/>
      <c r="E613" s="26"/>
      <c r="N613" s="42"/>
    </row>
    <row r="614" spans="2:14" s="13" customFormat="1" x14ac:dyDescent="0.35">
      <c r="B614" s="25"/>
      <c r="E614" s="26"/>
      <c r="N614" s="42"/>
    </row>
    <row r="615" spans="2:14" s="13" customFormat="1" x14ac:dyDescent="0.35">
      <c r="B615" s="25"/>
      <c r="E615" s="26"/>
      <c r="N615" s="42"/>
    </row>
    <row r="616" spans="2:14" s="13" customFormat="1" x14ac:dyDescent="0.35">
      <c r="B616" s="25"/>
      <c r="E616" s="26"/>
      <c r="N616" s="42"/>
    </row>
    <row r="617" spans="2:14" s="13" customFormat="1" x14ac:dyDescent="0.35">
      <c r="B617" s="25"/>
      <c r="E617" s="26"/>
      <c r="N617" s="42"/>
    </row>
    <row r="618" spans="2:14" s="13" customFormat="1" x14ac:dyDescent="0.35">
      <c r="B618" s="25"/>
      <c r="E618" s="26"/>
      <c r="N618" s="42"/>
    </row>
    <row r="619" spans="2:14" s="13" customFormat="1" x14ac:dyDescent="0.35">
      <c r="B619" s="25"/>
      <c r="E619" s="26"/>
      <c r="N619" s="42"/>
    </row>
    <row r="620" spans="2:14" s="13" customFormat="1" x14ac:dyDescent="0.35">
      <c r="B620" s="25"/>
      <c r="E620" s="26"/>
      <c r="N620" s="42"/>
    </row>
    <row r="621" spans="2:14" s="13" customFormat="1" x14ac:dyDescent="0.35">
      <c r="B621" s="25"/>
      <c r="E621" s="26"/>
      <c r="N621" s="42"/>
    </row>
    <row r="622" spans="2:14" s="13" customFormat="1" x14ac:dyDescent="0.35">
      <c r="B622" s="25"/>
      <c r="E622" s="26"/>
      <c r="N622" s="42"/>
    </row>
    <row r="623" spans="2:14" s="13" customFormat="1" x14ac:dyDescent="0.35">
      <c r="B623" s="25"/>
      <c r="E623" s="26"/>
      <c r="N623" s="42"/>
    </row>
    <row r="624" spans="2:14" s="13" customFormat="1" x14ac:dyDescent="0.35">
      <c r="B624" s="25"/>
      <c r="E624" s="26"/>
      <c r="N624" s="42"/>
    </row>
    <row r="625" spans="2:14" s="13" customFormat="1" x14ac:dyDescent="0.35">
      <c r="B625" s="25"/>
      <c r="E625" s="26"/>
      <c r="N625" s="42"/>
    </row>
    <row r="626" spans="2:14" s="13" customFormat="1" x14ac:dyDescent="0.35">
      <c r="B626" s="25"/>
      <c r="E626" s="26"/>
      <c r="N626" s="42"/>
    </row>
    <row r="627" spans="2:14" s="13" customFormat="1" x14ac:dyDescent="0.35">
      <c r="B627" s="25"/>
      <c r="E627" s="26"/>
      <c r="N627" s="42"/>
    </row>
    <row r="628" spans="2:14" s="13" customFormat="1" x14ac:dyDescent="0.35">
      <c r="B628" s="25"/>
      <c r="E628" s="26"/>
      <c r="N628" s="42"/>
    </row>
    <row r="629" spans="2:14" s="13" customFormat="1" x14ac:dyDescent="0.35">
      <c r="B629" s="25"/>
      <c r="E629" s="26"/>
      <c r="N629" s="42"/>
    </row>
    <row r="630" spans="2:14" s="13" customFormat="1" x14ac:dyDescent="0.35">
      <c r="B630" s="25"/>
      <c r="E630" s="26"/>
      <c r="N630" s="42"/>
    </row>
    <row r="631" spans="2:14" s="13" customFormat="1" x14ac:dyDescent="0.35">
      <c r="B631" s="25"/>
      <c r="E631" s="26"/>
      <c r="N631" s="42"/>
    </row>
    <row r="632" spans="2:14" s="13" customFormat="1" x14ac:dyDescent="0.35">
      <c r="B632" s="25"/>
      <c r="E632" s="26"/>
      <c r="N632" s="42"/>
    </row>
    <row r="633" spans="2:14" s="13" customFormat="1" x14ac:dyDescent="0.35">
      <c r="B633" s="25"/>
      <c r="E633" s="26"/>
      <c r="N633" s="42"/>
    </row>
    <row r="634" spans="2:14" s="13" customFormat="1" x14ac:dyDescent="0.35">
      <c r="B634" s="25"/>
      <c r="E634" s="26"/>
      <c r="N634" s="42"/>
    </row>
    <row r="635" spans="2:14" s="13" customFormat="1" x14ac:dyDescent="0.35">
      <c r="B635" s="25"/>
      <c r="E635" s="26"/>
      <c r="N635" s="42"/>
    </row>
    <row r="636" spans="2:14" s="13" customFormat="1" x14ac:dyDescent="0.35">
      <c r="B636" s="25"/>
      <c r="E636" s="26"/>
      <c r="N636" s="42"/>
    </row>
    <row r="637" spans="2:14" s="13" customFormat="1" x14ac:dyDescent="0.35">
      <c r="B637" s="25"/>
      <c r="E637" s="26"/>
      <c r="N637" s="42"/>
    </row>
    <row r="638" spans="2:14" s="13" customFormat="1" x14ac:dyDescent="0.35">
      <c r="B638" s="25"/>
      <c r="E638" s="26"/>
      <c r="N638" s="42"/>
    </row>
    <row r="639" spans="2:14" s="13" customFormat="1" x14ac:dyDescent="0.35">
      <c r="B639" s="25"/>
      <c r="E639" s="26"/>
      <c r="N639" s="42"/>
    </row>
    <row r="640" spans="2:14" s="13" customFormat="1" x14ac:dyDescent="0.35">
      <c r="B640" s="25"/>
      <c r="E640" s="26"/>
      <c r="N640" s="42"/>
    </row>
    <row r="641" spans="2:14" s="13" customFormat="1" x14ac:dyDescent="0.35">
      <c r="B641" s="25"/>
      <c r="E641" s="26"/>
      <c r="N641" s="42"/>
    </row>
    <row r="642" spans="2:14" s="13" customFormat="1" x14ac:dyDescent="0.35">
      <c r="B642" s="25"/>
      <c r="E642" s="26"/>
      <c r="N642" s="42"/>
    </row>
    <row r="643" spans="2:14" s="13" customFormat="1" x14ac:dyDescent="0.35">
      <c r="B643" s="25"/>
      <c r="E643" s="26"/>
      <c r="N643" s="42"/>
    </row>
    <row r="644" spans="2:14" s="13" customFormat="1" x14ac:dyDescent="0.35">
      <c r="B644" s="25"/>
      <c r="E644" s="26"/>
      <c r="N644" s="42"/>
    </row>
    <row r="645" spans="2:14" s="13" customFormat="1" x14ac:dyDescent="0.35">
      <c r="B645" s="25"/>
      <c r="E645" s="26"/>
      <c r="N645" s="42"/>
    </row>
    <row r="646" spans="2:14" s="13" customFormat="1" x14ac:dyDescent="0.35">
      <c r="B646" s="25"/>
      <c r="E646" s="26"/>
      <c r="N646" s="42"/>
    </row>
    <row r="647" spans="2:14" s="13" customFormat="1" x14ac:dyDescent="0.35">
      <c r="B647" s="25"/>
      <c r="E647" s="26"/>
      <c r="N647" s="42"/>
    </row>
    <row r="648" spans="2:14" s="13" customFormat="1" x14ac:dyDescent="0.35">
      <c r="B648" s="25"/>
      <c r="E648" s="26"/>
      <c r="N648" s="42"/>
    </row>
    <row r="649" spans="2:14" s="13" customFormat="1" x14ac:dyDescent="0.35">
      <c r="B649" s="25"/>
      <c r="E649" s="26"/>
      <c r="N649" s="42"/>
    </row>
    <row r="650" spans="2:14" s="13" customFormat="1" x14ac:dyDescent="0.35">
      <c r="B650" s="25"/>
      <c r="E650" s="26"/>
      <c r="N650" s="42"/>
    </row>
    <row r="651" spans="2:14" s="13" customFormat="1" x14ac:dyDescent="0.35">
      <c r="B651" s="25"/>
      <c r="E651" s="26"/>
      <c r="N651" s="42"/>
    </row>
    <row r="652" spans="2:14" s="13" customFormat="1" x14ac:dyDescent="0.35">
      <c r="B652" s="25"/>
      <c r="E652" s="26"/>
      <c r="N652" s="42"/>
    </row>
    <row r="653" spans="2:14" s="13" customFormat="1" x14ac:dyDescent="0.35">
      <c r="B653" s="25"/>
      <c r="E653" s="26"/>
      <c r="N653" s="42"/>
    </row>
    <row r="654" spans="2:14" s="13" customFormat="1" x14ac:dyDescent="0.35">
      <c r="B654" s="25"/>
      <c r="E654" s="26"/>
      <c r="N654" s="42"/>
    </row>
    <row r="655" spans="2:14" s="13" customFormat="1" x14ac:dyDescent="0.35">
      <c r="B655" s="25"/>
      <c r="E655" s="26"/>
      <c r="N655" s="42"/>
    </row>
    <row r="656" spans="2:14" s="13" customFormat="1" x14ac:dyDescent="0.35">
      <c r="B656" s="25"/>
      <c r="E656" s="26"/>
      <c r="N656" s="42"/>
    </row>
    <row r="657" spans="2:14" s="13" customFormat="1" x14ac:dyDescent="0.35">
      <c r="B657" s="25"/>
      <c r="E657" s="26"/>
      <c r="N657" s="42"/>
    </row>
    <row r="658" spans="2:14" s="13" customFormat="1" x14ac:dyDescent="0.35">
      <c r="B658" s="25"/>
      <c r="E658" s="26"/>
      <c r="N658" s="42"/>
    </row>
    <row r="659" spans="2:14" s="13" customFormat="1" x14ac:dyDescent="0.35">
      <c r="B659" s="25"/>
      <c r="E659" s="26"/>
      <c r="N659" s="42"/>
    </row>
    <row r="660" spans="2:14" s="13" customFormat="1" x14ac:dyDescent="0.35">
      <c r="B660" s="25"/>
      <c r="E660" s="26"/>
      <c r="N660" s="42"/>
    </row>
    <row r="661" spans="2:14" s="13" customFormat="1" x14ac:dyDescent="0.35">
      <c r="B661" s="25"/>
      <c r="E661" s="26"/>
      <c r="N661" s="42"/>
    </row>
    <row r="662" spans="2:14" s="13" customFormat="1" x14ac:dyDescent="0.35">
      <c r="B662" s="25"/>
      <c r="E662" s="26"/>
      <c r="N662" s="42"/>
    </row>
    <row r="663" spans="2:14" s="13" customFormat="1" x14ac:dyDescent="0.35">
      <c r="B663" s="25"/>
      <c r="E663" s="26"/>
      <c r="N663" s="42"/>
    </row>
    <row r="664" spans="2:14" s="13" customFormat="1" x14ac:dyDescent="0.35">
      <c r="B664" s="25"/>
      <c r="E664" s="26"/>
      <c r="N664" s="42"/>
    </row>
    <row r="665" spans="2:14" s="13" customFormat="1" x14ac:dyDescent="0.35">
      <c r="B665" s="25"/>
      <c r="E665" s="26"/>
      <c r="N665" s="42"/>
    </row>
    <row r="666" spans="2:14" s="13" customFormat="1" x14ac:dyDescent="0.35">
      <c r="B666" s="25"/>
      <c r="E666" s="26"/>
      <c r="N666" s="42"/>
    </row>
    <row r="667" spans="2:14" s="13" customFormat="1" x14ac:dyDescent="0.35">
      <c r="B667" s="25"/>
      <c r="E667" s="26"/>
      <c r="N667" s="42"/>
    </row>
    <row r="668" spans="2:14" s="13" customFormat="1" x14ac:dyDescent="0.35">
      <c r="B668" s="25"/>
      <c r="E668" s="26"/>
      <c r="N668" s="42"/>
    </row>
    <row r="669" spans="2:14" s="13" customFormat="1" x14ac:dyDescent="0.35">
      <c r="B669" s="25"/>
      <c r="E669" s="26"/>
      <c r="N669" s="42"/>
    </row>
    <row r="670" spans="2:14" s="13" customFormat="1" x14ac:dyDescent="0.35">
      <c r="B670" s="25"/>
      <c r="E670" s="26"/>
      <c r="N670" s="42"/>
    </row>
    <row r="671" spans="2:14" s="13" customFormat="1" x14ac:dyDescent="0.35">
      <c r="B671" s="25"/>
      <c r="E671" s="26"/>
      <c r="N671" s="42"/>
    </row>
    <row r="672" spans="2:14" s="13" customFormat="1" x14ac:dyDescent="0.35">
      <c r="B672" s="25"/>
      <c r="E672" s="26"/>
      <c r="N672" s="42"/>
    </row>
    <row r="673" spans="2:14" s="13" customFormat="1" x14ac:dyDescent="0.35">
      <c r="B673" s="25"/>
      <c r="E673" s="26"/>
      <c r="N673" s="42"/>
    </row>
    <row r="674" spans="2:14" s="13" customFormat="1" x14ac:dyDescent="0.35">
      <c r="B674" s="25"/>
      <c r="E674" s="26"/>
      <c r="N674" s="42"/>
    </row>
    <row r="675" spans="2:14" s="13" customFormat="1" x14ac:dyDescent="0.35">
      <c r="B675" s="25"/>
      <c r="E675" s="26"/>
      <c r="N675" s="42"/>
    </row>
    <row r="676" spans="2:14" s="13" customFormat="1" x14ac:dyDescent="0.35">
      <c r="B676" s="25"/>
      <c r="E676" s="26"/>
      <c r="N676" s="42"/>
    </row>
    <row r="677" spans="2:14" s="13" customFormat="1" x14ac:dyDescent="0.35">
      <c r="B677" s="25"/>
      <c r="E677" s="26"/>
      <c r="N677" s="42"/>
    </row>
    <row r="678" spans="2:14" s="13" customFormat="1" x14ac:dyDescent="0.35">
      <c r="B678" s="25"/>
      <c r="E678" s="26"/>
      <c r="N678" s="42"/>
    </row>
    <row r="679" spans="2:14" s="13" customFormat="1" x14ac:dyDescent="0.35">
      <c r="B679" s="25"/>
      <c r="E679" s="26"/>
      <c r="N679" s="42"/>
    </row>
    <row r="680" spans="2:14" s="13" customFormat="1" x14ac:dyDescent="0.35">
      <c r="B680" s="25"/>
      <c r="E680" s="26"/>
      <c r="N680" s="42"/>
    </row>
    <row r="681" spans="2:14" s="13" customFormat="1" x14ac:dyDescent="0.35">
      <c r="B681" s="25"/>
      <c r="E681" s="26"/>
      <c r="M681"/>
      <c r="N681" s="42"/>
    </row>
    <row r="682" spans="2:14" s="13" customFormat="1" x14ac:dyDescent="0.35">
      <c r="B682" s="25"/>
      <c r="E682" s="26"/>
      <c r="M682"/>
      <c r="N682" s="42"/>
    </row>
    <row r="683" spans="2:14" s="13" customFormat="1" x14ac:dyDescent="0.35">
      <c r="B683" s="25"/>
      <c r="E683" s="26"/>
      <c r="M683"/>
      <c r="N683" s="42"/>
    </row>
    <row r="684" spans="2:14" s="13" customFormat="1" x14ac:dyDescent="0.35">
      <c r="B684" s="25"/>
      <c r="E684" s="26"/>
      <c r="M684"/>
      <c r="N684" s="42"/>
    </row>
    <row r="685" spans="2:14" s="13" customFormat="1" x14ac:dyDescent="0.35">
      <c r="B685" s="25"/>
      <c r="E685" s="26"/>
      <c r="M685"/>
      <c r="N685" s="42"/>
    </row>
    <row r="686" spans="2:14" s="13" customFormat="1" x14ac:dyDescent="0.35">
      <c r="B686" s="25"/>
      <c r="E686" s="26"/>
      <c r="M686"/>
      <c r="N686" s="42"/>
    </row>
    <row r="687" spans="2:14" s="13" customFormat="1" x14ac:dyDescent="0.35">
      <c r="B687" s="25"/>
      <c r="E687" s="26"/>
      <c r="M687"/>
      <c r="N687" s="42"/>
    </row>
    <row r="688" spans="2:14" s="13" customFormat="1" x14ac:dyDescent="0.35">
      <c r="B688" s="25"/>
      <c r="E688" s="26"/>
      <c r="M688"/>
      <c r="N688" s="42"/>
    </row>
    <row r="689" spans="2:14" s="13" customFormat="1" x14ac:dyDescent="0.35">
      <c r="B689" s="25"/>
      <c r="E689" s="26"/>
      <c r="M689"/>
      <c r="N689" s="42"/>
    </row>
    <row r="690" spans="2:14" s="13" customFormat="1" x14ac:dyDescent="0.35">
      <c r="B690" s="25"/>
      <c r="E690" s="26"/>
      <c r="M690"/>
      <c r="N690" s="42"/>
    </row>
    <row r="691" spans="2:14" s="13" customFormat="1" x14ac:dyDescent="0.35">
      <c r="B691" s="25"/>
      <c r="E691" s="26"/>
      <c r="M691"/>
      <c r="N691" s="42"/>
    </row>
    <row r="692" spans="2:14" s="13" customFormat="1" x14ac:dyDescent="0.35">
      <c r="B692" s="25"/>
      <c r="E692" s="26"/>
      <c r="M692"/>
      <c r="N692" s="42"/>
    </row>
    <row r="693" spans="2:14" s="13" customFormat="1" x14ac:dyDescent="0.35">
      <c r="B693" s="25"/>
      <c r="E693" s="26"/>
      <c r="M693"/>
      <c r="N693" s="42"/>
    </row>
    <row r="694" spans="2:14" s="13" customFormat="1" x14ac:dyDescent="0.35">
      <c r="B694" s="25"/>
      <c r="E694" s="26"/>
      <c r="M694"/>
      <c r="N694" s="42"/>
    </row>
    <row r="695" spans="2:14" s="13" customFormat="1" x14ac:dyDescent="0.35">
      <c r="B695" s="25"/>
      <c r="E695" s="26"/>
      <c r="M695"/>
      <c r="N695" s="42"/>
    </row>
    <row r="696" spans="2:14" s="13" customFormat="1" x14ac:dyDescent="0.35">
      <c r="B696" s="25"/>
      <c r="E696" s="26"/>
      <c r="M696"/>
      <c r="N696" s="42"/>
    </row>
  </sheetData>
  <sheetProtection algorithmName="SHA-512" hashValue="rbqONZjtmaPNq6XtSSrZg8W56pbUmDdT8LGVCBNOPJ6asg1SzrAromu/7Xb/+2w8pDDSGIgwO0o4BI2zMaBK3A==" saltValue="8h5mk6hyETVTCazqZ29NTw==" spinCount="100000" sheet="1" formatCells="0" formatColumns="0" formatRows="0"/>
  <mergeCells count="23">
    <mergeCell ref="M7:M63"/>
    <mergeCell ref="C19:C25"/>
    <mergeCell ref="D19:D25"/>
    <mergeCell ref="C26:C28"/>
    <mergeCell ref="D26:D28"/>
    <mergeCell ref="C29:C33"/>
    <mergeCell ref="D29:D33"/>
    <mergeCell ref="C34:C40"/>
    <mergeCell ref="D34:D40"/>
    <mergeCell ref="C41:C43"/>
    <mergeCell ref="D41:D43"/>
    <mergeCell ref="C44:C49"/>
    <mergeCell ref="D44:D49"/>
    <mergeCell ref="C60:C63"/>
    <mergeCell ref="D60:D63"/>
    <mergeCell ref="A7:A63"/>
    <mergeCell ref="B7:B63"/>
    <mergeCell ref="C7:C18"/>
    <mergeCell ref="D7:D18"/>
    <mergeCell ref="C50:C56"/>
    <mergeCell ref="D50:D56"/>
    <mergeCell ref="C57:C59"/>
    <mergeCell ref="D57:D59"/>
  </mergeCells>
  <dataValidations count="1">
    <dataValidation type="list" allowBlank="1" showInputMessage="1" showErrorMessage="1" errorTitle="ASVS Test Result" error="Invalid selection!" promptTitle="ASVS Test Result" prompt="Please select test result from the list." sqref="G7:G63" xr:uid="{1F3A2063-A239-41A6-80E0-EBDDD4234432}">
      <formula1>testResult</formula1>
    </dataValidation>
  </dataValidations>
  <hyperlinks>
    <hyperlink ref="F7" r:id="rId1" location="tab=Formal_Numbering" display="https://www.owasp.org/index.php/OWASP_Proactive_Controls - tab=Formal_Numbering" xr:uid="{6B36B50D-464F-46E5-A465-F4953211219A}"/>
    <hyperlink ref="F8" r:id="rId2" location="tab=Formal_Numbering" display="https://www.owasp.org/index.php/OWASP_Proactive_Controls - tab=Formal_Numbering" xr:uid="{CC696B01-047C-44CC-BC30-0B6DC39E28A4}"/>
    <hyperlink ref="F9" r:id="rId3" location="tab=Formal_Numbering" display="https://www.owasp.org/index.php/OWASP_Proactive_Controls - tab=Formal_Numbering" xr:uid="{DE4B22F2-8010-4EAC-9BB5-2400A3D6E0EC}"/>
    <hyperlink ref="F13" r:id="rId4" location="tab=Formal_Numbering" display="https://www.owasp.org/index.php/OWASP_Proactive_Controls - tab=Formal_Numbering" xr:uid="{C37D7486-6D3B-429A-AFEE-B00C97DA2767}"/>
    <hyperlink ref="F15" r:id="rId5" location="tab=Formal_Numbering" display="https://www.owasp.org/index.php/OWASP_Proactive_Controls - tab=Formal_Numbering" xr:uid="{382C2C68-255A-4B3A-9343-4211C110C1B1}"/>
    <hyperlink ref="F29" r:id="rId6" location="tab=Formal_Numbering" display="https://www.owasp.org/index.php/OWASP_Proactive_Controls - tab=Formal_Numbering" xr:uid="{BB2C9DA2-0B1D-4B67-9ECE-B61E3D76F25F}"/>
    <hyperlink ref="F30" r:id="rId7" location="tab=Formal_Numbering" display="https://www.owasp.org/index.php/OWASP_Proactive_Controls - tab=Formal_Numbering" xr:uid="{72A5B8F3-A06A-4473-8A5B-5536752DBA65}"/>
    <hyperlink ref="F31" r:id="rId8" location="tab=Formal_Numbering" display="https://www.owasp.org/index.php/OWASP_Proactive_Controls - tab=Formal_Numbering" xr:uid="{03AFEAA5-6769-4C5F-8F76-82AAAE1A3B7B}"/>
    <hyperlink ref="F32" r:id="rId9" location="tab=Formal_Numbering" display="https://www.owasp.org/index.php/OWASP_Proactive_Controls - tab=Formal_Numbering" xr:uid="{027FC928-AC28-4883-BBDD-AB02BAC3E60F}"/>
    <hyperlink ref="F34" r:id="rId10" location="tab=Formal_Numbering" display="https://www.owasp.org/index.php/OWASP_Proactive_Controls - tab=Formal_Numbering" xr:uid="{1A6065C4-B988-4A42-A0EE-726F5461A56F}"/>
    <hyperlink ref="F36" r:id="rId11" location="tab=Formal_Numbering" display="https://www.owasp.org/index.php/OWASP_Proactive_Controls - tab=Formal_Numbering" xr:uid="{A4A62BA3-CA6C-4281-A97A-F5809F3BBD84}"/>
    <hyperlink ref="F39" r:id="rId12" location="tab=Formal_Numbering" display="https://www.owasp.org/index.php/OWASP_Proactive_Controls - tab=Formal_Numbering" xr:uid="{52DBE8CE-A095-4073-A374-EB452F1B0B11}"/>
  </hyperlinks>
  <pageMargins left="0.7" right="0.7" top="0.75" bottom="0.75" header="0.3" footer="0.3"/>
  <drawing r:id="rId13"/>
  <legacyDrawing r:id="rId14"/>
  <mc:AlternateContent xmlns:mc="http://schemas.openxmlformats.org/markup-compatibility/2006">
    <mc:Choice Requires="x14">
      <controls>
        <mc:AlternateContent xmlns:mc="http://schemas.openxmlformats.org/markup-compatibility/2006">
          <mc:Choice Requires="x14">
            <control shapeId="14337" r:id="rId15" name="Button 1">
              <controlPr defaultSize="0" print="0" autoFill="0" autoPict="0" macro="[0]!Sheet5.Confirm_Reset_Answers_V2">
                <anchor moveWithCells="1" sizeWithCells="1">
                  <from>
                    <xdr:col>0</xdr:col>
                    <xdr:colOff>127000</xdr:colOff>
                    <xdr:row>0</xdr:row>
                    <xdr:rowOff>38100</xdr:rowOff>
                  </from>
                  <to>
                    <xdr:col>1</xdr:col>
                    <xdr:colOff>1479550</xdr:colOff>
                    <xdr:row>2</xdr:row>
                    <xdr:rowOff>50800</xdr:rowOff>
                  </to>
                </anchor>
              </controlPr>
            </control>
          </mc:Choice>
        </mc:AlternateContent>
        <mc:AlternateContent xmlns:mc="http://schemas.openxmlformats.org/markup-compatibility/2006">
          <mc:Choice Requires="x14">
            <control shapeId="14352" r:id="rId16" name="Button 16">
              <controlPr defaultSize="0" print="0" autoFill="0" autoPict="0" macro="[0]!Confirm_Reset_All_Answers">
                <anchor moveWithCells="1" sizeWithCells="1">
                  <from>
                    <xdr:col>0</xdr:col>
                    <xdr:colOff>127000</xdr:colOff>
                    <xdr:row>2</xdr:row>
                    <xdr:rowOff>88900</xdr:rowOff>
                  </from>
                  <to>
                    <xdr:col>1</xdr:col>
                    <xdr:colOff>1479550</xdr:colOff>
                    <xdr:row>4</xdr:row>
                    <xdr:rowOff>107950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D893B-B2CF-4B95-A688-5BA56993DE0B}">
  <sheetPr codeName="Sheet6">
    <tabColor theme="5" tint="0.39997558519241921"/>
  </sheetPr>
  <dimension ref="A1:CRF659"/>
  <sheetViews>
    <sheetView showGridLines="0" showRowColHeaders="0" workbookViewId="0">
      <pane ySplit="6" topLeftCell="A7" activePane="bottomLeft" state="frozen"/>
      <selection pane="bottomLeft" activeCell="A6" sqref="A6"/>
    </sheetView>
  </sheetViews>
  <sheetFormatPr defaultRowHeight="15" x14ac:dyDescent="0.4"/>
  <cols>
    <col min="1" max="1" width="11.453125" customWidth="1"/>
    <col min="2" max="2" width="24.1796875" style="20" customWidth="1"/>
    <col min="3" max="3" width="11.54296875" customWidth="1"/>
    <col min="4" max="4" width="31.81640625" style="43" customWidth="1"/>
    <col min="5" max="5" width="9.453125" style="21" customWidth="1"/>
    <col min="6" max="6" width="56.1796875" customWidth="1"/>
    <col min="7" max="7" width="19.1796875" style="55" customWidth="1"/>
    <col min="8" max="10" width="3.7265625" bestFit="1" customWidth="1"/>
    <col min="12" max="12" width="13.1796875" customWidth="1"/>
    <col min="13" max="13" width="33.7265625" customWidth="1"/>
    <col min="14" max="14" width="47.7265625" style="43" customWidth="1"/>
    <col min="15" max="136" width="8.726562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0</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0</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TOTAL_ASVS_V3</f>
        <v>20</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26" x14ac:dyDescent="0.35">
      <c r="A7" s="113" t="s">
        <v>42</v>
      </c>
      <c r="B7" s="116" t="s">
        <v>328</v>
      </c>
      <c r="C7" s="22" t="s">
        <v>330</v>
      </c>
      <c r="D7" s="56" t="s">
        <v>329</v>
      </c>
      <c r="E7" s="22" t="s">
        <v>331</v>
      </c>
      <c r="F7" s="4" t="s">
        <v>332</v>
      </c>
      <c r="G7" s="91" t="s">
        <v>32</v>
      </c>
      <c r="H7" s="38" t="s">
        <v>812</v>
      </c>
      <c r="I7" s="39" t="s">
        <v>812</v>
      </c>
      <c r="J7" s="40" t="s">
        <v>812</v>
      </c>
      <c r="K7" s="5">
        <v>598</v>
      </c>
      <c r="L7" s="59"/>
      <c r="M7" s="119" t="s">
        <v>840</v>
      </c>
      <c r="N7" s="41"/>
    </row>
    <row r="8" spans="1:2502" ht="26" x14ac:dyDescent="0.35">
      <c r="A8" s="114"/>
      <c r="B8" s="117"/>
      <c r="C8" s="116" t="s">
        <v>333</v>
      </c>
      <c r="D8" s="122" t="s">
        <v>334</v>
      </c>
      <c r="E8" s="22" t="s">
        <v>335</v>
      </c>
      <c r="F8" s="23" t="s">
        <v>336</v>
      </c>
      <c r="G8" s="91" t="s">
        <v>32</v>
      </c>
      <c r="H8" s="38" t="s">
        <v>812</v>
      </c>
      <c r="I8" s="39" t="s">
        <v>812</v>
      </c>
      <c r="J8" s="40" t="s">
        <v>812</v>
      </c>
      <c r="K8" s="5">
        <v>384</v>
      </c>
      <c r="L8" s="59">
        <v>7.1</v>
      </c>
      <c r="M8" s="120"/>
      <c r="N8" s="41"/>
    </row>
    <row r="9" spans="1:2502" ht="14.5" x14ac:dyDescent="0.35">
      <c r="A9" s="114"/>
      <c r="B9" s="117"/>
      <c r="C9" s="117"/>
      <c r="D9" s="123"/>
      <c r="E9" s="22" t="s">
        <v>337</v>
      </c>
      <c r="F9" s="23" t="s">
        <v>338</v>
      </c>
      <c r="G9" s="91" t="s">
        <v>32</v>
      </c>
      <c r="H9" s="38" t="s">
        <v>812</v>
      </c>
      <c r="I9" s="39" t="s">
        <v>812</v>
      </c>
      <c r="J9" s="40" t="s">
        <v>812</v>
      </c>
      <c r="K9" s="5">
        <v>331</v>
      </c>
      <c r="L9" s="59">
        <v>7.1</v>
      </c>
      <c r="M9" s="120"/>
      <c r="N9" s="41"/>
    </row>
    <row r="10" spans="1:2502" ht="39" x14ac:dyDescent="0.35">
      <c r="A10" s="114"/>
      <c r="B10" s="117"/>
      <c r="C10" s="117"/>
      <c r="D10" s="123"/>
      <c r="E10" s="22" t="s">
        <v>339</v>
      </c>
      <c r="F10" s="4" t="s">
        <v>340</v>
      </c>
      <c r="G10" s="91" t="s">
        <v>32</v>
      </c>
      <c r="H10" s="38" t="s">
        <v>812</v>
      </c>
      <c r="I10" s="39" t="s">
        <v>812</v>
      </c>
      <c r="J10" s="40" t="s">
        <v>812</v>
      </c>
      <c r="K10" s="5">
        <v>539</v>
      </c>
      <c r="L10" s="59">
        <v>7.1</v>
      </c>
      <c r="M10" s="120"/>
      <c r="N10" s="41"/>
    </row>
    <row r="11" spans="1:2502" ht="26" x14ac:dyDescent="0.35">
      <c r="A11" s="114"/>
      <c r="B11" s="117"/>
      <c r="C11" s="118"/>
      <c r="D11" s="124"/>
      <c r="E11" s="22" t="s">
        <v>341</v>
      </c>
      <c r="F11" s="23" t="s">
        <v>342</v>
      </c>
      <c r="G11" s="91" t="s">
        <v>32</v>
      </c>
      <c r="H11" s="57"/>
      <c r="I11" s="39" t="s">
        <v>812</v>
      </c>
      <c r="J11" s="40" t="s">
        <v>812</v>
      </c>
      <c r="K11" s="5">
        <v>331</v>
      </c>
      <c r="L11" s="59">
        <v>7.1</v>
      </c>
      <c r="M11" s="120"/>
      <c r="N11" s="41"/>
    </row>
    <row r="12" spans="1:2502" ht="39" x14ac:dyDescent="0.35">
      <c r="A12" s="114"/>
      <c r="B12" s="117"/>
      <c r="C12" s="116" t="s">
        <v>343</v>
      </c>
      <c r="D12" s="122" t="s">
        <v>344</v>
      </c>
      <c r="E12" s="22" t="s">
        <v>345</v>
      </c>
      <c r="F12" s="37" t="s">
        <v>346</v>
      </c>
      <c r="G12" s="91" t="s">
        <v>32</v>
      </c>
      <c r="H12" s="38" t="s">
        <v>812</v>
      </c>
      <c r="I12" s="39" t="s">
        <v>812</v>
      </c>
      <c r="J12" s="40" t="s">
        <v>812</v>
      </c>
      <c r="K12" s="5">
        <v>613</v>
      </c>
      <c r="L12" s="59">
        <v>7.1</v>
      </c>
      <c r="M12" s="120"/>
      <c r="N12" s="41"/>
    </row>
    <row r="13" spans="1:2502" ht="39" x14ac:dyDescent="0.35">
      <c r="A13" s="114"/>
      <c r="B13" s="117"/>
      <c r="C13" s="117"/>
      <c r="D13" s="123"/>
      <c r="E13" s="22" t="s">
        <v>347</v>
      </c>
      <c r="F13" s="23" t="s">
        <v>348</v>
      </c>
      <c r="G13" s="91" t="s">
        <v>32</v>
      </c>
      <c r="H13" s="38" t="s">
        <v>812</v>
      </c>
      <c r="I13" s="39" t="s">
        <v>812</v>
      </c>
      <c r="J13" s="40" t="s">
        <v>812</v>
      </c>
      <c r="K13" s="5">
        <v>613</v>
      </c>
      <c r="L13" s="59">
        <v>7.2</v>
      </c>
      <c r="M13" s="120"/>
      <c r="N13" s="41" t="s">
        <v>815</v>
      </c>
    </row>
    <row r="14" spans="1:2502" ht="39" x14ac:dyDescent="0.35">
      <c r="A14" s="114"/>
      <c r="B14" s="117"/>
      <c r="C14" s="117"/>
      <c r="D14" s="123"/>
      <c r="E14" s="22" t="s">
        <v>349</v>
      </c>
      <c r="F14" s="4" t="s">
        <v>350</v>
      </c>
      <c r="G14" s="91" t="s">
        <v>32</v>
      </c>
      <c r="H14" s="57"/>
      <c r="I14" s="39" t="s">
        <v>812</v>
      </c>
      <c r="J14" s="40" t="s">
        <v>812</v>
      </c>
      <c r="K14" s="5">
        <v>613</v>
      </c>
      <c r="L14" s="59"/>
      <c r="M14" s="120"/>
      <c r="N14" s="41"/>
    </row>
    <row r="15" spans="1:2502" ht="26" x14ac:dyDescent="0.35">
      <c r="A15" s="114"/>
      <c r="B15" s="117"/>
      <c r="C15" s="118"/>
      <c r="D15" s="124"/>
      <c r="E15" s="22" t="s">
        <v>351</v>
      </c>
      <c r="F15" s="4" t="s">
        <v>352</v>
      </c>
      <c r="G15" s="91" t="s">
        <v>32</v>
      </c>
      <c r="H15" s="57"/>
      <c r="I15" s="39" t="s">
        <v>812</v>
      </c>
      <c r="J15" s="40" t="s">
        <v>812</v>
      </c>
      <c r="K15" s="5">
        <v>613</v>
      </c>
      <c r="L15" s="59">
        <v>7.1</v>
      </c>
      <c r="M15" s="120"/>
      <c r="N15" s="41"/>
    </row>
    <row r="16" spans="1:2502" ht="26" x14ac:dyDescent="0.35">
      <c r="A16" s="114"/>
      <c r="B16" s="117"/>
      <c r="C16" s="116" t="s">
        <v>353</v>
      </c>
      <c r="D16" s="122" t="s">
        <v>354</v>
      </c>
      <c r="E16" s="22" t="s">
        <v>355</v>
      </c>
      <c r="F16" s="23" t="s">
        <v>356</v>
      </c>
      <c r="G16" s="91" t="s">
        <v>32</v>
      </c>
      <c r="H16" s="38" t="s">
        <v>812</v>
      </c>
      <c r="I16" s="39" t="s">
        <v>812</v>
      </c>
      <c r="J16" s="40" t="s">
        <v>812</v>
      </c>
      <c r="K16" s="5">
        <v>614</v>
      </c>
      <c r="L16" s="59" t="s">
        <v>357</v>
      </c>
      <c r="M16" s="120"/>
      <c r="N16" s="41"/>
    </row>
    <row r="17" spans="1:14" ht="26" x14ac:dyDescent="0.35">
      <c r="A17" s="114"/>
      <c r="B17" s="117"/>
      <c r="C17" s="117"/>
      <c r="D17" s="123"/>
      <c r="E17" s="22" t="s">
        <v>358</v>
      </c>
      <c r="F17" s="23" t="s">
        <v>359</v>
      </c>
      <c r="G17" s="91" t="s">
        <v>32</v>
      </c>
      <c r="H17" s="38" t="s">
        <v>812</v>
      </c>
      <c r="I17" s="39" t="s">
        <v>812</v>
      </c>
      <c r="J17" s="40" t="s">
        <v>812</v>
      </c>
      <c r="K17" s="5">
        <v>1004</v>
      </c>
      <c r="L17" s="59" t="s">
        <v>357</v>
      </c>
      <c r="M17" s="120"/>
      <c r="N17" s="41"/>
    </row>
    <row r="18" spans="1:14" ht="26" x14ac:dyDescent="0.35">
      <c r="A18" s="114"/>
      <c r="B18" s="117"/>
      <c r="C18" s="117"/>
      <c r="D18" s="123"/>
      <c r="E18" s="22" t="s">
        <v>360</v>
      </c>
      <c r="F18" s="23" t="s">
        <v>361</v>
      </c>
      <c r="G18" s="91" t="s">
        <v>32</v>
      </c>
      <c r="H18" s="38" t="s">
        <v>812</v>
      </c>
      <c r="I18" s="39" t="s">
        <v>812</v>
      </c>
      <c r="J18" s="40" t="s">
        <v>812</v>
      </c>
      <c r="K18" s="5">
        <v>16</v>
      </c>
      <c r="L18" s="59" t="s">
        <v>357</v>
      </c>
      <c r="M18" s="120"/>
      <c r="N18" s="41"/>
    </row>
    <row r="19" spans="1:14" ht="26" x14ac:dyDescent="0.35">
      <c r="A19" s="114"/>
      <c r="B19" s="117"/>
      <c r="C19" s="117"/>
      <c r="D19" s="123"/>
      <c r="E19" s="22" t="s">
        <v>362</v>
      </c>
      <c r="F19" s="4" t="s">
        <v>363</v>
      </c>
      <c r="G19" s="91" t="s">
        <v>32</v>
      </c>
      <c r="H19" s="38" t="s">
        <v>812</v>
      </c>
      <c r="I19" s="39" t="s">
        <v>812</v>
      </c>
      <c r="J19" s="40" t="s">
        <v>812</v>
      </c>
      <c r="K19" s="5">
        <v>16</v>
      </c>
      <c r="L19" s="59" t="s">
        <v>357</v>
      </c>
      <c r="M19" s="120"/>
      <c r="N19" s="41"/>
    </row>
    <row r="20" spans="1:14" ht="52" x14ac:dyDescent="0.35">
      <c r="A20" s="114"/>
      <c r="B20" s="117"/>
      <c r="C20" s="118"/>
      <c r="D20" s="124"/>
      <c r="E20" s="22" t="s">
        <v>364</v>
      </c>
      <c r="F20" s="23" t="s">
        <v>365</v>
      </c>
      <c r="G20" s="91" t="s">
        <v>32</v>
      </c>
      <c r="H20" s="38" t="s">
        <v>812</v>
      </c>
      <c r="I20" s="39" t="s">
        <v>812</v>
      </c>
      <c r="J20" s="40" t="s">
        <v>812</v>
      </c>
      <c r="K20" s="5">
        <v>16</v>
      </c>
      <c r="L20" s="59" t="s">
        <v>357</v>
      </c>
      <c r="M20" s="120"/>
      <c r="N20" s="41"/>
    </row>
    <row r="21" spans="1:14" ht="39" x14ac:dyDescent="0.35">
      <c r="A21" s="114"/>
      <c r="B21" s="117"/>
      <c r="C21" s="116" t="s">
        <v>366</v>
      </c>
      <c r="D21" s="122" t="s">
        <v>367</v>
      </c>
      <c r="E21" s="22" t="s">
        <v>368</v>
      </c>
      <c r="F21" s="23" t="s">
        <v>369</v>
      </c>
      <c r="G21" s="91" t="s">
        <v>32</v>
      </c>
      <c r="H21" s="57"/>
      <c r="I21" s="39" t="s">
        <v>812</v>
      </c>
      <c r="J21" s="40" t="s">
        <v>812</v>
      </c>
      <c r="K21" s="5">
        <v>290</v>
      </c>
      <c r="L21" s="59" t="s">
        <v>370</v>
      </c>
      <c r="M21" s="120"/>
      <c r="N21" s="41"/>
    </row>
    <row r="22" spans="1:14" ht="26" x14ac:dyDescent="0.35">
      <c r="A22" s="114"/>
      <c r="B22" s="117"/>
      <c r="C22" s="117"/>
      <c r="D22" s="123"/>
      <c r="E22" s="22" t="s">
        <v>371</v>
      </c>
      <c r="F22" s="23" t="s">
        <v>372</v>
      </c>
      <c r="G22" s="91" t="s">
        <v>32</v>
      </c>
      <c r="H22" s="57"/>
      <c r="I22" s="39" t="s">
        <v>812</v>
      </c>
      <c r="J22" s="40" t="s">
        <v>812</v>
      </c>
      <c r="K22" s="5">
        <v>798</v>
      </c>
      <c r="L22" s="59"/>
      <c r="M22" s="120"/>
      <c r="N22" s="41"/>
    </row>
    <row r="23" spans="1:14" ht="39" x14ac:dyDescent="0.35">
      <c r="A23" s="114"/>
      <c r="B23" s="117"/>
      <c r="C23" s="118"/>
      <c r="D23" s="124"/>
      <c r="E23" s="22" t="s">
        <v>373</v>
      </c>
      <c r="F23" s="23" t="s">
        <v>374</v>
      </c>
      <c r="G23" s="91" t="s">
        <v>32</v>
      </c>
      <c r="H23" s="57"/>
      <c r="I23" s="39" t="s">
        <v>812</v>
      </c>
      <c r="J23" s="40" t="s">
        <v>812</v>
      </c>
      <c r="K23" s="5">
        <v>345</v>
      </c>
      <c r="L23" s="59"/>
      <c r="M23" s="120"/>
      <c r="N23" s="41"/>
    </row>
    <row r="24" spans="1:14" ht="39" x14ac:dyDescent="0.35">
      <c r="A24" s="114"/>
      <c r="B24" s="117"/>
      <c r="C24" s="116" t="s">
        <v>375</v>
      </c>
      <c r="D24" s="122" t="s">
        <v>376</v>
      </c>
      <c r="E24" s="22" t="s">
        <v>377</v>
      </c>
      <c r="F24" s="23" t="s">
        <v>378</v>
      </c>
      <c r="G24" s="91" t="s">
        <v>32</v>
      </c>
      <c r="H24" s="57"/>
      <c r="I24" s="57"/>
      <c r="J24" s="40" t="s">
        <v>812</v>
      </c>
      <c r="K24" s="5">
        <v>613</v>
      </c>
      <c r="L24" s="59" t="s">
        <v>379</v>
      </c>
      <c r="M24" s="120"/>
      <c r="N24" s="41"/>
    </row>
    <row r="25" spans="1:14" ht="26" x14ac:dyDescent="0.35">
      <c r="A25" s="114"/>
      <c r="B25" s="117"/>
      <c r="C25" s="118"/>
      <c r="D25" s="124"/>
      <c r="E25" s="22" t="s">
        <v>380</v>
      </c>
      <c r="F25" s="23" t="s">
        <v>381</v>
      </c>
      <c r="G25" s="91" t="s">
        <v>32</v>
      </c>
      <c r="H25" s="57"/>
      <c r="I25" s="57"/>
      <c r="J25" s="40" t="s">
        <v>812</v>
      </c>
      <c r="K25" s="5">
        <v>613</v>
      </c>
      <c r="L25" s="59" t="s">
        <v>379</v>
      </c>
      <c r="M25" s="120"/>
      <c r="N25" s="41"/>
    </row>
    <row r="26" spans="1:14" ht="39" x14ac:dyDescent="0.35">
      <c r="A26" s="115"/>
      <c r="B26" s="118"/>
      <c r="C26" s="58" t="s">
        <v>382</v>
      </c>
      <c r="D26" s="60" t="s">
        <v>383</v>
      </c>
      <c r="E26" s="22" t="s">
        <v>384</v>
      </c>
      <c r="F26" s="23" t="s">
        <v>385</v>
      </c>
      <c r="G26" s="91" t="s">
        <v>32</v>
      </c>
      <c r="H26" s="38" t="s">
        <v>812</v>
      </c>
      <c r="I26" s="39" t="s">
        <v>812</v>
      </c>
      <c r="J26" s="40" t="s">
        <v>812</v>
      </c>
      <c r="K26" s="5">
        <v>778</v>
      </c>
      <c r="L26" s="59"/>
      <c r="M26" s="121"/>
      <c r="N26" s="41"/>
    </row>
    <row r="27" spans="1:14" s="13" customFormat="1" x14ac:dyDescent="0.4">
      <c r="B27" s="25"/>
      <c r="D27" s="42"/>
      <c r="E27" s="26"/>
      <c r="G27" s="54"/>
      <c r="N27" s="42"/>
    </row>
    <row r="28" spans="1:14" s="13" customFormat="1" x14ac:dyDescent="0.4">
      <c r="B28" s="25"/>
      <c r="D28" s="42"/>
      <c r="E28" s="26"/>
      <c r="G28" s="54"/>
      <c r="N28" s="42"/>
    </row>
    <row r="29" spans="1:14" s="13" customFormat="1" x14ac:dyDescent="0.4">
      <c r="B29" s="25"/>
      <c r="D29" s="42"/>
      <c r="E29" s="26"/>
      <c r="G29" s="54"/>
      <c r="N29" s="42"/>
    </row>
    <row r="30" spans="1:14" s="13" customFormat="1" x14ac:dyDescent="0.4">
      <c r="B30" s="25"/>
      <c r="D30" s="42"/>
      <c r="E30" s="26"/>
      <c r="G30" s="54"/>
      <c r="N30" s="42"/>
    </row>
    <row r="31" spans="1:14" s="13" customFormat="1" x14ac:dyDescent="0.4">
      <c r="B31" s="25"/>
      <c r="D31" s="42"/>
      <c r="E31" s="26"/>
      <c r="G31" s="54"/>
      <c r="N31" s="42"/>
    </row>
    <row r="32" spans="1:14" s="13" customFormat="1" x14ac:dyDescent="0.4">
      <c r="B32" s="25"/>
      <c r="D32" s="42"/>
      <c r="E32" s="26"/>
      <c r="G32" s="54"/>
      <c r="N32" s="42"/>
    </row>
    <row r="33" spans="2:14" s="13" customFormat="1" x14ac:dyDescent="0.4">
      <c r="B33" s="25"/>
      <c r="D33" s="42"/>
      <c r="E33" s="26"/>
      <c r="G33" s="54"/>
      <c r="N33" s="42"/>
    </row>
    <row r="34" spans="2:14" s="13" customFormat="1" x14ac:dyDescent="0.4">
      <c r="B34" s="25"/>
      <c r="D34" s="42"/>
      <c r="E34" s="26"/>
      <c r="G34" s="54"/>
      <c r="N34" s="42"/>
    </row>
    <row r="35" spans="2:14" s="13" customFormat="1" x14ac:dyDescent="0.4">
      <c r="B35" s="25"/>
      <c r="D35" s="42"/>
      <c r="E35" s="26"/>
      <c r="G35" s="54"/>
      <c r="N35" s="42"/>
    </row>
    <row r="36" spans="2:14" s="13" customFormat="1" x14ac:dyDescent="0.4">
      <c r="B36" s="25"/>
      <c r="D36" s="42"/>
      <c r="E36" s="26"/>
      <c r="G36" s="54"/>
      <c r="N36" s="42"/>
    </row>
    <row r="37" spans="2:14" s="13" customFormat="1" x14ac:dyDescent="0.4">
      <c r="B37" s="25"/>
      <c r="D37" s="42"/>
      <c r="E37" s="26"/>
      <c r="G37" s="54"/>
      <c r="N37" s="42"/>
    </row>
    <row r="38" spans="2:14" s="13" customFormat="1" x14ac:dyDescent="0.4">
      <c r="B38" s="25"/>
      <c r="D38" s="42"/>
      <c r="E38" s="26"/>
      <c r="G38" s="54"/>
      <c r="N38" s="42"/>
    </row>
    <row r="39" spans="2:14" s="13" customFormat="1" x14ac:dyDescent="0.4">
      <c r="B39" s="25"/>
      <c r="D39" s="42"/>
      <c r="E39" s="26"/>
      <c r="G39" s="54"/>
      <c r="N39" s="42"/>
    </row>
    <row r="40" spans="2:14" s="13" customFormat="1" x14ac:dyDescent="0.4">
      <c r="B40" s="25"/>
      <c r="D40" s="42"/>
      <c r="E40" s="26"/>
      <c r="G40" s="54"/>
      <c r="N40" s="42"/>
    </row>
    <row r="41" spans="2:14" s="13" customFormat="1" x14ac:dyDescent="0.4">
      <c r="B41" s="25"/>
      <c r="D41" s="42"/>
      <c r="E41" s="26"/>
      <c r="G41" s="54"/>
      <c r="N41" s="42"/>
    </row>
    <row r="42" spans="2:14" s="13" customFormat="1" x14ac:dyDescent="0.4">
      <c r="B42" s="25"/>
      <c r="D42" s="42"/>
      <c r="E42" s="26"/>
      <c r="G42" s="54"/>
      <c r="N42" s="42"/>
    </row>
    <row r="43" spans="2:14" s="13" customFormat="1" x14ac:dyDescent="0.4">
      <c r="B43" s="25"/>
      <c r="D43" s="42"/>
      <c r="E43" s="26"/>
      <c r="G43" s="54"/>
      <c r="N43" s="42"/>
    </row>
    <row r="44" spans="2:14" s="13" customFormat="1" x14ac:dyDescent="0.4">
      <c r="B44" s="25"/>
      <c r="D44" s="42"/>
      <c r="E44" s="26"/>
      <c r="G44" s="54"/>
      <c r="N44" s="42"/>
    </row>
    <row r="45" spans="2:14" s="13" customFormat="1" x14ac:dyDescent="0.4">
      <c r="B45" s="25"/>
      <c r="D45" s="42"/>
      <c r="E45" s="26"/>
      <c r="G45" s="54"/>
      <c r="N45" s="42"/>
    </row>
    <row r="46" spans="2:14" s="13" customFormat="1" x14ac:dyDescent="0.4">
      <c r="B46" s="25"/>
      <c r="D46" s="42"/>
      <c r="E46" s="26"/>
      <c r="G46" s="54"/>
      <c r="N46" s="42"/>
    </row>
    <row r="47" spans="2:14" s="13" customFormat="1" x14ac:dyDescent="0.4">
      <c r="B47" s="25"/>
      <c r="D47" s="42"/>
      <c r="E47" s="26"/>
      <c r="G47" s="54"/>
      <c r="N47" s="42"/>
    </row>
    <row r="48" spans="2:14" s="13" customFormat="1" x14ac:dyDescent="0.4">
      <c r="B48" s="25"/>
      <c r="D48" s="42"/>
      <c r="E48" s="26"/>
      <c r="G48" s="54"/>
      <c r="N48" s="42"/>
    </row>
    <row r="49" spans="2:14" s="13" customFormat="1" x14ac:dyDescent="0.4">
      <c r="B49" s="25"/>
      <c r="D49" s="42"/>
      <c r="E49" s="26"/>
      <c r="G49" s="54"/>
      <c r="N49" s="42"/>
    </row>
    <row r="50" spans="2:14" s="13" customFormat="1" x14ac:dyDescent="0.4">
      <c r="B50" s="25"/>
      <c r="D50" s="42"/>
      <c r="E50" s="26"/>
      <c r="G50" s="54"/>
      <c r="N50" s="42"/>
    </row>
    <row r="51" spans="2:14" s="13" customFormat="1" x14ac:dyDescent="0.4">
      <c r="B51" s="25"/>
      <c r="D51" s="42"/>
      <c r="E51" s="26"/>
      <c r="G51" s="54"/>
      <c r="N51" s="42"/>
    </row>
    <row r="52" spans="2:14" s="13" customFormat="1" x14ac:dyDescent="0.4">
      <c r="B52" s="25"/>
      <c r="D52" s="42"/>
      <c r="E52" s="26"/>
      <c r="G52" s="54"/>
      <c r="N52" s="42"/>
    </row>
    <row r="53" spans="2:14" s="13" customFormat="1" x14ac:dyDescent="0.4">
      <c r="B53" s="25"/>
      <c r="D53" s="42"/>
      <c r="E53" s="26"/>
      <c r="G53" s="54"/>
      <c r="N53" s="42"/>
    </row>
    <row r="54" spans="2:14" s="13" customFormat="1" x14ac:dyDescent="0.4">
      <c r="B54" s="25"/>
      <c r="D54" s="42"/>
      <c r="E54" s="26"/>
      <c r="G54" s="54"/>
      <c r="N54" s="42"/>
    </row>
    <row r="55" spans="2:14" s="13" customFormat="1" x14ac:dyDescent="0.4">
      <c r="B55" s="25"/>
      <c r="D55" s="42"/>
      <c r="E55" s="26"/>
      <c r="G55" s="54"/>
      <c r="N55" s="42"/>
    </row>
    <row r="56" spans="2:14" s="13" customFormat="1" x14ac:dyDescent="0.4">
      <c r="B56" s="25"/>
      <c r="D56" s="42"/>
      <c r="E56" s="26"/>
      <c r="G56" s="54"/>
      <c r="N56" s="42"/>
    </row>
    <row r="57" spans="2:14" s="13" customFormat="1" x14ac:dyDescent="0.4">
      <c r="B57" s="25"/>
      <c r="D57" s="42"/>
      <c r="E57" s="26"/>
      <c r="G57" s="54"/>
      <c r="N57" s="42"/>
    </row>
    <row r="58" spans="2:14" s="13" customFormat="1" x14ac:dyDescent="0.4">
      <c r="B58" s="25"/>
      <c r="D58" s="42"/>
      <c r="E58" s="26"/>
      <c r="G58" s="54"/>
      <c r="N58" s="42"/>
    </row>
    <row r="59" spans="2:14" s="13" customFormat="1" x14ac:dyDescent="0.4">
      <c r="B59" s="25"/>
      <c r="D59" s="42"/>
      <c r="E59" s="26"/>
      <c r="G59" s="54"/>
      <c r="N59" s="42"/>
    </row>
    <row r="60" spans="2:14" s="13" customFormat="1" x14ac:dyDescent="0.4">
      <c r="B60" s="25"/>
      <c r="D60" s="42"/>
      <c r="E60" s="26"/>
      <c r="G60" s="54"/>
      <c r="N60" s="42"/>
    </row>
    <row r="61" spans="2:14" s="13" customFormat="1" x14ac:dyDescent="0.4">
      <c r="B61" s="25"/>
      <c r="D61" s="42"/>
      <c r="E61" s="26"/>
      <c r="G61" s="54"/>
      <c r="N61" s="42"/>
    </row>
    <row r="62" spans="2:14" s="13" customFormat="1" x14ac:dyDescent="0.4">
      <c r="B62" s="25"/>
      <c r="D62" s="42"/>
      <c r="E62" s="26"/>
      <c r="G62" s="54"/>
      <c r="N62" s="42"/>
    </row>
    <row r="63" spans="2:14" s="13" customFormat="1" x14ac:dyDescent="0.4">
      <c r="B63" s="25"/>
      <c r="D63" s="42"/>
      <c r="E63" s="26"/>
      <c r="G63" s="54"/>
      <c r="N63" s="42"/>
    </row>
    <row r="64" spans="2:14" s="13" customFormat="1" x14ac:dyDescent="0.4">
      <c r="B64" s="25"/>
      <c r="D64" s="42"/>
      <c r="E64" s="26"/>
      <c r="G64" s="54"/>
      <c r="N64" s="42"/>
    </row>
    <row r="65" spans="2:14" s="13" customFormat="1" x14ac:dyDescent="0.4">
      <c r="B65" s="25"/>
      <c r="D65" s="42"/>
      <c r="E65" s="26"/>
      <c r="G65" s="54"/>
      <c r="N65" s="42"/>
    </row>
    <row r="66" spans="2:14" s="13" customFormat="1" x14ac:dyDescent="0.4">
      <c r="B66" s="25"/>
      <c r="D66" s="42"/>
      <c r="E66" s="26"/>
      <c r="G66" s="54"/>
      <c r="N66" s="42"/>
    </row>
    <row r="67" spans="2:14" s="13" customFormat="1" x14ac:dyDescent="0.4">
      <c r="B67" s="25"/>
      <c r="D67" s="42"/>
      <c r="E67" s="26"/>
      <c r="G67" s="54"/>
      <c r="N67" s="42"/>
    </row>
    <row r="68" spans="2:14" s="13" customFormat="1" x14ac:dyDescent="0.4">
      <c r="B68" s="25"/>
      <c r="D68" s="42"/>
      <c r="E68" s="26"/>
      <c r="G68" s="54"/>
      <c r="N68" s="42"/>
    </row>
    <row r="69" spans="2:14" s="13" customFormat="1" x14ac:dyDescent="0.4">
      <c r="B69" s="25"/>
      <c r="D69" s="42"/>
      <c r="E69" s="26"/>
      <c r="G69" s="54"/>
      <c r="N69" s="42"/>
    </row>
    <row r="70" spans="2:14" s="13" customFormat="1" x14ac:dyDescent="0.4">
      <c r="B70" s="25"/>
      <c r="D70" s="42"/>
      <c r="E70" s="26"/>
      <c r="G70" s="54"/>
      <c r="N70" s="42"/>
    </row>
    <row r="71" spans="2:14" s="13" customFormat="1" x14ac:dyDescent="0.4">
      <c r="B71" s="25"/>
      <c r="D71" s="42"/>
      <c r="E71" s="26"/>
      <c r="G71" s="54"/>
      <c r="N71" s="42"/>
    </row>
    <row r="72" spans="2:14" s="13" customFormat="1" x14ac:dyDescent="0.4">
      <c r="B72" s="25"/>
      <c r="D72" s="42"/>
      <c r="E72" s="26"/>
      <c r="G72" s="54"/>
      <c r="N72" s="42"/>
    </row>
    <row r="73" spans="2:14" s="13" customFormat="1" x14ac:dyDescent="0.4">
      <c r="B73" s="25"/>
      <c r="D73" s="42"/>
      <c r="E73" s="26"/>
      <c r="G73" s="54"/>
      <c r="N73" s="42"/>
    </row>
    <row r="74" spans="2:14" s="13" customFormat="1" x14ac:dyDescent="0.4">
      <c r="B74" s="25"/>
      <c r="D74" s="42"/>
      <c r="E74" s="26"/>
      <c r="G74" s="54"/>
      <c r="N74" s="42"/>
    </row>
    <row r="75" spans="2:14" s="13" customFormat="1" x14ac:dyDescent="0.4">
      <c r="B75" s="25"/>
      <c r="D75" s="42"/>
      <c r="E75" s="26"/>
      <c r="G75" s="54"/>
      <c r="N75" s="42"/>
    </row>
    <row r="76" spans="2:14" s="13" customFormat="1" x14ac:dyDescent="0.4">
      <c r="B76" s="25"/>
      <c r="D76" s="42"/>
      <c r="E76" s="26"/>
      <c r="G76" s="54"/>
      <c r="N76" s="42"/>
    </row>
    <row r="77" spans="2:14" s="13" customFormat="1" x14ac:dyDescent="0.4">
      <c r="B77" s="25"/>
      <c r="D77" s="42"/>
      <c r="E77" s="26"/>
      <c r="G77" s="54"/>
      <c r="N77" s="42"/>
    </row>
    <row r="78" spans="2:14" s="13" customFormat="1" x14ac:dyDescent="0.4">
      <c r="B78" s="25"/>
      <c r="D78" s="42"/>
      <c r="E78" s="26"/>
      <c r="G78" s="54"/>
      <c r="N78" s="42"/>
    </row>
    <row r="79" spans="2:14" s="13" customFormat="1" x14ac:dyDescent="0.4">
      <c r="B79" s="25"/>
      <c r="D79" s="42"/>
      <c r="E79" s="26"/>
      <c r="G79" s="54"/>
      <c r="N79" s="42"/>
    </row>
    <row r="80" spans="2:14" s="13" customFormat="1" x14ac:dyDescent="0.4">
      <c r="B80" s="25"/>
      <c r="D80" s="42"/>
      <c r="E80" s="26"/>
      <c r="G80" s="54"/>
      <c r="N80" s="42"/>
    </row>
    <row r="81" spans="2:14" s="13" customFormat="1" x14ac:dyDescent="0.4">
      <c r="B81" s="25"/>
      <c r="D81" s="42"/>
      <c r="E81" s="26"/>
      <c r="G81" s="54"/>
      <c r="N81" s="42"/>
    </row>
    <row r="82" spans="2:14" s="13" customFormat="1" x14ac:dyDescent="0.4">
      <c r="B82" s="25"/>
      <c r="D82" s="42"/>
      <c r="E82" s="26"/>
      <c r="G82" s="54"/>
      <c r="N82" s="42"/>
    </row>
    <row r="83" spans="2:14" s="13" customFormat="1" x14ac:dyDescent="0.4">
      <c r="B83" s="25"/>
      <c r="D83" s="42"/>
      <c r="E83" s="26"/>
      <c r="G83" s="54"/>
      <c r="N83" s="42"/>
    </row>
    <row r="84" spans="2:14" s="13" customFormat="1" x14ac:dyDescent="0.4">
      <c r="B84" s="25"/>
      <c r="D84" s="42"/>
      <c r="E84" s="26"/>
      <c r="G84" s="54"/>
      <c r="N84" s="42"/>
    </row>
    <row r="85" spans="2:14" s="13" customFormat="1" x14ac:dyDescent="0.4">
      <c r="B85" s="25"/>
      <c r="D85" s="42"/>
      <c r="E85" s="26"/>
      <c r="G85" s="54"/>
      <c r="N85" s="42"/>
    </row>
    <row r="86" spans="2:14" s="13" customFormat="1" x14ac:dyDescent="0.4">
      <c r="B86" s="25"/>
      <c r="D86" s="42"/>
      <c r="E86" s="26"/>
      <c r="G86" s="54"/>
      <c r="N86" s="42"/>
    </row>
    <row r="87" spans="2:14" s="13" customFormat="1" x14ac:dyDescent="0.4">
      <c r="B87" s="25"/>
      <c r="D87" s="42"/>
      <c r="E87" s="26"/>
      <c r="G87" s="54"/>
      <c r="N87" s="42"/>
    </row>
    <row r="88" spans="2:14" s="13" customFormat="1" x14ac:dyDescent="0.4">
      <c r="B88" s="25"/>
      <c r="D88" s="42"/>
      <c r="E88" s="26"/>
      <c r="G88" s="54"/>
      <c r="N88" s="42"/>
    </row>
    <row r="89" spans="2:14" s="13" customFormat="1" x14ac:dyDescent="0.4">
      <c r="B89" s="25"/>
      <c r="D89" s="42"/>
      <c r="E89" s="26"/>
      <c r="G89" s="54"/>
      <c r="N89" s="42"/>
    </row>
    <row r="90" spans="2:14" s="13" customFormat="1" x14ac:dyDescent="0.4">
      <c r="B90" s="25"/>
      <c r="D90" s="42"/>
      <c r="E90" s="26"/>
      <c r="G90" s="54"/>
      <c r="N90" s="42"/>
    </row>
    <row r="91" spans="2:14" s="13" customFormat="1" x14ac:dyDescent="0.4">
      <c r="B91" s="25"/>
      <c r="D91" s="42"/>
      <c r="E91" s="26"/>
      <c r="G91" s="54"/>
      <c r="N91" s="42"/>
    </row>
    <row r="92" spans="2:14" s="13" customFormat="1" x14ac:dyDescent="0.4">
      <c r="B92" s="25"/>
      <c r="D92" s="42"/>
      <c r="E92" s="26"/>
      <c r="G92" s="54"/>
      <c r="N92" s="42"/>
    </row>
    <row r="93" spans="2:14" s="13" customFormat="1" x14ac:dyDescent="0.4">
      <c r="B93" s="25"/>
      <c r="D93" s="42"/>
      <c r="E93" s="26"/>
      <c r="G93" s="54"/>
      <c r="N93" s="42"/>
    </row>
    <row r="94" spans="2:14" s="13" customFormat="1" x14ac:dyDescent="0.4">
      <c r="B94" s="25"/>
      <c r="D94" s="42"/>
      <c r="E94" s="26"/>
      <c r="G94" s="54"/>
      <c r="N94" s="42"/>
    </row>
    <row r="95" spans="2:14" s="13" customFormat="1" x14ac:dyDescent="0.4">
      <c r="B95" s="25"/>
      <c r="D95" s="42"/>
      <c r="E95" s="26"/>
      <c r="G95" s="54"/>
      <c r="N95" s="42"/>
    </row>
    <row r="96" spans="2:14" s="13" customFormat="1" x14ac:dyDescent="0.4">
      <c r="B96" s="25"/>
      <c r="D96" s="42"/>
      <c r="E96" s="26"/>
      <c r="G96" s="54"/>
      <c r="N96" s="42"/>
    </row>
    <row r="97" spans="2:14" s="13" customFormat="1" x14ac:dyDescent="0.4">
      <c r="B97" s="25"/>
      <c r="D97" s="42"/>
      <c r="E97" s="26"/>
      <c r="G97" s="54"/>
      <c r="N97" s="42"/>
    </row>
    <row r="98" spans="2:14" s="13" customFormat="1" x14ac:dyDescent="0.4">
      <c r="B98" s="25"/>
      <c r="D98" s="42"/>
      <c r="E98" s="26"/>
      <c r="G98" s="54"/>
      <c r="N98" s="42"/>
    </row>
    <row r="99" spans="2:14" s="13" customFormat="1" x14ac:dyDescent="0.4">
      <c r="B99" s="25"/>
      <c r="D99" s="42"/>
      <c r="E99" s="26"/>
      <c r="G99" s="54"/>
      <c r="N99" s="42"/>
    </row>
    <row r="100" spans="2:14" s="13" customFormat="1" x14ac:dyDescent="0.4">
      <c r="B100" s="25"/>
      <c r="D100" s="42"/>
      <c r="E100" s="26"/>
      <c r="G100" s="54"/>
      <c r="N100" s="42"/>
    </row>
    <row r="101" spans="2:14" s="13" customFormat="1" x14ac:dyDescent="0.4">
      <c r="B101" s="25"/>
      <c r="D101" s="42"/>
      <c r="E101" s="26"/>
      <c r="G101" s="54"/>
      <c r="N101" s="42"/>
    </row>
    <row r="102" spans="2:14" s="13" customFormat="1" x14ac:dyDescent="0.4">
      <c r="B102" s="25"/>
      <c r="D102" s="42"/>
      <c r="E102" s="26"/>
      <c r="G102" s="54"/>
      <c r="N102" s="42"/>
    </row>
    <row r="103" spans="2:14" s="13" customFormat="1" x14ac:dyDescent="0.4">
      <c r="B103" s="25"/>
      <c r="D103" s="42"/>
      <c r="E103" s="26"/>
      <c r="G103" s="54"/>
      <c r="N103" s="42"/>
    </row>
    <row r="104" spans="2:14" s="13" customFormat="1" x14ac:dyDescent="0.4">
      <c r="B104" s="25"/>
      <c r="D104" s="42"/>
      <c r="E104" s="26"/>
      <c r="G104" s="54"/>
      <c r="N104" s="42"/>
    </row>
    <row r="105" spans="2:14" s="13" customFormat="1" x14ac:dyDescent="0.4">
      <c r="B105" s="25"/>
      <c r="D105" s="42"/>
      <c r="E105" s="26"/>
      <c r="G105" s="54"/>
      <c r="N105" s="42"/>
    </row>
    <row r="106" spans="2:14" s="13" customFormat="1" x14ac:dyDescent="0.4">
      <c r="B106" s="25"/>
      <c r="D106" s="42"/>
      <c r="E106" s="26"/>
      <c r="G106" s="54"/>
      <c r="N106" s="42"/>
    </row>
    <row r="107" spans="2:14" s="13" customFormat="1" x14ac:dyDescent="0.4">
      <c r="B107" s="25"/>
      <c r="D107" s="42"/>
      <c r="E107" s="26"/>
      <c r="G107" s="54"/>
      <c r="N107" s="42"/>
    </row>
    <row r="108" spans="2:14" s="13" customFormat="1" x14ac:dyDescent="0.4">
      <c r="B108" s="25"/>
      <c r="D108" s="42"/>
      <c r="E108" s="26"/>
      <c r="G108" s="54"/>
      <c r="N108" s="42"/>
    </row>
    <row r="109" spans="2:14" s="13" customFormat="1" x14ac:dyDescent="0.4">
      <c r="B109" s="25"/>
      <c r="D109" s="42"/>
      <c r="E109" s="26"/>
      <c r="G109" s="54"/>
      <c r="N109" s="42"/>
    </row>
    <row r="110" spans="2:14" s="13" customFormat="1" x14ac:dyDescent="0.4">
      <c r="B110" s="25"/>
      <c r="D110" s="42"/>
      <c r="E110" s="26"/>
      <c r="G110" s="54"/>
      <c r="N110" s="42"/>
    </row>
    <row r="111" spans="2:14" s="13" customFormat="1" x14ac:dyDescent="0.4">
      <c r="B111" s="25"/>
      <c r="D111" s="42"/>
      <c r="E111" s="26"/>
      <c r="G111" s="54"/>
      <c r="N111" s="42"/>
    </row>
    <row r="112" spans="2:14" s="13" customFormat="1" x14ac:dyDescent="0.4">
      <c r="B112" s="25"/>
      <c r="D112" s="42"/>
      <c r="E112" s="26"/>
      <c r="G112" s="54"/>
      <c r="N112" s="42"/>
    </row>
    <row r="113" spans="2:14" s="13" customFormat="1" x14ac:dyDescent="0.4">
      <c r="B113" s="25"/>
      <c r="D113" s="42"/>
      <c r="E113" s="26"/>
      <c r="G113" s="54"/>
      <c r="N113" s="42"/>
    </row>
    <row r="114" spans="2:14" s="13" customFormat="1" x14ac:dyDescent="0.4">
      <c r="B114" s="25"/>
      <c r="D114" s="42"/>
      <c r="E114" s="26"/>
      <c r="G114" s="54"/>
      <c r="N114" s="42"/>
    </row>
    <row r="115" spans="2:14" s="13" customFormat="1" x14ac:dyDescent="0.4">
      <c r="B115" s="25"/>
      <c r="D115" s="42"/>
      <c r="E115" s="26"/>
      <c r="G115" s="54"/>
      <c r="N115" s="42"/>
    </row>
    <row r="116" spans="2:14" s="13" customFormat="1" x14ac:dyDescent="0.4">
      <c r="B116" s="25"/>
      <c r="D116" s="42"/>
      <c r="E116" s="26"/>
      <c r="G116" s="54"/>
      <c r="N116" s="42"/>
    </row>
    <row r="117" spans="2:14" s="13" customFormat="1" x14ac:dyDescent="0.4">
      <c r="B117" s="25"/>
      <c r="D117" s="42"/>
      <c r="E117" s="26"/>
      <c r="G117" s="54"/>
      <c r="N117" s="42"/>
    </row>
    <row r="118" spans="2:14" s="13" customFormat="1" x14ac:dyDescent="0.4">
      <c r="B118" s="25"/>
      <c r="D118" s="42"/>
      <c r="E118" s="26"/>
      <c r="G118" s="54"/>
      <c r="N118" s="42"/>
    </row>
    <row r="119" spans="2:14" s="13" customFormat="1" x14ac:dyDescent="0.4">
      <c r="B119" s="25"/>
      <c r="D119" s="42"/>
      <c r="E119" s="26"/>
      <c r="G119" s="54"/>
      <c r="N119" s="42"/>
    </row>
    <row r="120" spans="2:14" s="13" customFormat="1" x14ac:dyDescent="0.4">
      <c r="B120" s="25"/>
      <c r="D120" s="42"/>
      <c r="E120" s="26"/>
      <c r="G120" s="54"/>
      <c r="N120" s="42"/>
    </row>
    <row r="121" spans="2:14" s="13" customFormat="1" x14ac:dyDescent="0.4">
      <c r="B121" s="25"/>
      <c r="D121" s="42"/>
      <c r="E121" s="26"/>
      <c r="G121" s="54"/>
      <c r="N121" s="42"/>
    </row>
    <row r="122" spans="2:14" s="13" customFormat="1" x14ac:dyDescent="0.4">
      <c r="B122" s="25"/>
      <c r="D122" s="42"/>
      <c r="E122" s="26"/>
      <c r="G122" s="54"/>
      <c r="N122" s="42"/>
    </row>
    <row r="123" spans="2:14" s="13" customFormat="1" x14ac:dyDescent="0.4">
      <c r="B123" s="25"/>
      <c r="D123" s="42"/>
      <c r="E123" s="26"/>
      <c r="G123" s="54"/>
      <c r="N123" s="42"/>
    </row>
    <row r="124" spans="2:14" s="13" customFormat="1" x14ac:dyDescent="0.4">
      <c r="B124" s="25"/>
      <c r="D124" s="42"/>
      <c r="E124" s="26"/>
      <c r="G124" s="54"/>
      <c r="N124" s="42"/>
    </row>
    <row r="125" spans="2:14" s="13" customFormat="1" x14ac:dyDescent="0.4">
      <c r="B125" s="25"/>
      <c r="D125" s="42"/>
      <c r="E125" s="26"/>
      <c r="G125" s="54"/>
      <c r="N125" s="42"/>
    </row>
    <row r="126" spans="2:14" s="13" customFormat="1" x14ac:dyDescent="0.4">
      <c r="B126" s="25"/>
      <c r="D126" s="42"/>
      <c r="E126" s="26"/>
      <c r="G126" s="54"/>
      <c r="N126" s="42"/>
    </row>
    <row r="127" spans="2:14" s="13" customFormat="1" x14ac:dyDescent="0.4">
      <c r="B127" s="25"/>
      <c r="D127" s="42"/>
      <c r="E127" s="26"/>
      <c r="G127" s="54"/>
      <c r="N127" s="42"/>
    </row>
    <row r="128" spans="2:14" s="13" customFormat="1" x14ac:dyDescent="0.4">
      <c r="B128" s="25"/>
      <c r="D128" s="42"/>
      <c r="E128" s="26"/>
      <c r="G128" s="54"/>
      <c r="N128" s="42"/>
    </row>
    <row r="129" spans="2:14" s="13" customFormat="1" x14ac:dyDescent="0.4">
      <c r="B129" s="25"/>
      <c r="D129" s="42"/>
      <c r="E129" s="26"/>
      <c r="G129" s="54"/>
      <c r="N129" s="42"/>
    </row>
    <row r="130" spans="2:14" s="13" customFormat="1" x14ac:dyDescent="0.4">
      <c r="B130" s="25"/>
      <c r="D130" s="42"/>
      <c r="E130" s="26"/>
      <c r="G130" s="54"/>
      <c r="N130" s="42"/>
    </row>
    <row r="131" spans="2:14" s="13" customFormat="1" x14ac:dyDescent="0.4">
      <c r="B131" s="25"/>
      <c r="D131" s="42"/>
      <c r="E131" s="26"/>
      <c r="G131" s="54"/>
      <c r="N131" s="42"/>
    </row>
    <row r="132" spans="2:14" s="13" customFormat="1" x14ac:dyDescent="0.4">
      <c r="B132" s="25"/>
      <c r="D132" s="42"/>
      <c r="E132" s="26"/>
      <c r="G132" s="54"/>
      <c r="N132" s="42"/>
    </row>
    <row r="133" spans="2:14" s="13" customFormat="1" x14ac:dyDescent="0.4">
      <c r="B133" s="25"/>
      <c r="D133" s="42"/>
      <c r="E133" s="26"/>
      <c r="G133" s="54"/>
      <c r="N133" s="42"/>
    </row>
    <row r="134" spans="2:14" s="13" customFormat="1" x14ac:dyDescent="0.4">
      <c r="B134" s="25"/>
      <c r="D134" s="42"/>
      <c r="E134" s="26"/>
      <c r="G134" s="54"/>
      <c r="N134" s="42"/>
    </row>
    <row r="135" spans="2:14" s="13" customFormat="1" x14ac:dyDescent="0.4">
      <c r="B135" s="25"/>
      <c r="D135" s="42"/>
      <c r="E135" s="26"/>
      <c r="G135" s="54"/>
      <c r="N135" s="42"/>
    </row>
    <row r="136" spans="2:14" s="13" customFormat="1" x14ac:dyDescent="0.4">
      <c r="B136" s="25"/>
      <c r="D136" s="42"/>
      <c r="E136" s="26"/>
      <c r="G136" s="54"/>
      <c r="N136" s="42"/>
    </row>
    <row r="137" spans="2:14" s="13" customFormat="1" x14ac:dyDescent="0.4">
      <c r="B137" s="25"/>
      <c r="D137" s="42"/>
      <c r="E137" s="26"/>
      <c r="G137" s="54"/>
      <c r="N137" s="42"/>
    </row>
    <row r="138" spans="2:14" s="13" customFormat="1" x14ac:dyDescent="0.4">
      <c r="B138" s="25"/>
      <c r="D138" s="42"/>
      <c r="E138" s="26"/>
      <c r="G138" s="54"/>
      <c r="N138" s="42"/>
    </row>
    <row r="139" spans="2:14" s="13" customFormat="1" x14ac:dyDescent="0.4">
      <c r="B139" s="25"/>
      <c r="D139" s="42"/>
      <c r="E139" s="26"/>
      <c r="G139" s="54"/>
      <c r="N139" s="42"/>
    </row>
    <row r="140" spans="2:14" s="13" customFormat="1" x14ac:dyDescent="0.4">
      <c r="B140" s="25"/>
      <c r="D140" s="42"/>
      <c r="E140" s="26"/>
      <c r="G140" s="54"/>
      <c r="N140" s="42"/>
    </row>
    <row r="141" spans="2:14" s="13" customFormat="1" x14ac:dyDescent="0.4">
      <c r="B141" s="25"/>
      <c r="D141" s="42"/>
      <c r="E141" s="26"/>
      <c r="G141" s="54"/>
      <c r="N141" s="42"/>
    </row>
    <row r="142" spans="2:14" s="13" customFormat="1" x14ac:dyDescent="0.4">
      <c r="B142" s="25"/>
      <c r="D142" s="42"/>
      <c r="E142" s="26"/>
      <c r="G142" s="54"/>
      <c r="N142" s="42"/>
    </row>
    <row r="143" spans="2:14" s="13" customFormat="1" x14ac:dyDescent="0.4">
      <c r="B143" s="25"/>
      <c r="D143" s="42"/>
      <c r="E143" s="26"/>
      <c r="G143" s="54"/>
      <c r="N143" s="42"/>
    </row>
    <row r="144" spans="2:14" s="13" customFormat="1" x14ac:dyDescent="0.4">
      <c r="B144" s="25"/>
      <c r="D144" s="42"/>
      <c r="E144" s="26"/>
      <c r="G144" s="54"/>
      <c r="N144" s="42"/>
    </row>
    <row r="145" spans="2:14" s="13" customFormat="1" x14ac:dyDescent="0.4">
      <c r="B145" s="25"/>
      <c r="D145" s="42"/>
      <c r="E145" s="26"/>
      <c r="G145" s="54"/>
      <c r="N145" s="42"/>
    </row>
    <row r="146" spans="2:14" s="13" customFormat="1" x14ac:dyDescent="0.4">
      <c r="B146" s="25"/>
      <c r="D146" s="42"/>
      <c r="E146" s="26"/>
      <c r="G146" s="54"/>
      <c r="N146" s="42"/>
    </row>
    <row r="147" spans="2:14" s="13" customFormat="1" x14ac:dyDescent="0.4">
      <c r="B147" s="25"/>
      <c r="D147" s="42"/>
      <c r="E147" s="26"/>
      <c r="G147" s="54"/>
      <c r="N147" s="42"/>
    </row>
    <row r="148" spans="2:14" s="13" customFormat="1" x14ac:dyDescent="0.4">
      <c r="B148" s="25"/>
      <c r="D148" s="42"/>
      <c r="E148" s="26"/>
      <c r="G148" s="54"/>
      <c r="N148" s="42"/>
    </row>
    <row r="149" spans="2:14" s="13" customFormat="1" x14ac:dyDescent="0.4">
      <c r="B149" s="25"/>
      <c r="D149" s="42"/>
      <c r="E149" s="26"/>
      <c r="G149" s="54"/>
      <c r="N149" s="42"/>
    </row>
    <row r="150" spans="2:14" s="13" customFormat="1" x14ac:dyDescent="0.4">
      <c r="B150" s="25"/>
      <c r="D150" s="42"/>
      <c r="E150" s="26"/>
      <c r="G150" s="54"/>
      <c r="N150" s="42"/>
    </row>
    <row r="151" spans="2:14" s="13" customFormat="1" x14ac:dyDescent="0.4">
      <c r="B151" s="25"/>
      <c r="D151" s="42"/>
      <c r="E151" s="26"/>
      <c r="G151" s="54"/>
      <c r="N151" s="42"/>
    </row>
    <row r="152" spans="2:14" s="13" customFormat="1" x14ac:dyDescent="0.4">
      <c r="B152" s="25"/>
      <c r="D152" s="42"/>
      <c r="E152" s="26"/>
      <c r="G152" s="54"/>
      <c r="N152" s="42"/>
    </row>
    <row r="153" spans="2:14" s="13" customFormat="1" x14ac:dyDescent="0.4">
      <c r="B153" s="25"/>
      <c r="D153" s="42"/>
      <c r="E153" s="26"/>
      <c r="G153" s="54"/>
      <c r="N153" s="42"/>
    </row>
    <row r="154" spans="2:14" s="13" customFormat="1" x14ac:dyDescent="0.4">
      <c r="B154" s="25"/>
      <c r="D154" s="42"/>
      <c r="E154" s="26"/>
      <c r="G154" s="54"/>
      <c r="N154" s="42"/>
    </row>
    <row r="155" spans="2:14" s="13" customFormat="1" x14ac:dyDescent="0.4">
      <c r="B155" s="25"/>
      <c r="D155" s="42"/>
      <c r="E155" s="26"/>
      <c r="G155" s="54"/>
      <c r="N155" s="42"/>
    </row>
    <row r="156" spans="2:14" s="13" customFormat="1" x14ac:dyDescent="0.4">
      <c r="B156" s="25"/>
      <c r="D156" s="42"/>
      <c r="E156" s="26"/>
      <c r="G156" s="54"/>
      <c r="N156" s="42"/>
    </row>
    <row r="157" spans="2:14" s="13" customFormat="1" x14ac:dyDescent="0.4">
      <c r="B157" s="25"/>
      <c r="D157" s="42"/>
      <c r="E157" s="26"/>
      <c r="G157" s="54"/>
      <c r="N157" s="42"/>
    </row>
    <row r="158" spans="2:14" s="13" customFormat="1" x14ac:dyDescent="0.4">
      <c r="B158" s="25"/>
      <c r="D158" s="42"/>
      <c r="E158" s="26"/>
      <c r="G158" s="54"/>
      <c r="N158" s="42"/>
    </row>
    <row r="159" spans="2:14" s="13" customFormat="1" x14ac:dyDescent="0.4">
      <c r="B159" s="25"/>
      <c r="D159" s="42"/>
      <c r="E159" s="26"/>
      <c r="G159" s="54"/>
      <c r="N159" s="42"/>
    </row>
    <row r="160" spans="2:14" s="13" customFormat="1" x14ac:dyDescent="0.4">
      <c r="B160" s="25"/>
      <c r="D160" s="42"/>
      <c r="E160" s="26"/>
      <c r="G160" s="54"/>
      <c r="N160" s="42"/>
    </row>
    <row r="161" spans="2:14" s="13" customFormat="1" x14ac:dyDescent="0.4">
      <c r="B161" s="25"/>
      <c r="D161" s="42"/>
      <c r="E161" s="26"/>
      <c r="G161" s="54"/>
      <c r="N161" s="42"/>
    </row>
    <row r="162" spans="2:14" s="13" customFormat="1" x14ac:dyDescent="0.4">
      <c r="B162" s="25"/>
      <c r="D162" s="42"/>
      <c r="E162" s="26"/>
      <c r="G162" s="54"/>
      <c r="N162" s="42"/>
    </row>
    <row r="163" spans="2:14" s="13" customFormat="1" x14ac:dyDescent="0.4">
      <c r="B163" s="25"/>
      <c r="D163" s="42"/>
      <c r="E163" s="26"/>
      <c r="G163" s="54"/>
      <c r="N163" s="42"/>
    </row>
    <row r="164" spans="2:14" s="13" customFormat="1" x14ac:dyDescent="0.4">
      <c r="B164" s="25"/>
      <c r="D164" s="42"/>
      <c r="E164" s="26"/>
      <c r="G164" s="54"/>
      <c r="N164" s="42"/>
    </row>
    <row r="165" spans="2:14" s="13" customFormat="1" x14ac:dyDescent="0.4">
      <c r="B165" s="25"/>
      <c r="D165" s="42"/>
      <c r="E165" s="26"/>
      <c r="G165" s="54"/>
      <c r="N165" s="42"/>
    </row>
    <row r="166" spans="2:14" s="13" customFormat="1" x14ac:dyDescent="0.4">
      <c r="B166" s="25"/>
      <c r="D166" s="42"/>
      <c r="E166" s="26"/>
      <c r="G166" s="54"/>
      <c r="N166" s="42"/>
    </row>
    <row r="167" spans="2:14" s="13" customFormat="1" x14ac:dyDescent="0.4">
      <c r="B167" s="25"/>
      <c r="D167" s="42"/>
      <c r="E167" s="26"/>
      <c r="G167" s="54"/>
      <c r="N167" s="42"/>
    </row>
    <row r="168" spans="2:14" s="13" customFormat="1" x14ac:dyDescent="0.4">
      <c r="B168" s="25"/>
      <c r="D168" s="42"/>
      <c r="E168" s="26"/>
      <c r="G168" s="54"/>
      <c r="N168" s="42"/>
    </row>
    <row r="169" spans="2:14" s="13" customFormat="1" x14ac:dyDescent="0.4">
      <c r="B169" s="25"/>
      <c r="D169" s="42"/>
      <c r="E169" s="26"/>
      <c r="G169" s="54"/>
      <c r="N169" s="42"/>
    </row>
    <row r="170" spans="2:14" s="13" customFormat="1" x14ac:dyDescent="0.4">
      <c r="B170" s="25"/>
      <c r="D170" s="42"/>
      <c r="E170" s="26"/>
      <c r="G170" s="54"/>
      <c r="N170" s="42"/>
    </row>
    <row r="171" spans="2:14" s="13" customFormat="1" x14ac:dyDescent="0.4">
      <c r="B171" s="25"/>
      <c r="D171" s="42"/>
      <c r="E171" s="26"/>
      <c r="G171" s="54"/>
      <c r="N171" s="42"/>
    </row>
    <row r="172" spans="2:14" s="13" customFormat="1" x14ac:dyDescent="0.4">
      <c r="B172" s="25"/>
      <c r="D172" s="42"/>
      <c r="E172" s="26"/>
      <c r="G172" s="54"/>
      <c r="N172" s="42"/>
    </row>
    <row r="173" spans="2:14" s="13" customFormat="1" x14ac:dyDescent="0.4">
      <c r="B173" s="25"/>
      <c r="D173" s="42"/>
      <c r="E173" s="26"/>
      <c r="G173" s="54"/>
      <c r="N173" s="42"/>
    </row>
    <row r="174" spans="2:14" s="13" customFormat="1" x14ac:dyDescent="0.4">
      <c r="B174" s="25"/>
      <c r="D174" s="42"/>
      <c r="E174" s="26"/>
      <c r="G174" s="54"/>
      <c r="N174" s="42"/>
    </row>
    <row r="175" spans="2:14" s="13" customFormat="1" x14ac:dyDescent="0.4">
      <c r="B175" s="25"/>
      <c r="D175" s="42"/>
      <c r="E175" s="26"/>
      <c r="G175" s="54"/>
      <c r="N175" s="42"/>
    </row>
    <row r="176" spans="2:14" s="13" customFormat="1" x14ac:dyDescent="0.4">
      <c r="B176" s="25"/>
      <c r="D176" s="42"/>
      <c r="E176" s="26"/>
      <c r="G176" s="54"/>
      <c r="N176" s="42"/>
    </row>
    <row r="177" spans="2:14" s="13" customFormat="1" x14ac:dyDescent="0.4">
      <c r="B177" s="25"/>
      <c r="D177" s="42"/>
      <c r="E177" s="26"/>
      <c r="G177" s="54"/>
      <c r="N177" s="42"/>
    </row>
    <row r="178" spans="2:14" s="13" customFormat="1" x14ac:dyDescent="0.4">
      <c r="B178" s="25"/>
      <c r="D178" s="42"/>
      <c r="E178" s="26"/>
      <c r="G178" s="54"/>
      <c r="N178" s="42"/>
    </row>
    <row r="179" spans="2:14" s="13" customFormat="1" x14ac:dyDescent="0.4">
      <c r="B179" s="25"/>
      <c r="D179" s="42"/>
      <c r="E179" s="26"/>
      <c r="G179" s="54"/>
      <c r="N179" s="42"/>
    </row>
    <row r="180" spans="2:14" s="13" customFormat="1" x14ac:dyDescent="0.4">
      <c r="B180" s="25"/>
      <c r="D180" s="42"/>
      <c r="E180" s="26"/>
      <c r="G180" s="54"/>
      <c r="N180" s="42"/>
    </row>
    <row r="181" spans="2:14" s="13" customFormat="1" x14ac:dyDescent="0.4">
      <c r="B181" s="25"/>
      <c r="D181" s="42"/>
      <c r="E181" s="26"/>
      <c r="G181" s="54"/>
      <c r="N181" s="42"/>
    </row>
    <row r="182" spans="2:14" s="13" customFormat="1" x14ac:dyDescent="0.4">
      <c r="B182" s="25"/>
      <c r="D182" s="42"/>
      <c r="E182" s="26"/>
      <c r="G182" s="54"/>
      <c r="N182" s="42"/>
    </row>
    <row r="183" spans="2:14" s="13" customFormat="1" x14ac:dyDescent="0.4">
      <c r="B183" s="25"/>
      <c r="D183" s="42"/>
      <c r="E183" s="26"/>
      <c r="G183" s="54"/>
      <c r="N183" s="42"/>
    </row>
    <row r="184" spans="2:14" s="13" customFormat="1" x14ac:dyDescent="0.4">
      <c r="B184" s="25"/>
      <c r="D184" s="42"/>
      <c r="E184" s="26"/>
      <c r="G184" s="54"/>
      <c r="N184" s="42"/>
    </row>
    <row r="185" spans="2:14" s="13" customFormat="1" x14ac:dyDescent="0.4">
      <c r="B185" s="25"/>
      <c r="D185" s="42"/>
      <c r="E185" s="26"/>
      <c r="G185" s="54"/>
      <c r="N185" s="42"/>
    </row>
    <row r="186" spans="2:14" s="13" customFormat="1" x14ac:dyDescent="0.4">
      <c r="B186" s="25"/>
      <c r="D186" s="42"/>
      <c r="E186" s="26"/>
      <c r="G186" s="54"/>
      <c r="N186" s="42"/>
    </row>
    <row r="187" spans="2:14" s="13" customFormat="1" x14ac:dyDescent="0.4">
      <c r="B187" s="25"/>
      <c r="D187" s="42"/>
      <c r="E187" s="26"/>
      <c r="G187" s="54"/>
      <c r="N187" s="42"/>
    </row>
    <row r="188" spans="2:14" s="13" customFormat="1" x14ac:dyDescent="0.4">
      <c r="B188" s="25"/>
      <c r="D188" s="42"/>
      <c r="E188" s="26"/>
      <c r="G188" s="54"/>
      <c r="N188" s="42"/>
    </row>
    <row r="189" spans="2:14" s="13" customFormat="1" x14ac:dyDescent="0.4">
      <c r="B189" s="25"/>
      <c r="D189" s="42"/>
      <c r="E189" s="26"/>
      <c r="G189" s="54"/>
      <c r="N189" s="42"/>
    </row>
    <row r="190" spans="2:14" s="13" customFormat="1" x14ac:dyDescent="0.4">
      <c r="B190" s="25"/>
      <c r="D190" s="42"/>
      <c r="E190" s="26"/>
      <c r="G190" s="54"/>
      <c r="N190" s="42"/>
    </row>
    <row r="191" spans="2:14" s="13" customFormat="1" x14ac:dyDescent="0.4">
      <c r="B191" s="25"/>
      <c r="D191" s="42"/>
      <c r="E191" s="26"/>
      <c r="G191" s="54"/>
      <c r="N191" s="42"/>
    </row>
    <row r="192" spans="2:14" s="13" customFormat="1" x14ac:dyDescent="0.4">
      <c r="B192" s="25"/>
      <c r="D192" s="42"/>
      <c r="E192" s="26"/>
      <c r="G192" s="54"/>
      <c r="N192" s="42"/>
    </row>
    <row r="193" spans="2:14" s="13" customFormat="1" x14ac:dyDescent="0.4">
      <c r="B193" s="25"/>
      <c r="D193" s="42"/>
      <c r="E193" s="26"/>
      <c r="G193" s="54"/>
      <c r="N193" s="42"/>
    </row>
    <row r="194" spans="2:14" s="13" customFormat="1" x14ac:dyDescent="0.4">
      <c r="B194" s="25"/>
      <c r="D194" s="42"/>
      <c r="E194" s="26"/>
      <c r="G194" s="54"/>
      <c r="N194" s="42"/>
    </row>
    <row r="195" spans="2:14" s="13" customFormat="1" x14ac:dyDescent="0.4">
      <c r="B195" s="25"/>
      <c r="D195" s="42"/>
      <c r="E195" s="26"/>
      <c r="G195" s="54"/>
      <c r="N195" s="42"/>
    </row>
    <row r="196" spans="2:14" s="13" customFormat="1" x14ac:dyDescent="0.4">
      <c r="B196" s="25"/>
      <c r="D196" s="42"/>
      <c r="E196" s="26"/>
      <c r="G196" s="54"/>
      <c r="N196" s="42"/>
    </row>
    <row r="197" spans="2:14" s="13" customFormat="1" x14ac:dyDescent="0.4">
      <c r="B197" s="25"/>
      <c r="D197" s="42"/>
      <c r="E197" s="26"/>
      <c r="G197" s="54"/>
      <c r="N197" s="42"/>
    </row>
    <row r="198" spans="2:14" s="13" customFormat="1" x14ac:dyDescent="0.4">
      <c r="B198" s="25"/>
      <c r="D198" s="42"/>
      <c r="E198" s="26"/>
      <c r="G198" s="54"/>
      <c r="N198" s="42"/>
    </row>
    <row r="199" spans="2:14" s="13" customFormat="1" x14ac:dyDescent="0.4">
      <c r="B199" s="25"/>
      <c r="D199" s="42"/>
      <c r="E199" s="26"/>
      <c r="G199" s="54"/>
      <c r="N199" s="42"/>
    </row>
    <row r="200" spans="2:14" s="13" customFormat="1" x14ac:dyDescent="0.4">
      <c r="B200" s="25"/>
      <c r="D200" s="42"/>
      <c r="E200" s="26"/>
      <c r="G200" s="54"/>
      <c r="N200" s="42"/>
    </row>
    <row r="201" spans="2:14" s="13" customFormat="1" x14ac:dyDescent="0.4">
      <c r="B201" s="25"/>
      <c r="D201" s="42"/>
      <c r="E201" s="26"/>
      <c r="G201" s="54"/>
      <c r="N201" s="42"/>
    </row>
    <row r="202" spans="2:14" s="13" customFormat="1" x14ac:dyDescent="0.4">
      <c r="B202" s="25"/>
      <c r="D202" s="42"/>
      <c r="E202" s="26"/>
      <c r="G202" s="54"/>
      <c r="N202" s="42"/>
    </row>
    <row r="203" spans="2:14" s="13" customFormat="1" x14ac:dyDescent="0.4">
      <c r="B203" s="25"/>
      <c r="D203" s="42"/>
      <c r="E203" s="26"/>
      <c r="G203" s="54"/>
      <c r="N203" s="42"/>
    </row>
    <row r="204" spans="2:14" s="13" customFormat="1" x14ac:dyDescent="0.4">
      <c r="B204" s="25"/>
      <c r="D204" s="42"/>
      <c r="E204" s="26"/>
      <c r="G204" s="54"/>
      <c r="N204" s="42"/>
    </row>
    <row r="205" spans="2:14" s="13" customFormat="1" x14ac:dyDescent="0.4">
      <c r="B205" s="25"/>
      <c r="D205" s="42"/>
      <c r="E205" s="26"/>
      <c r="G205" s="54"/>
      <c r="N205" s="42"/>
    </row>
    <row r="206" spans="2:14" s="13" customFormat="1" x14ac:dyDescent="0.4">
      <c r="B206" s="25"/>
      <c r="D206" s="42"/>
      <c r="E206" s="26"/>
      <c r="G206" s="54"/>
      <c r="N206" s="42"/>
    </row>
    <row r="207" spans="2:14" s="13" customFormat="1" x14ac:dyDescent="0.4">
      <c r="B207" s="25"/>
      <c r="D207" s="42"/>
      <c r="E207" s="26"/>
      <c r="G207" s="54"/>
      <c r="N207" s="42"/>
    </row>
    <row r="208" spans="2:14" s="13" customFormat="1" x14ac:dyDescent="0.4">
      <c r="B208" s="25"/>
      <c r="D208" s="42"/>
      <c r="E208" s="26"/>
      <c r="G208" s="54"/>
      <c r="N208" s="42"/>
    </row>
    <row r="209" spans="2:14" s="13" customFormat="1" x14ac:dyDescent="0.4">
      <c r="B209" s="25"/>
      <c r="D209" s="42"/>
      <c r="E209" s="26"/>
      <c r="G209" s="54"/>
      <c r="N209" s="42"/>
    </row>
    <row r="210" spans="2:14" s="13" customFormat="1" x14ac:dyDescent="0.4">
      <c r="B210" s="25"/>
      <c r="D210" s="42"/>
      <c r="E210" s="26"/>
      <c r="G210" s="54"/>
      <c r="N210" s="42"/>
    </row>
    <row r="211" spans="2:14" s="13" customFormat="1" x14ac:dyDescent="0.4">
      <c r="B211" s="25"/>
      <c r="D211" s="42"/>
      <c r="E211" s="26"/>
      <c r="G211" s="54"/>
      <c r="N211" s="42"/>
    </row>
    <row r="212" spans="2:14" s="13" customFormat="1" x14ac:dyDescent="0.4">
      <c r="B212" s="25"/>
      <c r="D212" s="42"/>
      <c r="E212" s="26"/>
      <c r="G212" s="54"/>
      <c r="N212" s="42"/>
    </row>
    <row r="213" spans="2:14" s="13" customFormat="1" x14ac:dyDescent="0.4">
      <c r="B213" s="25"/>
      <c r="D213" s="42"/>
      <c r="E213" s="26"/>
      <c r="G213" s="54"/>
      <c r="N213" s="42"/>
    </row>
    <row r="214" spans="2:14" s="13" customFormat="1" x14ac:dyDescent="0.4">
      <c r="B214" s="25"/>
      <c r="D214" s="42"/>
      <c r="E214" s="26"/>
      <c r="G214" s="54"/>
      <c r="N214" s="42"/>
    </row>
    <row r="215" spans="2:14" s="13" customFormat="1" x14ac:dyDescent="0.4">
      <c r="B215" s="25"/>
      <c r="D215" s="42"/>
      <c r="E215" s="26"/>
      <c r="G215" s="54"/>
      <c r="N215" s="42"/>
    </row>
    <row r="216" spans="2:14" s="13" customFormat="1" x14ac:dyDescent="0.4">
      <c r="B216" s="25"/>
      <c r="D216" s="42"/>
      <c r="E216" s="26"/>
      <c r="G216" s="54"/>
      <c r="N216" s="42"/>
    </row>
    <row r="217" spans="2:14" s="13" customFormat="1" x14ac:dyDescent="0.4">
      <c r="B217" s="25"/>
      <c r="D217" s="42"/>
      <c r="E217" s="26"/>
      <c r="G217" s="54"/>
      <c r="N217" s="42"/>
    </row>
    <row r="218" spans="2:14" s="13" customFormat="1" x14ac:dyDescent="0.4">
      <c r="B218" s="25"/>
      <c r="D218" s="42"/>
      <c r="E218" s="26"/>
      <c r="G218" s="54"/>
      <c r="N218" s="42"/>
    </row>
    <row r="219" spans="2:14" s="13" customFormat="1" x14ac:dyDescent="0.4">
      <c r="B219" s="25"/>
      <c r="D219" s="42"/>
      <c r="E219" s="26"/>
      <c r="G219" s="54"/>
      <c r="N219" s="42"/>
    </row>
    <row r="220" spans="2:14" s="13" customFormat="1" x14ac:dyDescent="0.4">
      <c r="B220" s="25"/>
      <c r="D220" s="42"/>
      <c r="E220" s="26"/>
      <c r="G220" s="54"/>
      <c r="N220" s="42"/>
    </row>
    <row r="221" spans="2:14" s="13" customFormat="1" x14ac:dyDescent="0.4">
      <c r="B221" s="25"/>
      <c r="D221" s="42"/>
      <c r="E221" s="26"/>
      <c r="G221" s="54"/>
      <c r="N221" s="42"/>
    </row>
    <row r="222" spans="2:14" s="13" customFormat="1" x14ac:dyDescent="0.4">
      <c r="B222" s="25"/>
      <c r="D222" s="42"/>
      <c r="E222" s="26"/>
      <c r="G222" s="54"/>
      <c r="N222" s="42"/>
    </row>
    <row r="223" spans="2:14" s="13" customFormat="1" x14ac:dyDescent="0.4">
      <c r="B223" s="25"/>
      <c r="D223" s="42"/>
      <c r="E223" s="26"/>
      <c r="G223" s="54"/>
      <c r="N223" s="42"/>
    </row>
    <row r="224" spans="2:14" s="13" customFormat="1" x14ac:dyDescent="0.4">
      <c r="B224" s="25"/>
      <c r="D224" s="42"/>
      <c r="E224" s="26"/>
      <c r="G224" s="54"/>
      <c r="N224" s="42"/>
    </row>
    <row r="225" spans="2:14" s="13" customFormat="1" x14ac:dyDescent="0.4">
      <c r="B225" s="25"/>
      <c r="D225" s="42"/>
      <c r="E225" s="26"/>
      <c r="G225" s="54"/>
      <c r="N225" s="42"/>
    </row>
    <row r="226" spans="2:14" s="13" customFormat="1" x14ac:dyDescent="0.4">
      <c r="B226" s="25"/>
      <c r="D226" s="42"/>
      <c r="E226" s="26"/>
      <c r="G226" s="54"/>
      <c r="N226" s="42"/>
    </row>
    <row r="227" spans="2:14" s="13" customFormat="1" x14ac:dyDescent="0.4">
      <c r="B227" s="25"/>
      <c r="D227" s="42"/>
      <c r="E227" s="26"/>
      <c r="G227" s="54"/>
      <c r="N227" s="42"/>
    </row>
    <row r="228" spans="2:14" s="13" customFormat="1" x14ac:dyDescent="0.4">
      <c r="B228" s="25"/>
      <c r="D228" s="42"/>
      <c r="E228" s="26"/>
      <c r="G228" s="54"/>
      <c r="N228" s="42"/>
    </row>
    <row r="229" spans="2:14" s="13" customFormat="1" x14ac:dyDescent="0.4">
      <c r="B229" s="25"/>
      <c r="D229" s="42"/>
      <c r="E229" s="26"/>
      <c r="G229" s="54"/>
      <c r="N229" s="42"/>
    </row>
    <row r="230" spans="2:14" s="13" customFormat="1" x14ac:dyDescent="0.4">
      <c r="B230" s="25"/>
      <c r="D230" s="42"/>
      <c r="E230" s="26"/>
      <c r="G230" s="54"/>
      <c r="N230" s="42"/>
    </row>
    <row r="231" spans="2:14" s="13" customFormat="1" x14ac:dyDescent="0.4">
      <c r="B231" s="25"/>
      <c r="D231" s="42"/>
      <c r="E231" s="26"/>
      <c r="G231" s="54"/>
      <c r="N231" s="42"/>
    </row>
    <row r="232" spans="2:14" s="13" customFormat="1" x14ac:dyDescent="0.4">
      <c r="B232" s="25"/>
      <c r="D232" s="42"/>
      <c r="E232" s="26"/>
      <c r="G232" s="54"/>
      <c r="N232" s="42"/>
    </row>
    <row r="233" spans="2:14" s="13" customFormat="1" x14ac:dyDescent="0.4">
      <c r="B233" s="25"/>
      <c r="D233" s="42"/>
      <c r="E233" s="26"/>
      <c r="G233" s="54"/>
      <c r="N233" s="42"/>
    </row>
    <row r="234" spans="2:14" s="13" customFormat="1" x14ac:dyDescent="0.4">
      <c r="B234" s="25"/>
      <c r="D234" s="42"/>
      <c r="E234" s="26"/>
      <c r="G234" s="54"/>
      <c r="N234" s="42"/>
    </row>
    <row r="235" spans="2:14" s="13" customFormat="1" x14ac:dyDescent="0.4">
      <c r="B235" s="25"/>
      <c r="D235" s="42"/>
      <c r="E235" s="26"/>
      <c r="G235" s="54"/>
      <c r="N235" s="42"/>
    </row>
    <row r="236" spans="2:14" s="13" customFormat="1" x14ac:dyDescent="0.4">
      <c r="B236" s="25"/>
      <c r="D236" s="42"/>
      <c r="E236" s="26"/>
      <c r="G236" s="54"/>
      <c r="N236" s="42"/>
    </row>
    <row r="237" spans="2:14" s="13" customFormat="1" x14ac:dyDescent="0.4">
      <c r="B237" s="25"/>
      <c r="D237" s="42"/>
      <c r="E237" s="26"/>
      <c r="G237" s="54"/>
      <c r="N237" s="42"/>
    </row>
    <row r="238" spans="2:14" s="13" customFormat="1" x14ac:dyDescent="0.4">
      <c r="B238" s="25"/>
      <c r="D238" s="42"/>
      <c r="E238" s="26"/>
      <c r="G238" s="54"/>
      <c r="N238" s="42"/>
    </row>
    <row r="239" spans="2:14" s="13" customFormat="1" x14ac:dyDescent="0.4">
      <c r="B239" s="25"/>
      <c r="D239" s="42"/>
      <c r="E239" s="26"/>
      <c r="G239" s="54"/>
      <c r="N239" s="42"/>
    </row>
    <row r="240" spans="2:14" s="13" customFormat="1" x14ac:dyDescent="0.4">
      <c r="B240" s="25"/>
      <c r="D240" s="42"/>
      <c r="E240" s="26"/>
      <c r="G240" s="54"/>
      <c r="N240" s="42"/>
    </row>
    <row r="241" spans="2:14" s="13" customFormat="1" x14ac:dyDescent="0.4">
      <c r="B241" s="25"/>
      <c r="D241" s="42"/>
      <c r="E241" s="26"/>
      <c r="G241" s="54"/>
      <c r="N241" s="42"/>
    </row>
    <row r="242" spans="2:14" s="13" customFormat="1" x14ac:dyDescent="0.4">
      <c r="B242" s="25"/>
      <c r="D242" s="42"/>
      <c r="E242" s="26"/>
      <c r="G242" s="54"/>
      <c r="N242" s="42"/>
    </row>
    <row r="243" spans="2:14" s="13" customFormat="1" x14ac:dyDescent="0.4">
      <c r="B243" s="25"/>
      <c r="D243" s="42"/>
      <c r="E243" s="26"/>
      <c r="G243" s="54"/>
      <c r="N243" s="42"/>
    </row>
    <row r="244" spans="2:14" s="13" customFormat="1" x14ac:dyDescent="0.4">
      <c r="B244" s="25"/>
      <c r="D244" s="42"/>
      <c r="E244" s="26"/>
      <c r="G244" s="54"/>
      <c r="N244" s="42"/>
    </row>
    <row r="245" spans="2:14" s="13" customFormat="1" x14ac:dyDescent="0.4">
      <c r="B245" s="25"/>
      <c r="D245" s="42"/>
      <c r="E245" s="26"/>
      <c r="G245" s="54"/>
      <c r="N245" s="42"/>
    </row>
    <row r="246" spans="2:14" s="13" customFormat="1" x14ac:dyDescent="0.4">
      <c r="B246" s="25"/>
      <c r="D246" s="42"/>
      <c r="E246" s="26"/>
      <c r="G246" s="54"/>
      <c r="N246" s="42"/>
    </row>
    <row r="247" spans="2:14" s="13" customFormat="1" x14ac:dyDescent="0.4">
      <c r="B247" s="25"/>
      <c r="D247" s="42"/>
      <c r="E247" s="26"/>
      <c r="G247" s="54"/>
      <c r="N247" s="42"/>
    </row>
    <row r="248" spans="2:14" s="13" customFormat="1" x14ac:dyDescent="0.4">
      <c r="B248" s="25"/>
      <c r="D248" s="42"/>
      <c r="E248" s="26"/>
      <c r="G248" s="54"/>
      <c r="N248" s="42"/>
    </row>
    <row r="249" spans="2:14" s="13" customFormat="1" x14ac:dyDescent="0.4">
      <c r="B249" s="25"/>
      <c r="D249" s="42"/>
      <c r="E249" s="26"/>
      <c r="G249" s="54"/>
      <c r="N249" s="42"/>
    </row>
    <row r="250" spans="2:14" s="13" customFormat="1" x14ac:dyDescent="0.4">
      <c r="B250" s="25"/>
      <c r="D250" s="42"/>
      <c r="E250" s="26"/>
      <c r="G250" s="54"/>
      <c r="N250" s="42"/>
    </row>
    <row r="251" spans="2:14" s="13" customFormat="1" x14ac:dyDescent="0.4">
      <c r="B251" s="25"/>
      <c r="D251" s="42"/>
      <c r="E251" s="26"/>
      <c r="G251" s="54"/>
      <c r="N251" s="42"/>
    </row>
    <row r="252" spans="2:14" s="13" customFormat="1" x14ac:dyDescent="0.4">
      <c r="B252" s="25"/>
      <c r="D252" s="42"/>
      <c r="E252" s="26"/>
      <c r="G252" s="54"/>
      <c r="N252" s="42"/>
    </row>
    <row r="253" spans="2:14" s="13" customFormat="1" x14ac:dyDescent="0.4">
      <c r="B253" s="25"/>
      <c r="D253" s="42"/>
      <c r="E253" s="26"/>
      <c r="G253" s="54"/>
      <c r="N253" s="42"/>
    </row>
    <row r="254" spans="2:14" s="13" customFormat="1" x14ac:dyDescent="0.4">
      <c r="B254" s="25"/>
      <c r="D254" s="42"/>
      <c r="E254" s="26"/>
      <c r="G254" s="54"/>
      <c r="N254" s="42"/>
    </row>
    <row r="255" spans="2:14" s="13" customFormat="1" x14ac:dyDescent="0.4">
      <c r="B255" s="25"/>
      <c r="D255" s="42"/>
      <c r="E255" s="26"/>
      <c r="G255" s="54"/>
      <c r="N255" s="42"/>
    </row>
    <row r="256" spans="2:14" s="13" customFormat="1" x14ac:dyDescent="0.4">
      <c r="B256" s="25"/>
      <c r="D256" s="42"/>
      <c r="E256" s="26"/>
      <c r="G256" s="54"/>
      <c r="N256" s="42"/>
    </row>
    <row r="257" spans="2:14" s="13" customFormat="1" x14ac:dyDescent="0.4">
      <c r="B257" s="25"/>
      <c r="D257" s="42"/>
      <c r="E257" s="26"/>
      <c r="G257" s="54"/>
      <c r="N257" s="42"/>
    </row>
    <row r="258" spans="2:14" s="13" customFormat="1" x14ac:dyDescent="0.4">
      <c r="B258" s="25"/>
      <c r="D258" s="42"/>
      <c r="E258" s="26"/>
      <c r="G258" s="54"/>
      <c r="N258" s="42"/>
    </row>
    <row r="259" spans="2:14" s="13" customFormat="1" x14ac:dyDescent="0.4">
      <c r="B259" s="25"/>
      <c r="D259" s="42"/>
      <c r="E259" s="26"/>
      <c r="G259" s="54"/>
      <c r="N259" s="42"/>
    </row>
    <row r="260" spans="2:14" s="13" customFormat="1" x14ac:dyDescent="0.4">
      <c r="B260" s="25"/>
      <c r="D260" s="42"/>
      <c r="E260" s="26"/>
      <c r="G260" s="54"/>
      <c r="N260" s="42"/>
    </row>
    <row r="261" spans="2:14" s="13" customFormat="1" x14ac:dyDescent="0.4">
      <c r="B261" s="25"/>
      <c r="D261" s="42"/>
      <c r="E261" s="26"/>
      <c r="G261" s="54"/>
      <c r="N261" s="42"/>
    </row>
    <row r="262" spans="2:14" s="13" customFormat="1" x14ac:dyDescent="0.4">
      <c r="B262" s="25"/>
      <c r="D262" s="42"/>
      <c r="E262" s="26"/>
      <c r="G262" s="54"/>
      <c r="N262" s="42"/>
    </row>
    <row r="263" spans="2:14" s="13" customFormat="1" x14ac:dyDescent="0.4">
      <c r="B263" s="25"/>
      <c r="D263" s="42"/>
      <c r="E263" s="26"/>
      <c r="G263" s="54"/>
      <c r="N263" s="42"/>
    </row>
    <row r="264" spans="2:14" s="13" customFormat="1" x14ac:dyDescent="0.4">
      <c r="B264" s="25"/>
      <c r="D264" s="42"/>
      <c r="E264" s="26"/>
      <c r="G264" s="54"/>
      <c r="N264" s="42"/>
    </row>
    <row r="265" spans="2:14" s="13" customFormat="1" x14ac:dyDescent="0.4">
      <c r="B265" s="25"/>
      <c r="D265" s="42"/>
      <c r="E265" s="26"/>
      <c r="G265" s="54"/>
      <c r="N265" s="42"/>
    </row>
    <row r="266" spans="2:14" s="13" customFormat="1" x14ac:dyDescent="0.4">
      <c r="B266" s="25"/>
      <c r="D266" s="42"/>
      <c r="E266" s="26"/>
      <c r="G266" s="54"/>
      <c r="N266" s="42"/>
    </row>
    <row r="267" spans="2:14" s="13" customFormat="1" x14ac:dyDescent="0.4">
      <c r="B267" s="25"/>
      <c r="D267" s="42"/>
      <c r="E267" s="26"/>
      <c r="G267" s="54"/>
      <c r="N267" s="42"/>
    </row>
    <row r="268" spans="2:14" s="13" customFormat="1" x14ac:dyDescent="0.4">
      <c r="B268" s="25"/>
      <c r="D268" s="42"/>
      <c r="E268" s="26"/>
      <c r="G268" s="54"/>
      <c r="N268" s="42"/>
    </row>
    <row r="269" spans="2:14" s="13" customFormat="1" x14ac:dyDescent="0.4">
      <c r="B269" s="25"/>
      <c r="D269" s="42"/>
      <c r="E269" s="26"/>
      <c r="G269" s="54"/>
      <c r="N269" s="42"/>
    </row>
    <row r="270" spans="2:14" s="13" customFormat="1" x14ac:dyDescent="0.4">
      <c r="B270" s="25"/>
      <c r="D270" s="42"/>
      <c r="E270" s="26"/>
      <c r="G270" s="54"/>
      <c r="N270" s="42"/>
    </row>
    <row r="271" spans="2:14" s="13" customFormat="1" x14ac:dyDescent="0.4">
      <c r="B271" s="25"/>
      <c r="D271" s="42"/>
      <c r="E271" s="26"/>
      <c r="G271" s="54"/>
      <c r="N271" s="42"/>
    </row>
    <row r="272" spans="2:14" s="13" customFormat="1" x14ac:dyDescent="0.4">
      <c r="B272" s="25"/>
      <c r="D272" s="42"/>
      <c r="E272" s="26"/>
      <c r="G272" s="54"/>
      <c r="N272" s="42"/>
    </row>
    <row r="273" spans="2:14" s="13" customFormat="1" x14ac:dyDescent="0.4">
      <c r="B273" s="25"/>
      <c r="D273" s="42"/>
      <c r="E273" s="26"/>
      <c r="G273" s="54"/>
      <c r="N273" s="42"/>
    </row>
    <row r="274" spans="2:14" s="13" customFormat="1" x14ac:dyDescent="0.4">
      <c r="B274" s="25"/>
      <c r="D274" s="42"/>
      <c r="E274" s="26"/>
      <c r="G274" s="54"/>
      <c r="N274" s="42"/>
    </row>
    <row r="275" spans="2:14" s="13" customFormat="1" x14ac:dyDescent="0.4">
      <c r="B275" s="25"/>
      <c r="D275" s="42"/>
      <c r="E275" s="26"/>
      <c r="G275" s="54"/>
      <c r="N275" s="42"/>
    </row>
    <row r="276" spans="2:14" s="13" customFormat="1" x14ac:dyDescent="0.4">
      <c r="B276" s="25"/>
      <c r="D276" s="42"/>
      <c r="E276" s="26"/>
      <c r="G276" s="54"/>
      <c r="N276" s="42"/>
    </row>
    <row r="277" spans="2:14" s="13" customFormat="1" x14ac:dyDescent="0.4">
      <c r="B277" s="25"/>
      <c r="D277" s="42"/>
      <c r="E277" s="26"/>
      <c r="G277" s="54"/>
      <c r="N277" s="42"/>
    </row>
    <row r="278" spans="2:14" s="13" customFormat="1" x14ac:dyDescent="0.4">
      <c r="B278" s="25"/>
      <c r="D278" s="42"/>
      <c r="E278" s="26"/>
      <c r="G278" s="54"/>
      <c r="N278" s="42"/>
    </row>
    <row r="279" spans="2:14" s="13" customFormat="1" x14ac:dyDescent="0.4">
      <c r="B279" s="25"/>
      <c r="D279" s="42"/>
      <c r="E279" s="26"/>
      <c r="G279" s="54"/>
      <c r="N279" s="42"/>
    </row>
    <row r="280" spans="2:14" s="13" customFormat="1" x14ac:dyDescent="0.4">
      <c r="B280" s="25"/>
      <c r="D280" s="42"/>
      <c r="E280" s="26"/>
      <c r="G280" s="54"/>
      <c r="N280" s="42"/>
    </row>
    <row r="281" spans="2:14" s="13" customFormat="1" x14ac:dyDescent="0.4">
      <c r="B281" s="25"/>
      <c r="D281" s="42"/>
      <c r="E281" s="26"/>
      <c r="G281" s="54"/>
      <c r="N281" s="42"/>
    </row>
    <row r="282" spans="2:14" s="13" customFormat="1" x14ac:dyDescent="0.4">
      <c r="B282" s="25"/>
      <c r="D282" s="42"/>
      <c r="E282" s="26"/>
      <c r="G282" s="54"/>
      <c r="N282" s="42"/>
    </row>
    <row r="283" spans="2:14" s="13" customFormat="1" x14ac:dyDescent="0.4">
      <c r="B283" s="25"/>
      <c r="D283" s="42"/>
      <c r="E283" s="26"/>
      <c r="G283" s="54"/>
      <c r="N283" s="42"/>
    </row>
    <row r="284" spans="2:14" s="13" customFormat="1" x14ac:dyDescent="0.4">
      <c r="B284" s="25"/>
      <c r="D284" s="42"/>
      <c r="E284" s="26"/>
      <c r="G284" s="54"/>
      <c r="N284" s="42"/>
    </row>
    <row r="285" spans="2:14" s="13" customFormat="1" x14ac:dyDescent="0.4">
      <c r="B285" s="25"/>
      <c r="D285" s="42"/>
      <c r="E285" s="26"/>
      <c r="G285" s="54"/>
      <c r="N285" s="42"/>
    </row>
    <row r="286" spans="2:14" s="13" customFormat="1" x14ac:dyDescent="0.4">
      <c r="B286" s="25"/>
      <c r="D286" s="42"/>
      <c r="E286" s="26"/>
      <c r="G286" s="54"/>
      <c r="N286" s="42"/>
    </row>
    <row r="287" spans="2:14" s="13" customFormat="1" x14ac:dyDescent="0.4">
      <c r="B287" s="25"/>
      <c r="D287" s="42"/>
      <c r="E287" s="26"/>
      <c r="G287" s="54"/>
      <c r="N287" s="42"/>
    </row>
    <row r="288" spans="2:14" s="13" customFormat="1" x14ac:dyDescent="0.4">
      <c r="B288" s="25"/>
      <c r="D288" s="42"/>
      <c r="E288" s="26"/>
      <c r="G288" s="54"/>
      <c r="N288" s="42"/>
    </row>
    <row r="289" spans="2:14" s="13" customFormat="1" x14ac:dyDescent="0.4">
      <c r="B289" s="25"/>
      <c r="D289" s="42"/>
      <c r="E289" s="26"/>
      <c r="G289" s="54"/>
      <c r="N289" s="42"/>
    </row>
    <row r="290" spans="2:14" s="13" customFormat="1" x14ac:dyDescent="0.4">
      <c r="B290" s="25"/>
      <c r="D290" s="42"/>
      <c r="E290" s="26"/>
      <c r="G290" s="54"/>
      <c r="N290" s="42"/>
    </row>
    <row r="291" spans="2:14" s="13" customFormat="1" x14ac:dyDescent="0.4">
      <c r="B291" s="25"/>
      <c r="D291" s="42"/>
      <c r="E291" s="26"/>
      <c r="G291" s="54"/>
      <c r="N291" s="42"/>
    </row>
    <row r="292" spans="2:14" s="13" customFormat="1" x14ac:dyDescent="0.4">
      <c r="B292" s="25"/>
      <c r="D292" s="42"/>
      <c r="E292" s="26"/>
      <c r="G292" s="54"/>
      <c r="N292" s="42"/>
    </row>
    <row r="293" spans="2:14" s="13" customFormat="1" x14ac:dyDescent="0.4">
      <c r="B293" s="25"/>
      <c r="D293" s="42"/>
      <c r="E293" s="26"/>
      <c r="G293" s="54"/>
      <c r="N293" s="42"/>
    </row>
    <row r="294" spans="2:14" s="13" customFormat="1" x14ac:dyDescent="0.4">
      <c r="B294" s="25"/>
      <c r="D294" s="42"/>
      <c r="E294" s="26"/>
      <c r="G294" s="54"/>
      <c r="N294" s="42"/>
    </row>
    <row r="295" spans="2:14" s="13" customFormat="1" x14ac:dyDescent="0.4">
      <c r="B295" s="25"/>
      <c r="D295" s="42"/>
      <c r="E295" s="26"/>
      <c r="G295" s="54"/>
      <c r="N295" s="42"/>
    </row>
    <row r="296" spans="2:14" s="13" customFormat="1" x14ac:dyDescent="0.4">
      <c r="B296" s="25"/>
      <c r="D296" s="42"/>
      <c r="E296" s="26"/>
      <c r="G296" s="54"/>
      <c r="N296" s="42"/>
    </row>
    <row r="297" spans="2:14" s="13" customFormat="1" x14ac:dyDescent="0.4">
      <c r="B297" s="25"/>
      <c r="D297" s="42"/>
      <c r="E297" s="26"/>
      <c r="G297" s="54"/>
      <c r="N297" s="42"/>
    </row>
    <row r="298" spans="2:14" s="13" customFormat="1" x14ac:dyDescent="0.4">
      <c r="B298" s="25"/>
      <c r="D298" s="42"/>
      <c r="E298" s="26"/>
      <c r="G298" s="54"/>
      <c r="N298" s="42"/>
    </row>
    <row r="299" spans="2:14" s="13" customFormat="1" x14ac:dyDescent="0.4">
      <c r="B299" s="25"/>
      <c r="D299" s="42"/>
      <c r="E299" s="26"/>
      <c r="G299" s="54"/>
      <c r="N299" s="42"/>
    </row>
    <row r="300" spans="2:14" s="13" customFormat="1" x14ac:dyDescent="0.4">
      <c r="B300" s="25"/>
      <c r="D300" s="42"/>
      <c r="E300" s="26"/>
      <c r="G300" s="54"/>
      <c r="N300" s="42"/>
    </row>
    <row r="301" spans="2:14" s="13" customFormat="1" x14ac:dyDescent="0.4">
      <c r="B301" s="25"/>
      <c r="D301" s="42"/>
      <c r="E301" s="26"/>
      <c r="G301" s="54"/>
      <c r="N301" s="42"/>
    </row>
    <row r="302" spans="2:14" s="13" customFormat="1" x14ac:dyDescent="0.4">
      <c r="B302" s="25"/>
      <c r="D302" s="42"/>
      <c r="E302" s="26"/>
      <c r="G302" s="54"/>
      <c r="N302" s="42"/>
    </row>
    <row r="303" spans="2:14" s="13" customFormat="1" x14ac:dyDescent="0.4">
      <c r="B303" s="25"/>
      <c r="D303" s="42"/>
      <c r="E303" s="26"/>
      <c r="G303" s="54"/>
      <c r="N303" s="42"/>
    </row>
    <row r="304" spans="2:14" s="13" customFormat="1" x14ac:dyDescent="0.4">
      <c r="B304" s="25"/>
      <c r="D304" s="42"/>
      <c r="E304" s="26"/>
      <c r="G304" s="54"/>
      <c r="N304" s="42"/>
    </row>
    <row r="305" spans="2:14" s="13" customFormat="1" x14ac:dyDescent="0.4">
      <c r="B305" s="25"/>
      <c r="D305" s="42"/>
      <c r="E305" s="26"/>
      <c r="G305" s="54"/>
      <c r="N305" s="42"/>
    </row>
    <row r="306" spans="2:14" s="13" customFormat="1" x14ac:dyDescent="0.4">
      <c r="B306" s="25"/>
      <c r="D306" s="42"/>
      <c r="E306" s="26"/>
      <c r="G306" s="54"/>
      <c r="N306" s="42"/>
    </row>
    <row r="307" spans="2:14" s="13" customFormat="1" x14ac:dyDescent="0.4">
      <c r="B307" s="25"/>
      <c r="D307" s="42"/>
      <c r="E307" s="26"/>
      <c r="G307" s="54"/>
      <c r="N307" s="42"/>
    </row>
    <row r="308" spans="2:14" s="13" customFormat="1" x14ac:dyDescent="0.4">
      <c r="B308" s="25"/>
      <c r="D308" s="42"/>
      <c r="E308" s="26"/>
      <c r="G308" s="54"/>
      <c r="N308" s="42"/>
    </row>
    <row r="309" spans="2:14" s="13" customFormat="1" x14ac:dyDescent="0.4">
      <c r="B309" s="25"/>
      <c r="D309" s="42"/>
      <c r="E309" s="26"/>
      <c r="G309" s="54"/>
      <c r="N309" s="42"/>
    </row>
    <row r="310" spans="2:14" s="13" customFormat="1" x14ac:dyDescent="0.4">
      <c r="B310" s="25"/>
      <c r="D310" s="42"/>
      <c r="E310" s="26"/>
      <c r="G310" s="54"/>
      <c r="N310" s="42"/>
    </row>
    <row r="311" spans="2:14" s="13" customFormat="1" x14ac:dyDescent="0.4">
      <c r="B311" s="25"/>
      <c r="D311" s="42"/>
      <c r="E311" s="26"/>
      <c r="G311" s="54"/>
      <c r="N311" s="42"/>
    </row>
    <row r="312" spans="2:14" s="13" customFormat="1" x14ac:dyDescent="0.4">
      <c r="B312" s="25"/>
      <c r="D312" s="42"/>
      <c r="E312" s="26"/>
      <c r="G312" s="54"/>
      <c r="N312" s="42"/>
    </row>
    <row r="313" spans="2:14" s="13" customFormat="1" x14ac:dyDescent="0.4">
      <c r="B313" s="25"/>
      <c r="D313" s="42"/>
      <c r="E313" s="26"/>
      <c r="G313" s="54"/>
      <c r="N313" s="42"/>
    </row>
    <row r="314" spans="2:14" s="13" customFormat="1" x14ac:dyDescent="0.4">
      <c r="B314" s="25"/>
      <c r="D314" s="42"/>
      <c r="E314" s="26"/>
      <c r="G314" s="54"/>
      <c r="N314" s="42"/>
    </row>
    <row r="315" spans="2:14" s="13" customFormat="1" x14ac:dyDescent="0.4">
      <c r="B315" s="25"/>
      <c r="D315" s="42"/>
      <c r="E315" s="26"/>
      <c r="G315" s="54"/>
      <c r="N315" s="42"/>
    </row>
    <row r="316" spans="2:14" s="13" customFormat="1" x14ac:dyDescent="0.4">
      <c r="B316" s="25"/>
      <c r="D316" s="42"/>
      <c r="E316" s="26"/>
      <c r="G316" s="54"/>
      <c r="N316" s="42"/>
    </row>
    <row r="317" spans="2:14" s="13" customFormat="1" x14ac:dyDescent="0.4">
      <c r="B317" s="25"/>
      <c r="D317" s="42"/>
      <c r="E317" s="26"/>
      <c r="G317" s="54"/>
      <c r="N317" s="42"/>
    </row>
    <row r="318" spans="2:14" s="13" customFormat="1" x14ac:dyDescent="0.4">
      <c r="B318" s="25"/>
      <c r="D318" s="42"/>
      <c r="E318" s="26"/>
      <c r="G318" s="54"/>
      <c r="N318" s="42"/>
    </row>
    <row r="319" spans="2:14" s="13" customFormat="1" x14ac:dyDescent="0.4">
      <c r="B319" s="25"/>
      <c r="D319" s="42"/>
      <c r="E319" s="26"/>
      <c r="G319" s="54"/>
      <c r="N319" s="42"/>
    </row>
    <row r="320" spans="2:14" s="13" customFormat="1" x14ac:dyDescent="0.4">
      <c r="B320" s="25"/>
      <c r="D320" s="42"/>
      <c r="E320" s="26"/>
      <c r="G320" s="54"/>
      <c r="N320" s="42"/>
    </row>
    <row r="321" spans="2:14" s="13" customFormat="1" x14ac:dyDescent="0.4">
      <c r="B321" s="25"/>
      <c r="D321" s="42"/>
      <c r="E321" s="26"/>
      <c r="G321" s="54"/>
      <c r="N321" s="42"/>
    </row>
    <row r="322" spans="2:14" s="13" customFormat="1" x14ac:dyDescent="0.4">
      <c r="B322" s="25"/>
      <c r="D322" s="42"/>
      <c r="E322" s="26"/>
      <c r="G322" s="54"/>
      <c r="N322" s="42"/>
    </row>
    <row r="323" spans="2:14" s="13" customFormat="1" x14ac:dyDescent="0.4">
      <c r="B323" s="25"/>
      <c r="D323" s="42"/>
      <c r="E323" s="26"/>
      <c r="G323" s="54"/>
      <c r="N323" s="42"/>
    </row>
    <row r="324" spans="2:14" s="13" customFormat="1" x14ac:dyDescent="0.4">
      <c r="B324" s="25"/>
      <c r="D324" s="42"/>
      <c r="E324" s="26"/>
      <c r="G324" s="54"/>
      <c r="N324" s="42"/>
    </row>
    <row r="325" spans="2:14" s="13" customFormat="1" x14ac:dyDescent="0.4">
      <c r="B325" s="25"/>
      <c r="D325" s="42"/>
      <c r="E325" s="26"/>
      <c r="G325" s="54"/>
      <c r="N325" s="42"/>
    </row>
    <row r="326" spans="2:14" s="13" customFormat="1" x14ac:dyDescent="0.4">
      <c r="B326" s="25"/>
      <c r="D326" s="42"/>
      <c r="E326" s="26"/>
      <c r="G326" s="54"/>
      <c r="N326" s="42"/>
    </row>
    <row r="327" spans="2:14" s="13" customFormat="1" x14ac:dyDescent="0.4">
      <c r="B327" s="25"/>
      <c r="D327" s="42"/>
      <c r="E327" s="26"/>
      <c r="G327" s="54"/>
      <c r="N327" s="42"/>
    </row>
    <row r="328" spans="2:14" s="13" customFormat="1" x14ac:dyDescent="0.4">
      <c r="B328" s="25"/>
      <c r="D328" s="42"/>
      <c r="E328" s="26"/>
      <c r="G328" s="54"/>
      <c r="N328" s="42"/>
    </row>
    <row r="329" spans="2:14" s="13" customFormat="1" x14ac:dyDescent="0.4">
      <c r="B329" s="25"/>
      <c r="D329" s="42"/>
      <c r="E329" s="26"/>
      <c r="G329" s="54"/>
      <c r="N329" s="42"/>
    </row>
    <row r="330" spans="2:14" s="13" customFormat="1" x14ac:dyDescent="0.4">
      <c r="B330" s="25"/>
      <c r="D330" s="42"/>
      <c r="E330" s="26"/>
      <c r="G330" s="54"/>
      <c r="N330" s="42"/>
    </row>
    <row r="331" spans="2:14" s="13" customFormat="1" x14ac:dyDescent="0.4">
      <c r="B331" s="25"/>
      <c r="D331" s="42"/>
      <c r="E331" s="26"/>
      <c r="G331" s="54"/>
      <c r="N331" s="42"/>
    </row>
    <row r="332" spans="2:14" s="13" customFormat="1" x14ac:dyDescent="0.4">
      <c r="B332" s="25"/>
      <c r="D332" s="42"/>
      <c r="E332" s="26"/>
      <c r="G332" s="54"/>
      <c r="N332" s="42"/>
    </row>
    <row r="333" spans="2:14" s="13" customFormat="1" x14ac:dyDescent="0.4">
      <c r="B333" s="25"/>
      <c r="D333" s="42"/>
      <c r="E333" s="26"/>
      <c r="G333" s="54"/>
      <c r="N333" s="42"/>
    </row>
    <row r="334" spans="2:14" s="13" customFormat="1" x14ac:dyDescent="0.4">
      <c r="B334" s="25"/>
      <c r="D334" s="42"/>
      <c r="E334" s="26"/>
      <c r="G334" s="54"/>
      <c r="N334" s="42"/>
    </row>
    <row r="335" spans="2:14" s="13" customFormat="1" x14ac:dyDescent="0.4">
      <c r="B335" s="25"/>
      <c r="D335" s="42"/>
      <c r="E335" s="26"/>
      <c r="G335" s="54"/>
      <c r="N335" s="42"/>
    </row>
    <row r="336" spans="2:14" s="13" customFormat="1" x14ac:dyDescent="0.4">
      <c r="B336" s="25"/>
      <c r="D336" s="42"/>
      <c r="E336" s="26"/>
      <c r="G336" s="54"/>
      <c r="N336" s="42"/>
    </row>
    <row r="337" spans="2:14" s="13" customFormat="1" x14ac:dyDescent="0.4">
      <c r="B337" s="25"/>
      <c r="D337" s="42"/>
      <c r="E337" s="26"/>
      <c r="G337" s="54"/>
      <c r="N337" s="42"/>
    </row>
    <row r="338" spans="2:14" s="13" customFormat="1" x14ac:dyDescent="0.4">
      <c r="B338" s="25"/>
      <c r="D338" s="42"/>
      <c r="E338" s="26"/>
      <c r="G338" s="54"/>
      <c r="N338" s="42"/>
    </row>
    <row r="339" spans="2:14" s="13" customFormat="1" x14ac:dyDescent="0.4">
      <c r="B339" s="25"/>
      <c r="D339" s="42"/>
      <c r="E339" s="26"/>
      <c r="G339" s="54"/>
      <c r="N339" s="42"/>
    </row>
    <row r="340" spans="2:14" s="13" customFormat="1" x14ac:dyDescent="0.4">
      <c r="B340" s="25"/>
      <c r="D340" s="42"/>
      <c r="E340" s="26"/>
      <c r="G340" s="54"/>
      <c r="N340" s="42"/>
    </row>
    <row r="341" spans="2:14" s="13" customFormat="1" x14ac:dyDescent="0.4">
      <c r="B341" s="25"/>
      <c r="D341" s="42"/>
      <c r="E341" s="26"/>
      <c r="G341" s="54"/>
      <c r="N341" s="42"/>
    </row>
    <row r="342" spans="2:14" s="13" customFormat="1" x14ac:dyDescent="0.4">
      <c r="B342" s="25"/>
      <c r="D342" s="42"/>
      <c r="E342" s="26"/>
      <c r="G342" s="54"/>
      <c r="N342" s="42"/>
    </row>
    <row r="343" spans="2:14" s="13" customFormat="1" x14ac:dyDescent="0.4">
      <c r="B343" s="25"/>
      <c r="D343" s="42"/>
      <c r="E343" s="26"/>
      <c r="G343" s="54"/>
      <c r="N343" s="42"/>
    </row>
    <row r="344" spans="2:14" s="13" customFormat="1" x14ac:dyDescent="0.4">
      <c r="B344" s="25"/>
      <c r="D344" s="42"/>
      <c r="E344" s="26"/>
      <c r="G344" s="54"/>
      <c r="N344" s="42"/>
    </row>
    <row r="345" spans="2:14" s="13" customFormat="1" x14ac:dyDescent="0.4">
      <c r="B345" s="25"/>
      <c r="D345" s="42"/>
      <c r="E345" s="26"/>
      <c r="G345" s="54"/>
      <c r="N345" s="42"/>
    </row>
    <row r="346" spans="2:14" s="13" customFormat="1" x14ac:dyDescent="0.4">
      <c r="B346" s="25"/>
      <c r="D346" s="42"/>
      <c r="E346" s="26"/>
      <c r="G346" s="54"/>
      <c r="N346" s="42"/>
    </row>
    <row r="347" spans="2:14" s="13" customFormat="1" x14ac:dyDescent="0.4">
      <c r="B347" s="25"/>
      <c r="D347" s="42"/>
      <c r="E347" s="26"/>
      <c r="G347" s="54"/>
      <c r="N347" s="42"/>
    </row>
    <row r="348" spans="2:14" s="13" customFormat="1" x14ac:dyDescent="0.4">
      <c r="B348" s="25"/>
      <c r="D348" s="42"/>
      <c r="E348" s="26"/>
      <c r="G348" s="54"/>
      <c r="N348" s="42"/>
    </row>
    <row r="349" spans="2:14" s="13" customFormat="1" x14ac:dyDescent="0.4">
      <c r="B349" s="25"/>
      <c r="D349" s="42"/>
      <c r="E349" s="26"/>
      <c r="G349" s="54"/>
      <c r="N349" s="42"/>
    </row>
    <row r="350" spans="2:14" s="13" customFormat="1" x14ac:dyDescent="0.4">
      <c r="B350" s="25"/>
      <c r="D350" s="42"/>
      <c r="E350" s="26"/>
      <c r="G350" s="54"/>
      <c r="N350" s="42"/>
    </row>
    <row r="351" spans="2:14" s="13" customFormat="1" x14ac:dyDescent="0.4">
      <c r="B351" s="25"/>
      <c r="D351" s="42"/>
      <c r="E351" s="26"/>
      <c r="G351" s="54"/>
      <c r="N351" s="42"/>
    </row>
    <row r="352" spans="2:14" s="13" customFormat="1" x14ac:dyDescent="0.4">
      <c r="B352" s="25"/>
      <c r="D352" s="42"/>
      <c r="E352" s="26"/>
      <c r="G352" s="54"/>
      <c r="N352" s="42"/>
    </row>
    <row r="353" spans="2:14" s="13" customFormat="1" x14ac:dyDescent="0.4">
      <c r="B353" s="25"/>
      <c r="D353" s="42"/>
      <c r="E353" s="26"/>
      <c r="G353" s="54"/>
      <c r="N353" s="42"/>
    </row>
    <row r="354" spans="2:14" s="13" customFormat="1" x14ac:dyDescent="0.4">
      <c r="B354" s="25"/>
      <c r="D354" s="42"/>
      <c r="E354" s="26"/>
      <c r="G354" s="54"/>
      <c r="N354" s="42"/>
    </row>
    <row r="355" spans="2:14" s="13" customFormat="1" x14ac:dyDescent="0.4">
      <c r="B355" s="25"/>
      <c r="D355" s="42"/>
      <c r="E355" s="26"/>
      <c r="G355" s="54"/>
      <c r="N355" s="42"/>
    </row>
    <row r="356" spans="2:14" s="13" customFormat="1" x14ac:dyDescent="0.4">
      <c r="B356" s="25"/>
      <c r="D356" s="42"/>
      <c r="E356" s="26"/>
      <c r="G356" s="54"/>
      <c r="N356" s="42"/>
    </row>
    <row r="357" spans="2:14" s="13" customFormat="1" x14ac:dyDescent="0.4">
      <c r="B357" s="25"/>
      <c r="D357" s="42"/>
      <c r="E357" s="26"/>
      <c r="G357" s="54"/>
      <c r="N357" s="42"/>
    </row>
    <row r="358" spans="2:14" s="13" customFormat="1" x14ac:dyDescent="0.4">
      <c r="B358" s="25"/>
      <c r="D358" s="42"/>
      <c r="E358" s="26"/>
      <c r="G358" s="54"/>
      <c r="N358" s="42"/>
    </row>
    <row r="359" spans="2:14" s="13" customFormat="1" x14ac:dyDescent="0.4">
      <c r="B359" s="25"/>
      <c r="D359" s="42"/>
      <c r="E359" s="26"/>
      <c r="G359" s="54"/>
      <c r="N359" s="42"/>
    </row>
    <row r="360" spans="2:14" s="13" customFormat="1" x14ac:dyDescent="0.4">
      <c r="B360" s="25"/>
      <c r="D360" s="42"/>
      <c r="E360" s="26"/>
      <c r="G360" s="54"/>
      <c r="N360" s="42"/>
    </row>
    <row r="361" spans="2:14" s="13" customFormat="1" x14ac:dyDescent="0.4">
      <c r="B361" s="25"/>
      <c r="D361" s="42"/>
      <c r="E361" s="26"/>
      <c r="G361" s="54"/>
      <c r="N361" s="42"/>
    </row>
    <row r="362" spans="2:14" s="13" customFormat="1" x14ac:dyDescent="0.4">
      <c r="B362" s="25"/>
      <c r="D362" s="42"/>
      <c r="E362" s="26"/>
      <c r="G362" s="54"/>
      <c r="N362" s="42"/>
    </row>
    <row r="363" spans="2:14" s="13" customFormat="1" x14ac:dyDescent="0.4">
      <c r="B363" s="25"/>
      <c r="D363" s="42"/>
      <c r="E363" s="26"/>
      <c r="G363" s="54"/>
      <c r="N363" s="42"/>
    </row>
    <row r="364" spans="2:14" s="13" customFormat="1" x14ac:dyDescent="0.4">
      <c r="B364" s="25"/>
      <c r="D364" s="42"/>
      <c r="E364" s="26"/>
      <c r="G364" s="54"/>
      <c r="N364" s="42"/>
    </row>
    <row r="365" spans="2:14" s="13" customFormat="1" x14ac:dyDescent="0.4">
      <c r="B365" s="25"/>
      <c r="D365" s="42"/>
      <c r="E365" s="26"/>
      <c r="G365" s="54"/>
      <c r="N365" s="42"/>
    </row>
    <row r="366" spans="2:14" s="13" customFormat="1" x14ac:dyDescent="0.4">
      <c r="B366" s="25"/>
      <c r="D366" s="42"/>
      <c r="E366" s="26"/>
      <c r="G366" s="54"/>
      <c r="N366" s="42"/>
    </row>
    <row r="367" spans="2:14" s="13" customFormat="1" x14ac:dyDescent="0.4">
      <c r="B367" s="25"/>
      <c r="D367" s="42"/>
      <c r="E367" s="26"/>
      <c r="G367" s="54"/>
      <c r="N367" s="42"/>
    </row>
    <row r="368" spans="2:14" s="13" customFormat="1" x14ac:dyDescent="0.4">
      <c r="B368" s="25"/>
      <c r="D368" s="42"/>
      <c r="E368" s="26"/>
      <c r="G368" s="54"/>
      <c r="N368" s="42"/>
    </row>
    <row r="369" spans="2:14" s="13" customFormat="1" x14ac:dyDescent="0.4">
      <c r="B369" s="25"/>
      <c r="D369" s="42"/>
      <c r="E369" s="26"/>
      <c r="G369" s="54"/>
      <c r="N369" s="42"/>
    </row>
    <row r="370" spans="2:14" s="13" customFormat="1" x14ac:dyDescent="0.4">
      <c r="B370" s="25"/>
      <c r="D370" s="42"/>
      <c r="E370" s="26"/>
      <c r="G370" s="54"/>
      <c r="N370" s="42"/>
    </row>
    <row r="371" spans="2:14" s="13" customFormat="1" x14ac:dyDescent="0.4">
      <c r="B371" s="25"/>
      <c r="D371" s="42"/>
      <c r="E371" s="26"/>
      <c r="G371" s="54"/>
      <c r="N371" s="42"/>
    </row>
    <row r="372" spans="2:14" s="13" customFormat="1" x14ac:dyDescent="0.4">
      <c r="B372" s="25"/>
      <c r="D372" s="42"/>
      <c r="E372" s="26"/>
      <c r="G372" s="54"/>
      <c r="N372" s="42"/>
    </row>
    <row r="373" spans="2:14" s="13" customFormat="1" x14ac:dyDescent="0.4">
      <c r="B373" s="25"/>
      <c r="D373" s="42"/>
      <c r="E373" s="26"/>
      <c r="G373" s="54"/>
      <c r="N373" s="42"/>
    </row>
    <row r="374" spans="2:14" s="13" customFormat="1" x14ac:dyDescent="0.4">
      <c r="B374" s="25"/>
      <c r="D374" s="42"/>
      <c r="E374" s="26"/>
      <c r="G374" s="54"/>
      <c r="N374" s="42"/>
    </row>
    <row r="375" spans="2:14" s="13" customFormat="1" x14ac:dyDescent="0.4">
      <c r="B375" s="25"/>
      <c r="D375" s="42"/>
      <c r="E375" s="26"/>
      <c r="G375" s="54"/>
      <c r="N375" s="42"/>
    </row>
    <row r="376" spans="2:14" s="13" customFormat="1" x14ac:dyDescent="0.4">
      <c r="B376" s="25"/>
      <c r="D376" s="42"/>
      <c r="E376" s="26"/>
      <c r="G376" s="54"/>
      <c r="N376" s="42"/>
    </row>
    <row r="377" spans="2:14" s="13" customFormat="1" x14ac:dyDescent="0.4">
      <c r="B377" s="25"/>
      <c r="D377" s="42"/>
      <c r="E377" s="26"/>
      <c r="G377" s="54"/>
      <c r="N377" s="42"/>
    </row>
    <row r="378" spans="2:14" s="13" customFormat="1" x14ac:dyDescent="0.4">
      <c r="B378" s="25"/>
      <c r="D378" s="42"/>
      <c r="E378" s="26"/>
      <c r="G378" s="54"/>
      <c r="N378" s="42"/>
    </row>
    <row r="379" spans="2:14" s="13" customFormat="1" x14ac:dyDescent="0.4">
      <c r="B379" s="25"/>
      <c r="D379" s="42"/>
      <c r="E379" s="26"/>
      <c r="G379" s="54"/>
      <c r="N379" s="42"/>
    </row>
    <row r="380" spans="2:14" s="13" customFormat="1" x14ac:dyDescent="0.4">
      <c r="B380" s="25"/>
      <c r="D380" s="42"/>
      <c r="E380" s="26"/>
      <c r="G380" s="54"/>
      <c r="N380" s="42"/>
    </row>
    <row r="381" spans="2:14" s="13" customFormat="1" x14ac:dyDescent="0.4">
      <c r="B381" s="25"/>
      <c r="D381" s="42"/>
      <c r="E381" s="26"/>
      <c r="G381" s="54"/>
      <c r="N381" s="42"/>
    </row>
    <row r="382" spans="2:14" s="13" customFormat="1" x14ac:dyDescent="0.4">
      <c r="B382" s="25"/>
      <c r="D382" s="42"/>
      <c r="E382" s="26"/>
      <c r="G382" s="54"/>
      <c r="N382" s="42"/>
    </row>
    <row r="383" spans="2:14" s="13" customFormat="1" x14ac:dyDescent="0.4">
      <c r="B383" s="25"/>
      <c r="D383" s="42"/>
      <c r="E383" s="26"/>
      <c r="G383" s="54"/>
      <c r="N383" s="42"/>
    </row>
    <row r="384" spans="2:14" s="13" customFormat="1" x14ac:dyDescent="0.4">
      <c r="B384" s="25"/>
      <c r="D384" s="42"/>
      <c r="E384" s="26"/>
      <c r="G384" s="54"/>
      <c r="N384" s="42"/>
    </row>
    <row r="385" spans="2:14" s="13" customFormat="1" x14ac:dyDescent="0.4">
      <c r="B385" s="25"/>
      <c r="D385" s="42"/>
      <c r="E385" s="26"/>
      <c r="G385" s="54"/>
      <c r="N385" s="42"/>
    </row>
    <row r="386" spans="2:14" s="13" customFormat="1" x14ac:dyDescent="0.4">
      <c r="B386" s="25"/>
      <c r="D386" s="42"/>
      <c r="E386" s="26"/>
      <c r="G386" s="54"/>
      <c r="N386" s="42"/>
    </row>
    <row r="387" spans="2:14" s="13" customFormat="1" x14ac:dyDescent="0.4">
      <c r="B387" s="25"/>
      <c r="D387" s="42"/>
      <c r="E387" s="26"/>
      <c r="G387" s="54"/>
      <c r="N387" s="42"/>
    </row>
    <row r="388" spans="2:14" s="13" customFormat="1" x14ac:dyDescent="0.4">
      <c r="B388" s="25"/>
      <c r="D388" s="42"/>
      <c r="E388" s="26"/>
      <c r="G388" s="54"/>
      <c r="N388" s="42"/>
    </row>
    <row r="389" spans="2:14" s="13" customFormat="1" x14ac:dyDescent="0.4">
      <c r="B389" s="25"/>
      <c r="D389" s="42"/>
      <c r="E389" s="26"/>
      <c r="G389" s="54"/>
      <c r="N389" s="42"/>
    </row>
    <row r="390" spans="2:14" s="13" customFormat="1" x14ac:dyDescent="0.4">
      <c r="B390" s="25"/>
      <c r="D390" s="42"/>
      <c r="E390" s="26"/>
      <c r="G390" s="54"/>
      <c r="N390" s="42"/>
    </row>
    <row r="391" spans="2:14" s="13" customFormat="1" x14ac:dyDescent="0.4">
      <c r="B391" s="25"/>
      <c r="D391" s="42"/>
      <c r="E391" s="26"/>
      <c r="G391" s="54"/>
      <c r="N391" s="42"/>
    </row>
    <row r="392" spans="2:14" s="13" customFormat="1" x14ac:dyDescent="0.4">
      <c r="B392" s="25"/>
      <c r="D392" s="42"/>
      <c r="E392" s="26"/>
      <c r="G392" s="54"/>
      <c r="N392" s="42"/>
    </row>
    <row r="393" spans="2:14" s="13" customFormat="1" x14ac:dyDescent="0.4">
      <c r="B393" s="25"/>
      <c r="D393" s="42"/>
      <c r="E393" s="26"/>
      <c r="G393" s="54"/>
      <c r="N393" s="42"/>
    </row>
    <row r="394" spans="2:14" s="13" customFormat="1" x14ac:dyDescent="0.4">
      <c r="B394" s="25"/>
      <c r="D394" s="42"/>
      <c r="E394" s="26"/>
      <c r="G394" s="54"/>
      <c r="N394" s="42"/>
    </row>
    <row r="395" spans="2:14" s="13" customFormat="1" x14ac:dyDescent="0.4">
      <c r="B395" s="25"/>
      <c r="D395" s="42"/>
      <c r="E395" s="26"/>
      <c r="G395" s="54"/>
      <c r="N395" s="42"/>
    </row>
    <row r="396" spans="2:14" s="13" customFormat="1" x14ac:dyDescent="0.4">
      <c r="B396" s="25"/>
      <c r="D396" s="42"/>
      <c r="E396" s="26"/>
      <c r="G396" s="54"/>
      <c r="N396" s="42"/>
    </row>
    <row r="397" spans="2:14" s="13" customFormat="1" x14ac:dyDescent="0.4">
      <c r="B397" s="25"/>
      <c r="D397" s="42"/>
      <c r="E397" s="26"/>
      <c r="G397" s="54"/>
      <c r="N397" s="42"/>
    </row>
    <row r="398" spans="2:14" s="13" customFormat="1" x14ac:dyDescent="0.4">
      <c r="B398" s="25"/>
      <c r="D398" s="42"/>
      <c r="E398" s="26"/>
      <c r="G398" s="54"/>
      <c r="N398" s="42"/>
    </row>
    <row r="399" spans="2:14" s="13" customFormat="1" x14ac:dyDescent="0.4">
      <c r="B399" s="25"/>
      <c r="D399" s="42"/>
      <c r="E399" s="26"/>
      <c r="G399" s="54"/>
      <c r="N399" s="42"/>
    </row>
    <row r="400" spans="2:14" s="13" customFormat="1" x14ac:dyDescent="0.4">
      <c r="B400" s="25"/>
      <c r="D400" s="42"/>
      <c r="E400" s="26"/>
      <c r="G400" s="54"/>
      <c r="N400" s="42"/>
    </row>
    <row r="401" spans="2:14" s="13" customFormat="1" x14ac:dyDescent="0.4">
      <c r="B401" s="25"/>
      <c r="D401" s="42"/>
      <c r="E401" s="26"/>
      <c r="G401" s="54"/>
      <c r="N401" s="42"/>
    </row>
    <row r="402" spans="2:14" s="13" customFormat="1" x14ac:dyDescent="0.4">
      <c r="B402" s="25"/>
      <c r="D402" s="42"/>
      <c r="E402" s="26"/>
      <c r="G402" s="54"/>
      <c r="N402" s="42"/>
    </row>
    <row r="403" spans="2:14" s="13" customFormat="1" x14ac:dyDescent="0.4">
      <c r="B403" s="25"/>
      <c r="D403" s="42"/>
      <c r="E403" s="26"/>
      <c r="G403" s="54"/>
      <c r="N403" s="42"/>
    </row>
    <row r="404" spans="2:14" s="13" customFormat="1" x14ac:dyDescent="0.4">
      <c r="B404" s="25"/>
      <c r="D404" s="42"/>
      <c r="E404" s="26"/>
      <c r="G404" s="54"/>
      <c r="N404" s="42"/>
    </row>
    <row r="405" spans="2:14" s="13" customFormat="1" x14ac:dyDescent="0.4">
      <c r="B405" s="25"/>
      <c r="D405" s="42"/>
      <c r="E405" s="26"/>
      <c r="G405" s="54"/>
      <c r="N405" s="42"/>
    </row>
    <row r="406" spans="2:14" s="13" customFormat="1" x14ac:dyDescent="0.4">
      <c r="B406" s="25"/>
      <c r="D406" s="42"/>
      <c r="E406" s="26"/>
      <c r="G406" s="54"/>
      <c r="N406" s="42"/>
    </row>
    <row r="407" spans="2:14" s="13" customFormat="1" x14ac:dyDescent="0.4">
      <c r="B407" s="25"/>
      <c r="D407" s="42"/>
      <c r="E407" s="26"/>
      <c r="G407" s="54"/>
      <c r="N407" s="42"/>
    </row>
    <row r="408" spans="2:14" s="13" customFormat="1" x14ac:dyDescent="0.4">
      <c r="B408" s="25"/>
      <c r="D408" s="42"/>
      <c r="E408" s="26"/>
      <c r="G408" s="54"/>
      <c r="N408" s="42"/>
    </row>
    <row r="409" spans="2:14" s="13" customFormat="1" x14ac:dyDescent="0.4">
      <c r="B409" s="25"/>
      <c r="D409" s="42"/>
      <c r="E409" s="26"/>
      <c r="G409" s="54"/>
      <c r="N409" s="42"/>
    </row>
    <row r="410" spans="2:14" s="13" customFormat="1" x14ac:dyDescent="0.4">
      <c r="B410" s="25"/>
      <c r="D410" s="42"/>
      <c r="E410" s="26"/>
      <c r="G410" s="54"/>
      <c r="N410" s="42"/>
    </row>
    <row r="411" spans="2:14" s="13" customFormat="1" x14ac:dyDescent="0.4">
      <c r="B411" s="25"/>
      <c r="D411" s="42"/>
      <c r="E411" s="26"/>
      <c r="G411" s="54"/>
      <c r="N411" s="42"/>
    </row>
    <row r="412" spans="2:14" s="13" customFormat="1" x14ac:dyDescent="0.4">
      <c r="B412" s="25"/>
      <c r="D412" s="42"/>
      <c r="E412" s="26"/>
      <c r="G412" s="54"/>
      <c r="N412" s="42"/>
    </row>
    <row r="413" spans="2:14" s="13" customFormat="1" x14ac:dyDescent="0.4">
      <c r="B413" s="25"/>
      <c r="D413" s="42"/>
      <c r="E413" s="26"/>
      <c r="G413" s="54"/>
      <c r="N413" s="42"/>
    </row>
    <row r="414" spans="2:14" s="13" customFormat="1" x14ac:dyDescent="0.4">
      <c r="B414" s="25"/>
      <c r="D414" s="42"/>
      <c r="E414" s="26"/>
      <c r="G414" s="54"/>
      <c r="N414" s="42"/>
    </row>
    <row r="415" spans="2:14" s="13" customFormat="1" x14ac:dyDescent="0.4">
      <c r="B415" s="25"/>
      <c r="D415" s="42"/>
      <c r="E415" s="26"/>
      <c r="G415" s="54"/>
      <c r="N415" s="42"/>
    </row>
    <row r="416" spans="2:14" s="13" customFormat="1" x14ac:dyDescent="0.4">
      <c r="B416" s="25"/>
      <c r="D416" s="42"/>
      <c r="E416" s="26"/>
      <c r="G416" s="54"/>
      <c r="N416" s="42"/>
    </row>
    <row r="417" spans="2:14" s="13" customFormat="1" x14ac:dyDescent="0.4">
      <c r="B417" s="25"/>
      <c r="D417" s="42"/>
      <c r="E417" s="26"/>
      <c r="G417" s="54"/>
      <c r="N417" s="42"/>
    </row>
    <row r="418" spans="2:14" s="13" customFormat="1" x14ac:dyDescent="0.4">
      <c r="B418" s="25"/>
      <c r="D418" s="42"/>
      <c r="E418" s="26"/>
      <c r="G418" s="54"/>
      <c r="N418" s="42"/>
    </row>
    <row r="419" spans="2:14" s="13" customFormat="1" x14ac:dyDescent="0.4">
      <c r="B419" s="25"/>
      <c r="D419" s="42"/>
      <c r="E419" s="26"/>
      <c r="G419" s="54"/>
      <c r="N419" s="42"/>
    </row>
    <row r="420" spans="2:14" s="13" customFormat="1" x14ac:dyDescent="0.4">
      <c r="B420" s="25"/>
      <c r="D420" s="42"/>
      <c r="E420" s="26"/>
      <c r="G420" s="54"/>
      <c r="N420" s="42"/>
    </row>
    <row r="421" spans="2:14" s="13" customFormat="1" x14ac:dyDescent="0.4">
      <c r="B421" s="25"/>
      <c r="D421" s="42"/>
      <c r="E421" s="26"/>
      <c r="G421" s="54"/>
      <c r="N421" s="42"/>
    </row>
    <row r="422" spans="2:14" s="13" customFormat="1" x14ac:dyDescent="0.4">
      <c r="B422" s="25"/>
      <c r="D422" s="42"/>
      <c r="E422" s="26"/>
      <c r="G422" s="54"/>
      <c r="N422" s="42"/>
    </row>
    <row r="423" spans="2:14" s="13" customFormat="1" x14ac:dyDescent="0.4">
      <c r="B423" s="25"/>
      <c r="D423" s="42"/>
      <c r="E423" s="26"/>
      <c r="G423" s="54"/>
      <c r="N423" s="42"/>
    </row>
    <row r="424" spans="2:14" s="13" customFormat="1" x14ac:dyDescent="0.4">
      <c r="B424" s="25"/>
      <c r="D424" s="42"/>
      <c r="E424" s="26"/>
      <c r="G424" s="54"/>
      <c r="N424" s="42"/>
    </row>
    <row r="425" spans="2:14" s="13" customFormat="1" x14ac:dyDescent="0.4">
      <c r="B425" s="25"/>
      <c r="D425" s="42"/>
      <c r="E425" s="26"/>
      <c r="G425" s="54"/>
      <c r="N425" s="42"/>
    </row>
    <row r="426" spans="2:14" s="13" customFormat="1" x14ac:dyDescent="0.4">
      <c r="B426" s="25"/>
      <c r="D426" s="42"/>
      <c r="E426" s="26"/>
      <c r="G426" s="54"/>
      <c r="N426" s="42"/>
    </row>
    <row r="427" spans="2:14" s="13" customFormat="1" x14ac:dyDescent="0.4">
      <c r="B427" s="25"/>
      <c r="D427" s="42"/>
      <c r="E427" s="26"/>
      <c r="G427" s="54"/>
      <c r="N427" s="42"/>
    </row>
    <row r="428" spans="2:14" s="13" customFormat="1" x14ac:dyDescent="0.4">
      <c r="B428" s="25"/>
      <c r="D428" s="42"/>
      <c r="E428" s="26"/>
      <c r="G428" s="54"/>
      <c r="N428" s="42"/>
    </row>
    <row r="429" spans="2:14" s="13" customFormat="1" x14ac:dyDescent="0.4">
      <c r="B429" s="25"/>
      <c r="D429" s="42"/>
      <c r="E429" s="26"/>
      <c r="G429" s="54"/>
      <c r="N429" s="42"/>
    </row>
    <row r="430" spans="2:14" s="13" customFormat="1" x14ac:dyDescent="0.4">
      <c r="B430" s="25"/>
      <c r="D430" s="42"/>
      <c r="E430" s="26"/>
      <c r="G430" s="54"/>
      <c r="N430" s="42"/>
    </row>
    <row r="431" spans="2:14" s="13" customFormat="1" x14ac:dyDescent="0.4">
      <c r="B431" s="25"/>
      <c r="D431" s="42"/>
      <c r="E431" s="26"/>
      <c r="G431" s="54"/>
      <c r="N431" s="42"/>
    </row>
    <row r="432" spans="2:14" s="13" customFormat="1" x14ac:dyDescent="0.4">
      <c r="B432" s="25"/>
      <c r="D432" s="42"/>
      <c r="E432" s="26"/>
      <c r="G432" s="54"/>
      <c r="N432" s="42"/>
    </row>
    <row r="433" spans="2:14" s="13" customFormat="1" x14ac:dyDescent="0.4">
      <c r="B433" s="25"/>
      <c r="D433" s="42"/>
      <c r="E433" s="26"/>
      <c r="G433" s="54"/>
      <c r="N433" s="42"/>
    </row>
    <row r="434" spans="2:14" s="13" customFormat="1" x14ac:dyDescent="0.4">
      <c r="B434" s="25"/>
      <c r="D434" s="42"/>
      <c r="E434" s="26"/>
      <c r="G434" s="54"/>
      <c r="N434" s="42"/>
    </row>
    <row r="435" spans="2:14" s="13" customFormat="1" x14ac:dyDescent="0.4">
      <c r="B435" s="25"/>
      <c r="D435" s="42"/>
      <c r="E435" s="26"/>
      <c r="G435" s="54"/>
      <c r="N435" s="42"/>
    </row>
    <row r="436" spans="2:14" s="13" customFormat="1" x14ac:dyDescent="0.4">
      <c r="B436" s="25"/>
      <c r="D436" s="42"/>
      <c r="E436" s="26"/>
      <c r="G436" s="54"/>
      <c r="N436" s="42"/>
    </row>
    <row r="437" spans="2:14" s="13" customFormat="1" x14ac:dyDescent="0.4">
      <c r="B437" s="25"/>
      <c r="D437" s="42"/>
      <c r="E437" s="26"/>
      <c r="G437" s="54"/>
      <c r="N437" s="42"/>
    </row>
    <row r="438" spans="2:14" s="13" customFormat="1" x14ac:dyDescent="0.4">
      <c r="B438" s="25"/>
      <c r="D438" s="42"/>
      <c r="E438" s="26"/>
      <c r="G438" s="54"/>
      <c r="N438" s="42"/>
    </row>
    <row r="439" spans="2:14" s="13" customFormat="1" x14ac:dyDescent="0.4">
      <c r="B439" s="25"/>
      <c r="D439" s="42"/>
      <c r="E439" s="26"/>
      <c r="G439" s="54"/>
      <c r="N439" s="42"/>
    </row>
    <row r="440" spans="2:14" s="13" customFormat="1" x14ac:dyDescent="0.4">
      <c r="B440" s="25"/>
      <c r="D440" s="42"/>
      <c r="E440" s="26"/>
      <c r="G440" s="54"/>
      <c r="N440" s="42"/>
    </row>
    <row r="441" spans="2:14" s="13" customFormat="1" x14ac:dyDescent="0.4">
      <c r="B441" s="25"/>
      <c r="D441" s="42"/>
      <c r="E441" s="26"/>
      <c r="G441" s="54"/>
      <c r="N441" s="42"/>
    </row>
    <row r="442" spans="2:14" s="13" customFormat="1" x14ac:dyDescent="0.4">
      <c r="B442" s="25"/>
      <c r="D442" s="42"/>
      <c r="E442" s="26"/>
      <c r="G442" s="54"/>
      <c r="N442" s="42"/>
    </row>
    <row r="443" spans="2:14" s="13" customFormat="1" x14ac:dyDescent="0.4">
      <c r="B443" s="25"/>
      <c r="D443" s="42"/>
      <c r="E443" s="26"/>
      <c r="G443" s="54"/>
      <c r="N443" s="42"/>
    </row>
    <row r="444" spans="2:14" s="13" customFormat="1" x14ac:dyDescent="0.4">
      <c r="B444" s="25"/>
      <c r="D444" s="42"/>
      <c r="E444" s="26"/>
      <c r="G444" s="54"/>
      <c r="N444" s="42"/>
    </row>
    <row r="445" spans="2:14" s="13" customFormat="1" x14ac:dyDescent="0.4">
      <c r="B445" s="25"/>
      <c r="D445" s="42"/>
      <c r="E445" s="26"/>
      <c r="G445" s="54"/>
      <c r="N445" s="42"/>
    </row>
    <row r="446" spans="2:14" s="13" customFormat="1" x14ac:dyDescent="0.4">
      <c r="B446" s="25"/>
      <c r="D446" s="42"/>
      <c r="E446" s="26"/>
      <c r="G446" s="54"/>
      <c r="N446" s="42"/>
    </row>
    <row r="447" spans="2:14" s="13" customFormat="1" x14ac:dyDescent="0.4">
      <c r="B447" s="25"/>
      <c r="D447" s="42"/>
      <c r="E447" s="26"/>
      <c r="G447" s="54"/>
      <c r="N447" s="42"/>
    </row>
    <row r="448" spans="2:14" s="13" customFormat="1" x14ac:dyDescent="0.4">
      <c r="B448" s="25"/>
      <c r="D448" s="42"/>
      <c r="E448" s="26"/>
      <c r="G448" s="54"/>
      <c r="N448" s="42"/>
    </row>
    <row r="449" spans="2:14" s="13" customFormat="1" x14ac:dyDescent="0.4">
      <c r="B449" s="25"/>
      <c r="D449" s="42"/>
      <c r="E449" s="26"/>
      <c r="G449" s="54"/>
      <c r="N449" s="42"/>
    </row>
    <row r="450" spans="2:14" s="13" customFormat="1" x14ac:dyDescent="0.4">
      <c r="B450" s="25"/>
      <c r="D450" s="42"/>
      <c r="E450" s="26"/>
      <c r="G450" s="54"/>
      <c r="N450" s="42"/>
    </row>
    <row r="451" spans="2:14" s="13" customFormat="1" x14ac:dyDescent="0.4">
      <c r="B451" s="25"/>
      <c r="D451" s="42"/>
      <c r="E451" s="26"/>
      <c r="G451" s="54"/>
      <c r="N451" s="42"/>
    </row>
    <row r="452" spans="2:14" s="13" customFormat="1" x14ac:dyDescent="0.4">
      <c r="B452" s="25"/>
      <c r="D452" s="42"/>
      <c r="E452" s="26"/>
      <c r="G452" s="54"/>
      <c r="N452" s="42"/>
    </row>
    <row r="453" spans="2:14" s="13" customFormat="1" x14ac:dyDescent="0.4">
      <c r="B453" s="25"/>
      <c r="D453" s="42"/>
      <c r="E453" s="26"/>
      <c r="G453" s="54"/>
      <c r="N453" s="42"/>
    </row>
    <row r="454" spans="2:14" s="13" customFormat="1" x14ac:dyDescent="0.4">
      <c r="B454" s="25"/>
      <c r="D454" s="42"/>
      <c r="E454" s="26"/>
      <c r="G454" s="54"/>
      <c r="N454" s="42"/>
    </row>
    <row r="455" spans="2:14" s="13" customFormat="1" x14ac:dyDescent="0.4">
      <c r="B455" s="25"/>
      <c r="D455" s="42"/>
      <c r="E455" s="26"/>
      <c r="G455" s="54"/>
      <c r="N455" s="42"/>
    </row>
    <row r="456" spans="2:14" s="13" customFormat="1" x14ac:dyDescent="0.4">
      <c r="B456" s="25"/>
      <c r="D456" s="42"/>
      <c r="E456" s="26"/>
      <c r="G456" s="54"/>
      <c r="N456" s="42"/>
    </row>
    <row r="457" spans="2:14" s="13" customFormat="1" x14ac:dyDescent="0.4">
      <c r="B457" s="25"/>
      <c r="D457" s="42"/>
      <c r="E457" s="26"/>
      <c r="G457" s="54"/>
      <c r="N457" s="42"/>
    </row>
    <row r="458" spans="2:14" s="13" customFormat="1" x14ac:dyDescent="0.4">
      <c r="B458" s="25"/>
      <c r="D458" s="42"/>
      <c r="E458" s="26"/>
      <c r="G458" s="54"/>
      <c r="N458" s="42"/>
    </row>
    <row r="459" spans="2:14" s="13" customFormat="1" x14ac:dyDescent="0.4">
      <c r="B459" s="25"/>
      <c r="D459" s="42"/>
      <c r="E459" s="26"/>
      <c r="G459" s="54"/>
      <c r="N459" s="42"/>
    </row>
    <row r="460" spans="2:14" s="13" customFormat="1" x14ac:dyDescent="0.4">
      <c r="B460" s="25"/>
      <c r="D460" s="42"/>
      <c r="E460" s="26"/>
      <c r="G460" s="54"/>
      <c r="N460" s="42"/>
    </row>
    <row r="461" spans="2:14" s="13" customFormat="1" x14ac:dyDescent="0.4">
      <c r="B461" s="25"/>
      <c r="D461" s="42"/>
      <c r="E461" s="26"/>
      <c r="G461" s="54"/>
      <c r="N461" s="42"/>
    </row>
    <row r="462" spans="2:14" s="13" customFormat="1" x14ac:dyDescent="0.4">
      <c r="B462" s="25"/>
      <c r="D462" s="42"/>
      <c r="E462" s="26"/>
      <c r="G462" s="54"/>
      <c r="N462" s="42"/>
    </row>
    <row r="463" spans="2:14" s="13" customFormat="1" x14ac:dyDescent="0.4">
      <c r="B463" s="25"/>
      <c r="D463" s="42"/>
      <c r="E463" s="26"/>
      <c r="G463" s="54"/>
      <c r="N463" s="42"/>
    </row>
    <row r="464" spans="2:14" s="13" customFormat="1" x14ac:dyDescent="0.4">
      <c r="B464" s="25"/>
      <c r="D464" s="42"/>
      <c r="E464" s="26"/>
      <c r="G464" s="54"/>
      <c r="N464" s="42"/>
    </row>
    <row r="465" spans="2:14" s="13" customFormat="1" x14ac:dyDescent="0.4">
      <c r="B465" s="25"/>
      <c r="D465" s="42"/>
      <c r="E465" s="26"/>
      <c r="G465" s="54"/>
      <c r="N465" s="42"/>
    </row>
    <row r="466" spans="2:14" s="13" customFormat="1" x14ac:dyDescent="0.4">
      <c r="B466" s="25"/>
      <c r="D466" s="42"/>
      <c r="E466" s="26"/>
      <c r="G466" s="54"/>
      <c r="N466" s="42"/>
    </row>
    <row r="467" spans="2:14" s="13" customFormat="1" x14ac:dyDescent="0.4">
      <c r="B467" s="25"/>
      <c r="D467" s="42"/>
      <c r="E467" s="26"/>
      <c r="G467" s="54"/>
      <c r="N467" s="42"/>
    </row>
    <row r="468" spans="2:14" s="13" customFormat="1" x14ac:dyDescent="0.4">
      <c r="B468" s="25"/>
      <c r="D468" s="42"/>
      <c r="E468" s="26"/>
      <c r="G468" s="54"/>
      <c r="N468" s="42"/>
    </row>
    <row r="469" spans="2:14" s="13" customFormat="1" x14ac:dyDescent="0.4">
      <c r="B469" s="25"/>
      <c r="D469" s="42"/>
      <c r="E469" s="26"/>
      <c r="G469" s="54"/>
      <c r="N469" s="42"/>
    </row>
    <row r="470" spans="2:14" s="13" customFormat="1" x14ac:dyDescent="0.4">
      <c r="B470" s="25"/>
      <c r="D470" s="42"/>
      <c r="E470" s="26"/>
      <c r="G470" s="54"/>
      <c r="N470" s="42"/>
    </row>
    <row r="471" spans="2:14" s="13" customFormat="1" x14ac:dyDescent="0.4">
      <c r="B471" s="25"/>
      <c r="D471" s="42"/>
      <c r="E471" s="26"/>
      <c r="G471" s="54"/>
      <c r="N471" s="42"/>
    </row>
    <row r="472" spans="2:14" s="13" customFormat="1" x14ac:dyDescent="0.4">
      <c r="B472" s="25"/>
      <c r="D472" s="42"/>
      <c r="E472" s="26"/>
      <c r="G472" s="54"/>
      <c r="N472" s="42"/>
    </row>
    <row r="473" spans="2:14" s="13" customFormat="1" x14ac:dyDescent="0.4">
      <c r="B473" s="25"/>
      <c r="D473" s="42"/>
      <c r="E473" s="26"/>
      <c r="G473" s="54"/>
      <c r="N473" s="42"/>
    </row>
    <row r="474" spans="2:14" s="13" customFormat="1" x14ac:dyDescent="0.4">
      <c r="B474" s="25"/>
      <c r="D474" s="42"/>
      <c r="E474" s="26"/>
      <c r="G474" s="54"/>
      <c r="N474" s="42"/>
    </row>
    <row r="475" spans="2:14" s="13" customFormat="1" x14ac:dyDescent="0.4">
      <c r="B475" s="25"/>
      <c r="D475" s="42"/>
      <c r="E475" s="26"/>
      <c r="G475" s="54"/>
      <c r="N475" s="42"/>
    </row>
    <row r="476" spans="2:14" s="13" customFormat="1" x14ac:dyDescent="0.4">
      <c r="B476" s="25"/>
      <c r="D476" s="42"/>
      <c r="E476" s="26"/>
      <c r="G476" s="54"/>
      <c r="N476" s="42"/>
    </row>
    <row r="477" spans="2:14" s="13" customFormat="1" x14ac:dyDescent="0.4">
      <c r="B477" s="25"/>
      <c r="D477" s="42"/>
      <c r="E477" s="26"/>
      <c r="G477" s="54"/>
      <c r="N477" s="42"/>
    </row>
    <row r="478" spans="2:14" s="13" customFormat="1" x14ac:dyDescent="0.4">
      <c r="B478" s="25"/>
      <c r="D478" s="42"/>
      <c r="E478" s="26"/>
      <c r="G478" s="54"/>
      <c r="N478" s="42"/>
    </row>
    <row r="479" spans="2:14" s="13" customFormat="1" x14ac:dyDescent="0.4">
      <c r="B479" s="25"/>
      <c r="D479" s="42"/>
      <c r="E479" s="26"/>
      <c r="G479" s="54"/>
      <c r="N479" s="42"/>
    </row>
    <row r="480" spans="2:14" s="13" customFormat="1" x14ac:dyDescent="0.4">
      <c r="B480" s="25"/>
      <c r="D480" s="42"/>
      <c r="E480" s="26"/>
      <c r="G480" s="54"/>
      <c r="N480" s="42"/>
    </row>
    <row r="481" spans="2:14" s="13" customFormat="1" x14ac:dyDescent="0.4">
      <c r="B481" s="25"/>
      <c r="D481" s="42"/>
      <c r="E481" s="26"/>
      <c r="G481" s="54"/>
      <c r="N481" s="42"/>
    </row>
    <row r="482" spans="2:14" s="13" customFormat="1" x14ac:dyDescent="0.4">
      <c r="B482" s="25"/>
      <c r="D482" s="42"/>
      <c r="E482" s="26"/>
      <c r="G482" s="54"/>
      <c r="N482" s="42"/>
    </row>
    <row r="483" spans="2:14" s="13" customFormat="1" x14ac:dyDescent="0.4">
      <c r="B483" s="25"/>
      <c r="D483" s="42"/>
      <c r="E483" s="26"/>
      <c r="G483" s="54"/>
      <c r="N483" s="42"/>
    </row>
    <row r="484" spans="2:14" s="13" customFormat="1" x14ac:dyDescent="0.4">
      <c r="B484" s="25"/>
      <c r="D484" s="42"/>
      <c r="E484" s="26"/>
      <c r="G484" s="54"/>
      <c r="N484" s="42"/>
    </row>
    <row r="485" spans="2:14" s="13" customFormat="1" x14ac:dyDescent="0.4">
      <c r="B485" s="25"/>
      <c r="D485" s="42"/>
      <c r="E485" s="26"/>
      <c r="G485" s="54"/>
      <c r="N485" s="42"/>
    </row>
    <row r="486" spans="2:14" s="13" customFormat="1" x14ac:dyDescent="0.4">
      <c r="B486" s="25"/>
      <c r="D486" s="42"/>
      <c r="E486" s="26"/>
      <c r="G486" s="54"/>
      <c r="N486" s="42"/>
    </row>
    <row r="487" spans="2:14" s="13" customFormat="1" x14ac:dyDescent="0.4">
      <c r="B487" s="25"/>
      <c r="D487" s="42"/>
      <c r="E487" s="26"/>
      <c r="G487" s="54"/>
      <c r="N487" s="42"/>
    </row>
    <row r="488" spans="2:14" s="13" customFormat="1" x14ac:dyDescent="0.4">
      <c r="B488" s="25"/>
      <c r="D488" s="42"/>
      <c r="E488" s="26"/>
      <c r="G488" s="54"/>
      <c r="N488" s="42"/>
    </row>
    <row r="489" spans="2:14" s="13" customFormat="1" x14ac:dyDescent="0.4">
      <c r="B489" s="25"/>
      <c r="D489" s="42"/>
      <c r="E489" s="26"/>
      <c r="G489" s="54"/>
      <c r="N489" s="42"/>
    </row>
    <row r="490" spans="2:14" s="13" customFormat="1" x14ac:dyDescent="0.4">
      <c r="B490" s="25"/>
      <c r="D490" s="42"/>
      <c r="E490" s="26"/>
      <c r="G490" s="54"/>
      <c r="N490" s="42"/>
    </row>
    <row r="491" spans="2:14" s="13" customFormat="1" x14ac:dyDescent="0.4">
      <c r="B491" s="25"/>
      <c r="D491" s="42"/>
      <c r="E491" s="26"/>
      <c r="G491" s="54"/>
      <c r="N491" s="42"/>
    </row>
    <row r="492" spans="2:14" s="13" customFormat="1" x14ac:dyDescent="0.4">
      <c r="B492" s="25"/>
      <c r="D492" s="42"/>
      <c r="E492" s="26"/>
      <c r="G492" s="54"/>
      <c r="N492" s="42"/>
    </row>
    <row r="493" spans="2:14" s="13" customFormat="1" x14ac:dyDescent="0.4">
      <c r="B493" s="25"/>
      <c r="D493" s="42"/>
      <c r="E493" s="26"/>
      <c r="G493" s="54"/>
      <c r="N493" s="42"/>
    </row>
    <row r="494" spans="2:14" s="13" customFormat="1" x14ac:dyDescent="0.4">
      <c r="B494" s="25"/>
      <c r="D494" s="42"/>
      <c r="E494" s="26"/>
      <c r="G494" s="54"/>
      <c r="N494" s="42"/>
    </row>
    <row r="495" spans="2:14" s="13" customFormat="1" x14ac:dyDescent="0.4">
      <c r="B495" s="25"/>
      <c r="D495" s="42"/>
      <c r="E495" s="26"/>
      <c r="G495" s="54"/>
      <c r="N495" s="42"/>
    </row>
    <row r="496" spans="2:14" s="13" customFormat="1" x14ac:dyDescent="0.4">
      <c r="B496" s="25"/>
      <c r="D496" s="42"/>
      <c r="E496" s="26"/>
      <c r="G496" s="54"/>
      <c r="N496" s="42"/>
    </row>
    <row r="497" spans="2:14" s="13" customFormat="1" x14ac:dyDescent="0.4">
      <c r="B497" s="25"/>
      <c r="D497" s="42"/>
      <c r="E497" s="26"/>
      <c r="G497" s="54"/>
      <c r="N497" s="42"/>
    </row>
    <row r="498" spans="2:14" s="13" customFormat="1" x14ac:dyDescent="0.4">
      <c r="B498" s="25"/>
      <c r="D498" s="42"/>
      <c r="E498" s="26"/>
      <c r="G498" s="54"/>
      <c r="N498" s="42"/>
    </row>
    <row r="499" spans="2:14" s="13" customFormat="1" x14ac:dyDescent="0.4">
      <c r="B499" s="25"/>
      <c r="D499" s="42"/>
      <c r="E499" s="26"/>
      <c r="G499" s="54"/>
      <c r="N499" s="42"/>
    </row>
    <row r="500" spans="2:14" s="13" customFormat="1" x14ac:dyDescent="0.4">
      <c r="B500" s="25"/>
      <c r="D500" s="42"/>
      <c r="E500" s="26"/>
      <c r="G500" s="54"/>
      <c r="N500" s="42"/>
    </row>
    <row r="501" spans="2:14" s="13" customFormat="1" x14ac:dyDescent="0.4">
      <c r="B501" s="25"/>
      <c r="D501" s="42"/>
      <c r="E501" s="26"/>
      <c r="G501" s="54"/>
      <c r="N501" s="42"/>
    </row>
    <row r="502" spans="2:14" s="13" customFormat="1" x14ac:dyDescent="0.4">
      <c r="B502" s="25"/>
      <c r="D502" s="42"/>
      <c r="E502" s="26"/>
      <c r="G502" s="54"/>
      <c r="N502" s="42"/>
    </row>
    <row r="503" spans="2:14" s="13" customFormat="1" x14ac:dyDescent="0.4">
      <c r="B503" s="25"/>
      <c r="D503" s="42"/>
      <c r="E503" s="26"/>
      <c r="G503" s="54"/>
      <c r="N503" s="42"/>
    </row>
    <row r="504" spans="2:14" s="13" customFormat="1" x14ac:dyDescent="0.4">
      <c r="B504" s="25"/>
      <c r="D504" s="42"/>
      <c r="E504" s="26"/>
      <c r="G504" s="54"/>
      <c r="N504" s="42"/>
    </row>
    <row r="505" spans="2:14" s="13" customFormat="1" x14ac:dyDescent="0.4">
      <c r="B505" s="25"/>
      <c r="D505" s="42"/>
      <c r="E505" s="26"/>
      <c r="G505" s="54"/>
      <c r="N505" s="42"/>
    </row>
    <row r="506" spans="2:14" s="13" customFormat="1" x14ac:dyDescent="0.4">
      <c r="B506" s="25"/>
      <c r="D506" s="42"/>
      <c r="E506" s="26"/>
      <c r="G506" s="54"/>
      <c r="N506" s="42"/>
    </row>
    <row r="507" spans="2:14" s="13" customFormat="1" x14ac:dyDescent="0.4">
      <c r="B507" s="25"/>
      <c r="D507" s="42"/>
      <c r="E507" s="26"/>
      <c r="G507" s="54"/>
      <c r="N507" s="42"/>
    </row>
    <row r="508" spans="2:14" s="13" customFormat="1" x14ac:dyDescent="0.4">
      <c r="B508" s="25"/>
      <c r="D508" s="42"/>
      <c r="E508" s="26"/>
      <c r="G508" s="54"/>
      <c r="N508" s="42"/>
    </row>
    <row r="509" spans="2:14" s="13" customFormat="1" x14ac:dyDescent="0.4">
      <c r="B509" s="25"/>
      <c r="D509" s="42"/>
      <c r="E509" s="26"/>
      <c r="G509" s="54"/>
      <c r="N509" s="42"/>
    </row>
    <row r="510" spans="2:14" s="13" customFormat="1" x14ac:dyDescent="0.4">
      <c r="B510" s="25"/>
      <c r="D510" s="42"/>
      <c r="E510" s="26"/>
      <c r="G510" s="54"/>
      <c r="N510" s="42"/>
    </row>
    <row r="511" spans="2:14" s="13" customFormat="1" x14ac:dyDescent="0.4">
      <c r="B511" s="25"/>
      <c r="D511" s="42"/>
      <c r="E511" s="26"/>
      <c r="G511" s="54"/>
      <c r="N511" s="42"/>
    </row>
    <row r="512" spans="2:14" s="13" customFormat="1" x14ac:dyDescent="0.4">
      <c r="B512" s="25"/>
      <c r="D512" s="42"/>
      <c r="E512" s="26"/>
      <c r="G512" s="54"/>
      <c r="N512" s="42"/>
    </row>
    <row r="513" spans="2:14" s="13" customFormat="1" x14ac:dyDescent="0.4">
      <c r="B513" s="25"/>
      <c r="D513" s="42"/>
      <c r="E513" s="26"/>
      <c r="G513" s="54"/>
      <c r="N513" s="42"/>
    </row>
    <row r="514" spans="2:14" s="13" customFormat="1" x14ac:dyDescent="0.4">
      <c r="B514" s="25"/>
      <c r="D514" s="42"/>
      <c r="E514" s="26"/>
      <c r="G514" s="54"/>
      <c r="N514" s="42"/>
    </row>
    <row r="515" spans="2:14" s="13" customFormat="1" x14ac:dyDescent="0.4">
      <c r="B515" s="25"/>
      <c r="D515" s="42"/>
      <c r="E515" s="26"/>
      <c r="G515" s="54"/>
      <c r="N515" s="42"/>
    </row>
    <row r="516" spans="2:14" s="13" customFormat="1" x14ac:dyDescent="0.4">
      <c r="B516" s="25"/>
      <c r="D516" s="42"/>
      <c r="E516" s="26"/>
      <c r="G516" s="54"/>
      <c r="N516" s="42"/>
    </row>
    <row r="517" spans="2:14" s="13" customFormat="1" x14ac:dyDescent="0.4">
      <c r="B517" s="25"/>
      <c r="D517" s="42"/>
      <c r="E517" s="26"/>
      <c r="G517" s="54"/>
      <c r="N517" s="42"/>
    </row>
    <row r="518" spans="2:14" s="13" customFormat="1" x14ac:dyDescent="0.4">
      <c r="B518" s="25"/>
      <c r="D518" s="42"/>
      <c r="E518" s="26"/>
      <c r="G518" s="54"/>
      <c r="N518" s="42"/>
    </row>
    <row r="519" spans="2:14" s="13" customFormat="1" x14ac:dyDescent="0.4">
      <c r="B519" s="25"/>
      <c r="D519" s="42"/>
      <c r="E519" s="26"/>
      <c r="G519" s="54"/>
      <c r="N519" s="42"/>
    </row>
    <row r="520" spans="2:14" s="13" customFormat="1" x14ac:dyDescent="0.4">
      <c r="B520" s="25"/>
      <c r="D520" s="42"/>
      <c r="E520" s="26"/>
      <c r="G520" s="54"/>
      <c r="N520" s="42"/>
    </row>
    <row r="521" spans="2:14" s="13" customFormat="1" x14ac:dyDescent="0.4">
      <c r="B521" s="25"/>
      <c r="D521" s="42"/>
      <c r="E521" s="26"/>
      <c r="G521" s="54"/>
      <c r="N521" s="42"/>
    </row>
    <row r="522" spans="2:14" s="13" customFormat="1" x14ac:dyDescent="0.4">
      <c r="B522" s="25"/>
      <c r="D522" s="42"/>
      <c r="E522" s="26"/>
      <c r="G522" s="54"/>
      <c r="N522" s="42"/>
    </row>
    <row r="523" spans="2:14" s="13" customFormat="1" x14ac:dyDescent="0.4">
      <c r="B523" s="25"/>
      <c r="D523" s="42"/>
      <c r="E523" s="26"/>
      <c r="G523" s="54"/>
      <c r="N523" s="42"/>
    </row>
    <row r="524" spans="2:14" s="13" customFormat="1" x14ac:dyDescent="0.4">
      <c r="B524" s="25"/>
      <c r="D524" s="42"/>
      <c r="E524" s="26"/>
      <c r="G524" s="54"/>
      <c r="N524" s="42"/>
    </row>
    <row r="525" spans="2:14" s="13" customFormat="1" x14ac:dyDescent="0.4">
      <c r="B525" s="25"/>
      <c r="D525" s="42"/>
      <c r="E525" s="26"/>
      <c r="G525" s="54"/>
      <c r="N525" s="42"/>
    </row>
    <row r="526" spans="2:14" s="13" customFormat="1" x14ac:dyDescent="0.4">
      <c r="B526" s="25"/>
      <c r="D526" s="42"/>
      <c r="E526" s="26"/>
      <c r="G526" s="54"/>
      <c r="N526" s="42"/>
    </row>
    <row r="527" spans="2:14" s="13" customFormat="1" x14ac:dyDescent="0.4">
      <c r="B527" s="25"/>
      <c r="D527" s="42"/>
      <c r="E527" s="26"/>
      <c r="G527" s="54"/>
      <c r="N527" s="42"/>
    </row>
    <row r="528" spans="2:14" s="13" customFormat="1" x14ac:dyDescent="0.4">
      <c r="B528" s="25"/>
      <c r="D528" s="42"/>
      <c r="E528" s="26"/>
      <c r="G528" s="54"/>
      <c r="N528" s="42"/>
    </row>
    <row r="529" spans="2:14" s="13" customFormat="1" x14ac:dyDescent="0.4">
      <c r="B529" s="25"/>
      <c r="D529" s="42"/>
      <c r="E529" s="26"/>
      <c r="G529" s="54"/>
      <c r="N529" s="42"/>
    </row>
    <row r="530" spans="2:14" s="13" customFormat="1" x14ac:dyDescent="0.4">
      <c r="B530" s="25"/>
      <c r="D530" s="42"/>
      <c r="E530" s="26"/>
      <c r="G530" s="54"/>
      <c r="N530" s="42"/>
    </row>
    <row r="531" spans="2:14" s="13" customFormat="1" x14ac:dyDescent="0.4">
      <c r="B531" s="25"/>
      <c r="D531" s="42"/>
      <c r="E531" s="26"/>
      <c r="G531" s="54"/>
      <c r="N531" s="42"/>
    </row>
    <row r="532" spans="2:14" s="13" customFormat="1" x14ac:dyDescent="0.4">
      <c r="B532" s="25"/>
      <c r="D532" s="42"/>
      <c r="E532" s="26"/>
      <c r="G532" s="54"/>
      <c r="N532" s="42"/>
    </row>
    <row r="533" spans="2:14" s="13" customFormat="1" x14ac:dyDescent="0.4">
      <c r="B533" s="25"/>
      <c r="D533" s="42"/>
      <c r="E533" s="26"/>
      <c r="G533" s="54"/>
      <c r="N533" s="42"/>
    </row>
    <row r="534" spans="2:14" s="13" customFormat="1" x14ac:dyDescent="0.4">
      <c r="B534" s="25"/>
      <c r="D534" s="42"/>
      <c r="E534" s="26"/>
      <c r="G534" s="54"/>
      <c r="N534" s="42"/>
    </row>
    <row r="535" spans="2:14" s="13" customFormat="1" x14ac:dyDescent="0.4">
      <c r="B535" s="25"/>
      <c r="D535" s="42"/>
      <c r="E535" s="26"/>
      <c r="G535" s="54"/>
      <c r="N535" s="42"/>
    </row>
    <row r="536" spans="2:14" s="13" customFormat="1" x14ac:dyDescent="0.4">
      <c r="B536" s="25"/>
      <c r="D536" s="42"/>
      <c r="E536" s="26"/>
      <c r="G536" s="54"/>
      <c r="N536" s="42"/>
    </row>
    <row r="537" spans="2:14" s="13" customFormat="1" x14ac:dyDescent="0.4">
      <c r="B537" s="25"/>
      <c r="D537" s="42"/>
      <c r="E537" s="26"/>
      <c r="G537" s="54"/>
      <c r="N537" s="42"/>
    </row>
    <row r="538" spans="2:14" s="13" customFormat="1" x14ac:dyDescent="0.4">
      <c r="B538" s="25"/>
      <c r="D538" s="42"/>
      <c r="E538" s="26"/>
      <c r="G538" s="54"/>
      <c r="N538" s="42"/>
    </row>
    <row r="539" spans="2:14" s="13" customFormat="1" x14ac:dyDescent="0.4">
      <c r="B539" s="25"/>
      <c r="D539" s="42"/>
      <c r="E539" s="26"/>
      <c r="G539" s="54"/>
      <c r="N539" s="42"/>
    </row>
    <row r="540" spans="2:14" s="13" customFormat="1" x14ac:dyDescent="0.4">
      <c r="B540" s="25"/>
      <c r="D540" s="42"/>
      <c r="E540" s="26"/>
      <c r="G540" s="54"/>
      <c r="N540" s="42"/>
    </row>
    <row r="541" spans="2:14" s="13" customFormat="1" x14ac:dyDescent="0.4">
      <c r="B541" s="25"/>
      <c r="D541" s="42"/>
      <c r="E541" s="26"/>
      <c r="G541" s="54"/>
      <c r="N541" s="42"/>
    </row>
    <row r="542" spans="2:14" s="13" customFormat="1" x14ac:dyDescent="0.4">
      <c r="B542" s="25"/>
      <c r="D542" s="42"/>
      <c r="E542" s="26"/>
      <c r="G542" s="54"/>
      <c r="N542" s="42"/>
    </row>
    <row r="543" spans="2:14" s="13" customFormat="1" x14ac:dyDescent="0.4">
      <c r="B543" s="25"/>
      <c r="D543" s="42"/>
      <c r="E543" s="26"/>
      <c r="G543" s="54"/>
      <c r="N543" s="42"/>
    </row>
    <row r="544" spans="2:14" s="13" customFormat="1" x14ac:dyDescent="0.4">
      <c r="B544" s="25"/>
      <c r="D544" s="42"/>
      <c r="E544" s="26"/>
      <c r="G544" s="54"/>
      <c r="N544" s="42"/>
    </row>
    <row r="545" spans="2:14" s="13" customFormat="1" x14ac:dyDescent="0.4">
      <c r="B545" s="25"/>
      <c r="D545" s="42"/>
      <c r="E545" s="26"/>
      <c r="G545" s="54"/>
      <c r="N545" s="42"/>
    </row>
    <row r="546" spans="2:14" s="13" customFormat="1" x14ac:dyDescent="0.4">
      <c r="B546" s="25"/>
      <c r="D546" s="42"/>
      <c r="E546" s="26"/>
      <c r="G546" s="54"/>
      <c r="N546" s="42"/>
    </row>
    <row r="547" spans="2:14" s="13" customFormat="1" x14ac:dyDescent="0.4">
      <c r="B547" s="25"/>
      <c r="D547" s="42"/>
      <c r="E547" s="26"/>
      <c r="G547" s="54"/>
      <c r="N547" s="42"/>
    </row>
    <row r="548" spans="2:14" s="13" customFormat="1" x14ac:dyDescent="0.4">
      <c r="B548" s="25"/>
      <c r="D548" s="42"/>
      <c r="E548" s="26"/>
      <c r="G548" s="54"/>
      <c r="N548" s="42"/>
    </row>
    <row r="549" spans="2:14" s="13" customFormat="1" x14ac:dyDescent="0.4">
      <c r="B549" s="25"/>
      <c r="D549" s="42"/>
      <c r="E549" s="26"/>
      <c r="G549" s="54"/>
      <c r="N549" s="42"/>
    </row>
    <row r="550" spans="2:14" s="13" customFormat="1" x14ac:dyDescent="0.4">
      <c r="B550" s="25"/>
      <c r="D550" s="42"/>
      <c r="E550" s="26"/>
      <c r="G550" s="54"/>
      <c r="N550" s="42"/>
    </row>
    <row r="551" spans="2:14" s="13" customFormat="1" x14ac:dyDescent="0.4">
      <c r="B551" s="25"/>
      <c r="D551" s="42"/>
      <c r="E551" s="26"/>
      <c r="G551" s="54"/>
      <c r="N551" s="42"/>
    </row>
    <row r="552" spans="2:14" s="13" customFormat="1" x14ac:dyDescent="0.4">
      <c r="B552" s="25"/>
      <c r="D552" s="42"/>
      <c r="E552" s="26"/>
      <c r="G552" s="54"/>
      <c r="N552" s="42"/>
    </row>
    <row r="553" spans="2:14" s="13" customFormat="1" x14ac:dyDescent="0.4">
      <c r="B553" s="25"/>
      <c r="D553" s="42"/>
      <c r="E553" s="26"/>
      <c r="G553" s="54"/>
      <c r="N553" s="42"/>
    </row>
    <row r="554" spans="2:14" s="13" customFormat="1" x14ac:dyDescent="0.4">
      <c r="B554" s="25"/>
      <c r="D554" s="42"/>
      <c r="E554" s="26"/>
      <c r="G554" s="54"/>
      <c r="N554" s="42"/>
    </row>
    <row r="555" spans="2:14" s="13" customFormat="1" x14ac:dyDescent="0.4">
      <c r="B555" s="25"/>
      <c r="D555" s="42"/>
      <c r="E555" s="26"/>
      <c r="G555" s="54"/>
      <c r="N555" s="42"/>
    </row>
    <row r="556" spans="2:14" s="13" customFormat="1" x14ac:dyDescent="0.4">
      <c r="B556" s="25"/>
      <c r="D556" s="42"/>
      <c r="E556" s="26"/>
      <c r="G556" s="54"/>
      <c r="N556" s="42"/>
    </row>
    <row r="557" spans="2:14" s="13" customFormat="1" x14ac:dyDescent="0.4">
      <c r="B557" s="25"/>
      <c r="D557" s="42"/>
      <c r="E557" s="26"/>
      <c r="G557" s="54"/>
      <c r="N557" s="42"/>
    </row>
    <row r="558" spans="2:14" s="13" customFormat="1" x14ac:dyDescent="0.4">
      <c r="B558" s="25"/>
      <c r="D558" s="42"/>
      <c r="E558" s="26"/>
      <c r="G558" s="54"/>
      <c r="N558" s="42"/>
    </row>
    <row r="559" spans="2:14" s="13" customFormat="1" x14ac:dyDescent="0.4">
      <c r="B559" s="25"/>
      <c r="D559" s="42"/>
      <c r="E559" s="26"/>
      <c r="G559" s="54"/>
      <c r="N559" s="42"/>
    </row>
    <row r="560" spans="2:14" s="13" customFormat="1" x14ac:dyDescent="0.4">
      <c r="B560" s="25"/>
      <c r="D560" s="42"/>
      <c r="E560" s="26"/>
      <c r="G560" s="54"/>
      <c r="N560" s="42"/>
    </row>
    <row r="561" spans="2:14" s="13" customFormat="1" x14ac:dyDescent="0.4">
      <c r="B561" s="25"/>
      <c r="D561" s="42"/>
      <c r="E561" s="26"/>
      <c r="G561" s="54"/>
      <c r="N561" s="42"/>
    </row>
    <row r="562" spans="2:14" s="13" customFormat="1" x14ac:dyDescent="0.4">
      <c r="B562" s="25"/>
      <c r="D562" s="42"/>
      <c r="E562" s="26"/>
      <c r="G562" s="54"/>
      <c r="N562" s="42"/>
    </row>
    <row r="563" spans="2:14" s="13" customFormat="1" x14ac:dyDescent="0.4">
      <c r="B563" s="25"/>
      <c r="D563" s="42"/>
      <c r="E563" s="26"/>
      <c r="G563" s="54"/>
      <c r="N563" s="42"/>
    </row>
    <row r="564" spans="2:14" s="13" customFormat="1" x14ac:dyDescent="0.4">
      <c r="B564" s="25"/>
      <c r="D564" s="42"/>
      <c r="E564" s="26"/>
      <c r="G564" s="54"/>
      <c r="N564" s="42"/>
    </row>
    <row r="565" spans="2:14" s="13" customFormat="1" x14ac:dyDescent="0.4">
      <c r="B565" s="25"/>
      <c r="D565" s="42"/>
      <c r="E565" s="26"/>
      <c r="G565" s="54"/>
      <c r="N565" s="42"/>
    </row>
    <row r="566" spans="2:14" s="13" customFormat="1" x14ac:dyDescent="0.4">
      <c r="B566" s="25"/>
      <c r="D566" s="42"/>
      <c r="E566" s="26"/>
      <c r="G566" s="54"/>
      <c r="N566" s="42"/>
    </row>
    <row r="567" spans="2:14" s="13" customFormat="1" x14ac:dyDescent="0.4">
      <c r="B567" s="25"/>
      <c r="D567" s="42"/>
      <c r="E567" s="26"/>
      <c r="G567" s="54"/>
      <c r="N567" s="42"/>
    </row>
    <row r="568" spans="2:14" s="13" customFormat="1" x14ac:dyDescent="0.4">
      <c r="B568" s="25"/>
      <c r="D568" s="42"/>
      <c r="E568" s="26"/>
      <c r="G568" s="54"/>
      <c r="N568" s="42"/>
    </row>
    <row r="569" spans="2:14" s="13" customFormat="1" x14ac:dyDescent="0.4">
      <c r="B569" s="25"/>
      <c r="D569" s="42"/>
      <c r="E569" s="26"/>
      <c r="G569" s="54"/>
      <c r="N569" s="42"/>
    </row>
    <row r="570" spans="2:14" s="13" customFormat="1" x14ac:dyDescent="0.4">
      <c r="B570" s="25"/>
      <c r="D570" s="42"/>
      <c r="E570" s="26"/>
      <c r="G570" s="54"/>
      <c r="N570" s="42"/>
    </row>
    <row r="571" spans="2:14" s="13" customFormat="1" x14ac:dyDescent="0.4">
      <c r="B571" s="25"/>
      <c r="D571" s="42"/>
      <c r="E571" s="26"/>
      <c r="G571" s="54"/>
      <c r="N571" s="42"/>
    </row>
    <row r="572" spans="2:14" s="13" customFormat="1" x14ac:dyDescent="0.4">
      <c r="B572" s="25"/>
      <c r="D572" s="42"/>
      <c r="E572" s="26"/>
      <c r="G572" s="54"/>
      <c r="N572" s="42"/>
    </row>
    <row r="573" spans="2:14" s="13" customFormat="1" x14ac:dyDescent="0.4">
      <c r="B573" s="25"/>
      <c r="D573" s="42"/>
      <c r="E573" s="26"/>
      <c r="G573" s="54"/>
      <c r="N573" s="42"/>
    </row>
    <row r="574" spans="2:14" s="13" customFormat="1" x14ac:dyDescent="0.4">
      <c r="B574" s="25"/>
      <c r="D574" s="42"/>
      <c r="E574" s="26"/>
      <c r="G574" s="54"/>
      <c r="N574" s="42"/>
    </row>
    <row r="575" spans="2:14" s="13" customFormat="1" x14ac:dyDescent="0.4">
      <c r="B575" s="25"/>
      <c r="D575" s="42"/>
      <c r="E575" s="26"/>
      <c r="G575" s="54"/>
      <c r="N575" s="42"/>
    </row>
    <row r="576" spans="2:14" s="13" customFormat="1" x14ac:dyDescent="0.4">
      <c r="B576" s="25"/>
      <c r="D576" s="42"/>
      <c r="E576" s="26"/>
      <c r="G576" s="54"/>
      <c r="N576" s="42"/>
    </row>
    <row r="577" spans="2:14" s="13" customFormat="1" x14ac:dyDescent="0.4">
      <c r="B577" s="25"/>
      <c r="D577" s="42"/>
      <c r="E577" s="26"/>
      <c r="G577" s="54"/>
      <c r="N577" s="42"/>
    </row>
    <row r="578" spans="2:14" s="13" customFormat="1" x14ac:dyDescent="0.4">
      <c r="B578" s="25"/>
      <c r="D578" s="42"/>
      <c r="E578" s="26"/>
      <c r="G578" s="54"/>
      <c r="N578" s="42"/>
    </row>
    <row r="579" spans="2:14" s="13" customFormat="1" x14ac:dyDescent="0.4">
      <c r="B579" s="25"/>
      <c r="D579" s="42"/>
      <c r="E579" s="26"/>
      <c r="G579" s="54"/>
      <c r="N579" s="42"/>
    </row>
    <row r="580" spans="2:14" s="13" customFormat="1" x14ac:dyDescent="0.4">
      <c r="B580" s="25"/>
      <c r="D580" s="42"/>
      <c r="E580" s="26"/>
      <c r="G580" s="54"/>
      <c r="N580" s="42"/>
    </row>
    <row r="581" spans="2:14" s="13" customFormat="1" x14ac:dyDescent="0.4">
      <c r="B581" s="25"/>
      <c r="D581" s="42"/>
      <c r="E581" s="26"/>
      <c r="G581" s="54"/>
      <c r="N581" s="42"/>
    </row>
    <row r="582" spans="2:14" s="13" customFormat="1" x14ac:dyDescent="0.4">
      <c r="B582" s="25"/>
      <c r="D582" s="42"/>
      <c r="E582" s="26"/>
      <c r="G582" s="54"/>
      <c r="N582" s="42"/>
    </row>
    <row r="583" spans="2:14" s="13" customFormat="1" x14ac:dyDescent="0.4">
      <c r="B583" s="25"/>
      <c r="D583" s="42"/>
      <c r="E583" s="26"/>
      <c r="G583" s="54"/>
      <c r="N583" s="42"/>
    </row>
    <row r="584" spans="2:14" s="13" customFormat="1" x14ac:dyDescent="0.4">
      <c r="B584" s="25"/>
      <c r="D584" s="42"/>
      <c r="E584" s="26"/>
      <c r="G584" s="54"/>
      <c r="N584" s="42"/>
    </row>
    <row r="585" spans="2:14" s="13" customFormat="1" x14ac:dyDescent="0.4">
      <c r="B585" s="25"/>
      <c r="D585" s="42"/>
      <c r="E585" s="26"/>
      <c r="G585" s="54"/>
      <c r="N585" s="42"/>
    </row>
    <row r="586" spans="2:14" s="13" customFormat="1" x14ac:dyDescent="0.4">
      <c r="B586" s="25"/>
      <c r="D586" s="42"/>
      <c r="E586" s="26"/>
      <c r="G586" s="54"/>
      <c r="N586" s="42"/>
    </row>
    <row r="587" spans="2:14" s="13" customFormat="1" x14ac:dyDescent="0.4">
      <c r="B587" s="25"/>
      <c r="D587" s="42"/>
      <c r="E587" s="26"/>
      <c r="G587" s="54"/>
      <c r="N587" s="42"/>
    </row>
    <row r="588" spans="2:14" s="13" customFormat="1" x14ac:dyDescent="0.4">
      <c r="B588" s="25"/>
      <c r="D588" s="42"/>
      <c r="E588" s="26"/>
      <c r="G588" s="54"/>
      <c r="N588" s="42"/>
    </row>
    <row r="589" spans="2:14" s="13" customFormat="1" x14ac:dyDescent="0.4">
      <c r="B589" s="25"/>
      <c r="D589" s="42"/>
      <c r="E589" s="26"/>
      <c r="G589" s="54"/>
      <c r="N589" s="42"/>
    </row>
    <row r="590" spans="2:14" s="13" customFormat="1" x14ac:dyDescent="0.4">
      <c r="B590" s="25"/>
      <c r="D590" s="42"/>
      <c r="E590" s="26"/>
      <c r="G590" s="54"/>
      <c r="N590" s="42"/>
    </row>
    <row r="591" spans="2:14" s="13" customFormat="1" x14ac:dyDescent="0.4">
      <c r="B591" s="25"/>
      <c r="D591" s="42"/>
      <c r="E591" s="26"/>
      <c r="G591" s="54"/>
      <c r="N591" s="42"/>
    </row>
    <row r="592" spans="2:14" s="13" customFormat="1" x14ac:dyDescent="0.4">
      <c r="B592" s="25"/>
      <c r="D592" s="42"/>
      <c r="E592" s="26"/>
      <c r="G592" s="54"/>
      <c r="N592" s="42"/>
    </row>
    <row r="593" spans="2:14" s="13" customFormat="1" x14ac:dyDescent="0.4">
      <c r="B593" s="25"/>
      <c r="D593" s="42"/>
      <c r="E593" s="26"/>
      <c r="G593" s="54"/>
      <c r="N593" s="42"/>
    </row>
    <row r="594" spans="2:14" s="13" customFormat="1" x14ac:dyDescent="0.4">
      <c r="B594" s="25"/>
      <c r="D594" s="42"/>
      <c r="E594" s="26"/>
      <c r="G594" s="54"/>
      <c r="N594" s="42"/>
    </row>
    <row r="595" spans="2:14" s="13" customFormat="1" x14ac:dyDescent="0.4">
      <c r="B595" s="25"/>
      <c r="D595" s="42"/>
      <c r="E595" s="26"/>
      <c r="G595" s="54"/>
      <c r="N595" s="42"/>
    </row>
    <row r="596" spans="2:14" s="13" customFormat="1" x14ac:dyDescent="0.4">
      <c r="B596" s="25"/>
      <c r="D596" s="42"/>
      <c r="E596" s="26"/>
      <c r="G596" s="54"/>
      <c r="N596" s="42"/>
    </row>
    <row r="597" spans="2:14" s="13" customFormat="1" x14ac:dyDescent="0.4">
      <c r="B597" s="25"/>
      <c r="D597" s="42"/>
      <c r="E597" s="26"/>
      <c r="G597" s="54"/>
      <c r="N597" s="42"/>
    </row>
    <row r="598" spans="2:14" s="13" customFormat="1" x14ac:dyDescent="0.4">
      <c r="B598" s="25"/>
      <c r="D598" s="42"/>
      <c r="E598" s="26"/>
      <c r="G598" s="54"/>
      <c r="N598" s="42"/>
    </row>
    <row r="599" spans="2:14" s="13" customFormat="1" x14ac:dyDescent="0.4">
      <c r="B599" s="25"/>
      <c r="D599" s="42"/>
      <c r="E599" s="26"/>
      <c r="G599" s="54"/>
      <c r="N599" s="42"/>
    </row>
    <row r="600" spans="2:14" s="13" customFormat="1" x14ac:dyDescent="0.4">
      <c r="B600" s="25"/>
      <c r="D600" s="42"/>
      <c r="E600" s="26"/>
      <c r="G600" s="54"/>
      <c r="N600" s="42"/>
    </row>
    <row r="601" spans="2:14" s="13" customFormat="1" x14ac:dyDescent="0.4">
      <c r="B601" s="25"/>
      <c r="D601" s="42"/>
      <c r="E601" s="26"/>
      <c r="G601" s="54"/>
      <c r="N601" s="42"/>
    </row>
    <row r="602" spans="2:14" s="13" customFormat="1" x14ac:dyDescent="0.4">
      <c r="B602" s="25"/>
      <c r="D602" s="42"/>
      <c r="E602" s="26"/>
      <c r="G602" s="54"/>
      <c r="N602" s="42"/>
    </row>
    <row r="603" spans="2:14" s="13" customFormat="1" x14ac:dyDescent="0.4">
      <c r="B603" s="25"/>
      <c r="D603" s="42"/>
      <c r="E603" s="26"/>
      <c r="G603" s="54"/>
      <c r="N603" s="42"/>
    </row>
    <row r="604" spans="2:14" s="13" customFormat="1" x14ac:dyDescent="0.4">
      <c r="B604" s="25"/>
      <c r="D604" s="42"/>
      <c r="E604" s="26"/>
      <c r="G604" s="54"/>
      <c r="N604" s="42"/>
    </row>
    <row r="605" spans="2:14" s="13" customFormat="1" x14ac:dyDescent="0.4">
      <c r="B605" s="25"/>
      <c r="D605" s="42"/>
      <c r="E605" s="26"/>
      <c r="G605" s="54"/>
      <c r="N605" s="42"/>
    </row>
    <row r="606" spans="2:14" s="13" customFormat="1" x14ac:dyDescent="0.4">
      <c r="B606" s="25"/>
      <c r="D606" s="42"/>
      <c r="E606" s="26"/>
      <c r="G606" s="54"/>
      <c r="N606" s="42"/>
    </row>
    <row r="607" spans="2:14" s="13" customFormat="1" x14ac:dyDescent="0.4">
      <c r="B607" s="25"/>
      <c r="D607" s="42"/>
      <c r="E607" s="26"/>
      <c r="G607" s="54"/>
      <c r="N607" s="42"/>
    </row>
    <row r="608" spans="2:14" s="13" customFormat="1" x14ac:dyDescent="0.4">
      <c r="B608" s="25"/>
      <c r="D608" s="42"/>
      <c r="E608" s="26"/>
      <c r="G608" s="54"/>
      <c r="N608" s="42"/>
    </row>
    <row r="609" spans="2:14" s="13" customFormat="1" x14ac:dyDescent="0.4">
      <c r="B609" s="25"/>
      <c r="D609" s="42"/>
      <c r="E609" s="26"/>
      <c r="G609" s="54"/>
      <c r="N609" s="42"/>
    </row>
    <row r="610" spans="2:14" s="13" customFormat="1" x14ac:dyDescent="0.4">
      <c r="B610" s="25"/>
      <c r="D610" s="42"/>
      <c r="E610" s="26"/>
      <c r="G610" s="54"/>
      <c r="N610" s="42"/>
    </row>
    <row r="611" spans="2:14" s="13" customFormat="1" x14ac:dyDescent="0.4">
      <c r="B611" s="25"/>
      <c r="D611" s="42"/>
      <c r="E611" s="26"/>
      <c r="G611" s="54"/>
      <c r="N611" s="42"/>
    </row>
    <row r="612" spans="2:14" s="13" customFormat="1" x14ac:dyDescent="0.4">
      <c r="B612" s="25"/>
      <c r="D612" s="42"/>
      <c r="E612" s="26"/>
      <c r="G612" s="54"/>
      <c r="N612" s="42"/>
    </row>
    <row r="613" spans="2:14" s="13" customFormat="1" x14ac:dyDescent="0.4">
      <c r="B613" s="25"/>
      <c r="D613" s="42"/>
      <c r="E613" s="26"/>
      <c r="G613" s="54"/>
      <c r="N613" s="42"/>
    </row>
    <row r="614" spans="2:14" s="13" customFormat="1" x14ac:dyDescent="0.4">
      <c r="B614" s="25"/>
      <c r="D614" s="42"/>
      <c r="E614" s="26"/>
      <c r="G614" s="54"/>
      <c r="N614" s="42"/>
    </row>
    <row r="615" spans="2:14" s="13" customFormat="1" x14ac:dyDescent="0.4">
      <c r="B615" s="25"/>
      <c r="D615" s="42"/>
      <c r="E615" s="26"/>
      <c r="G615" s="54"/>
      <c r="N615" s="42"/>
    </row>
    <row r="616" spans="2:14" s="13" customFormat="1" x14ac:dyDescent="0.4">
      <c r="B616" s="25"/>
      <c r="D616" s="42"/>
      <c r="E616" s="26"/>
      <c r="G616" s="54"/>
      <c r="N616" s="42"/>
    </row>
    <row r="617" spans="2:14" s="13" customFormat="1" x14ac:dyDescent="0.4">
      <c r="B617" s="25"/>
      <c r="D617" s="42"/>
      <c r="E617" s="26"/>
      <c r="G617" s="54"/>
      <c r="N617" s="42"/>
    </row>
    <row r="618" spans="2:14" s="13" customFormat="1" x14ac:dyDescent="0.4">
      <c r="B618" s="25"/>
      <c r="D618" s="42"/>
      <c r="E618" s="26"/>
      <c r="G618" s="54"/>
      <c r="N618" s="42"/>
    </row>
    <row r="619" spans="2:14" s="13" customFormat="1" x14ac:dyDescent="0.4">
      <c r="B619" s="25"/>
      <c r="D619" s="42"/>
      <c r="E619" s="26"/>
      <c r="G619" s="54"/>
      <c r="N619" s="42"/>
    </row>
    <row r="620" spans="2:14" s="13" customFormat="1" x14ac:dyDescent="0.4">
      <c r="B620" s="25"/>
      <c r="D620" s="42"/>
      <c r="E620" s="26"/>
      <c r="G620" s="54"/>
      <c r="N620" s="42"/>
    </row>
    <row r="621" spans="2:14" s="13" customFormat="1" x14ac:dyDescent="0.4">
      <c r="B621" s="25"/>
      <c r="D621" s="42"/>
      <c r="E621" s="26"/>
      <c r="G621" s="54"/>
      <c r="N621" s="42"/>
    </row>
    <row r="622" spans="2:14" s="13" customFormat="1" x14ac:dyDescent="0.4">
      <c r="B622" s="25"/>
      <c r="D622" s="42"/>
      <c r="E622" s="26"/>
      <c r="G622" s="54"/>
      <c r="N622" s="42"/>
    </row>
    <row r="623" spans="2:14" s="13" customFormat="1" x14ac:dyDescent="0.4">
      <c r="B623" s="25"/>
      <c r="D623" s="42"/>
      <c r="E623" s="26"/>
      <c r="G623" s="54"/>
      <c r="N623" s="42"/>
    </row>
    <row r="624" spans="2:14" s="13" customFormat="1" x14ac:dyDescent="0.4">
      <c r="B624" s="25"/>
      <c r="D624" s="42"/>
      <c r="E624" s="26"/>
      <c r="G624" s="54"/>
      <c r="N624" s="42"/>
    </row>
    <row r="625" spans="2:14" s="13" customFormat="1" x14ac:dyDescent="0.4">
      <c r="B625" s="25"/>
      <c r="D625" s="42"/>
      <c r="E625" s="26"/>
      <c r="G625" s="54"/>
      <c r="N625" s="42"/>
    </row>
    <row r="626" spans="2:14" s="13" customFormat="1" x14ac:dyDescent="0.4">
      <c r="B626" s="25"/>
      <c r="D626" s="42"/>
      <c r="E626" s="26"/>
      <c r="G626" s="54"/>
      <c r="N626" s="42"/>
    </row>
    <row r="627" spans="2:14" s="13" customFormat="1" x14ac:dyDescent="0.4">
      <c r="B627" s="25"/>
      <c r="D627" s="42"/>
      <c r="E627" s="26"/>
      <c r="G627" s="54"/>
      <c r="N627" s="42"/>
    </row>
    <row r="628" spans="2:14" s="13" customFormat="1" x14ac:dyDescent="0.4">
      <c r="B628" s="25"/>
      <c r="D628" s="42"/>
      <c r="E628" s="26"/>
      <c r="G628" s="54"/>
      <c r="N628" s="42"/>
    </row>
    <row r="629" spans="2:14" s="13" customFormat="1" x14ac:dyDescent="0.4">
      <c r="B629" s="25"/>
      <c r="D629" s="42"/>
      <c r="E629" s="26"/>
      <c r="G629" s="54"/>
      <c r="N629" s="42"/>
    </row>
    <row r="630" spans="2:14" s="13" customFormat="1" x14ac:dyDescent="0.4">
      <c r="B630" s="25"/>
      <c r="D630" s="42"/>
      <c r="E630" s="26"/>
      <c r="G630" s="54"/>
      <c r="N630" s="42"/>
    </row>
    <row r="631" spans="2:14" s="13" customFormat="1" x14ac:dyDescent="0.4">
      <c r="B631" s="25"/>
      <c r="D631" s="42"/>
      <c r="E631" s="26"/>
      <c r="G631" s="54"/>
      <c r="N631" s="42"/>
    </row>
    <row r="632" spans="2:14" s="13" customFormat="1" x14ac:dyDescent="0.4">
      <c r="B632" s="25"/>
      <c r="D632" s="42"/>
      <c r="E632" s="26"/>
      <c r="G632" s="54"/>
      <c r="N632" s="42"/>
    </row>
    <row r="633" spans="2:14" s="13" customFormat="1" x14ac:dyDescent="0.4">
      <c r="B633" s="25"/>
      <c r="D633" s="42"/>
      <c r="E633" s="26"/>
      <c r="G633" s="54"/>
      <c r="N633" s="42"/>
    </row>
    <row r="634" spans="2:14" s="13" customFormat="1" x14ac:dyDescent="0.4">
      <c r="B634" s="25"/>
      <c r="D634" s="42"/>
      <c r="E634" s="26"/>
      <c r="G634" s="54"/>
      <c r="N634" s="42"/>
    </row>
    <row r="635" spans="2:14" s="13" customFormat="1" x14ac:dyDescent="0.4">
      <c r="B635" s="25"/>
      <c r="D635" s="42"/>
      <c r="E635" s="26"/>
      <c r="G635" s="54"/>
      <c r="N635" s="42"/>
    </row>
    <row r="636" spans="2:14" s="13" customFormat="1" x14ac:dyDescent="0.4">
      <c r="B636" s="25"/>
      <c r="D636" s="42"/>
      <c r="E636" s="26"/>
      <c r="G636" s="54"/>
      <c r="N636" s="42"/>
    </row>
    <row r="637" spans="2:14" s="13" customFormat="1" x14ac:dyDescent="0.4">
      <c r="B637" s="25"/>
      <c r="D637" s="42"/>
      <c r="E637" s="26"/>
      <c r="G637" s="54"/>
      <c r="N637" s="42"/>
    </row>
    <row r="638" spans="2:14" s="13" customFormat="1" x14ac:dyDescent="0.4">
      <c r="B638" s="25"/>
      <c r="D638" s="42"/>
      <c r="E638" s="26"/>
      <c r="G638" s="54"/>
      <c r="N638" s="42"/>
    </row>
    <row r="639" spans="2:14" s="13" customFormat="1" x14ac:dyDescent="0.4">
      <c r="B639" s="25"/>
      <c r="D639" s="42"/>
      <c r="E639" s="26"/>
      <c r="G639" s="54"/>
      <c r="N639" s="42"/>
    </row>
    <row r="640" spans="2:14" s="13" customFormat="1" x14ac:dyDescent="0.4">
      <c r="B640" s="25"/>
      <c r="D640" s="42"/>
      <c r="E640" s="26"/>
      <c r="G640" s="54"/>
      <c r="N640" s="42"/>
    </row>
    <row r="641" spans="2:14" s="13" customFormat="1" x14ac:dyDescent="0.4">
      <c r="B641" s="25"/>
      <c r="D641" s="42"/>
      <c r="E641" s="26"/>
      <c r="G641" s="54"/>
      <c r="N641" s="42"/>
    </row>
    <row r="642" spans="2:14" s="13" customFormat="1" x14ac:dyDescent="0.4">
      <c r="B642" s="25"/>
      <c r="D642" s="42"/>
      <c r="E642" s="26"/>
      <c r="G642" s="54"/>
      <c r="N642" s="42"/>
    </row>
    <row r="643" spans="2:14" s="13" customFormat="1" x14ac:dyDescent="0.4">
      <c r="B643" s="25"/>
      <c r="D643" s="42"/>
      <c r="E643" s="26"/>
      <c r="G643" s="54"/>
      <c r="N643" s="42"/>
    </row>
    <row r="644" spans="2:14" s="13" customFormat="1" x14ac:dyDescent="0.4">
      <c r="B644" s="25"/>
      <c r="D644" s="42"/>
      <c r="E644" s="26"/>
      <c r="G644" s="54"/>
      <c r="N644" s="42"/>
    </row>
    <row r="645" spans="2:14" s="13" customFormat="1" x14ac:dyDescent="0.4">
      <c r="B645" s="25"/>
      <c r="D645" s="42"/>
      <c r="E645" s="26"/>
      <c r="G645" s="54"/>
      <c r="N645" s="42"/>
    </row>
    <row r="646" spans="2:14" s="13" customFormat="1" x14ac:dyDescent="0.4">
      <c r="B646" s="25"/>
      <c r="D646" s="42"/>
      <c r="E646" s="26"/>
      <c r="G646" s="54"/>
      <c r="N646" s="42"/>
    </row>
    <row r="647" spans="2:14" s="13" customFormat="1" x14ac:dyDescent="0.4">
      <c r="B647" s="25"/>
      <c r="D647" s="42"/>
      <c r="E647" s="26"/>
      <c r="G647" s="54"/>
      <c r="N647" s="42"/>
    </row>
    <row r="648" spans="2:14" s="13" customFormat="1" x14ac:dyDescent="0.4">
      <c r="B648" s="25"/>
      <c r="D648" s="42"/>
      <c r="E648" s="26"/>
      <c r="G648" s="54"/>
      <c r="N648" s="42"/>
    </row>
    <row r="649" spans="2:14" s="13" customFormat="1" x14ac:dyDescent="0.4">
      <c r="B649" s="25"/>
      <c r="D649" s="42"/>
      <c r="E649" s="26"/>
      <c r="G649" s="54"/>
      <c r="N649" s="42"/>
    </row>
    <row r="650" spans="2:14" s="13" customFormat="1" x14ac:dyDescent="0.4">
      <c r="B650" s="25"/>
      <c r="D650" s="42"/>
      <c r="E650" s="26"/>
      <c r="G650" s="54"/>
      <c r="N650" s="42"/>
    </row>
    <row r="651" spans="2:14" s="13" customFormat="1" x14ac:dyDescent="0.4">
      <c r="B651" s="25"/>
      <c r="D651" s="42"/>
      <c r="E651" s="26"/>
      <c r="G651" s="54"/>
      <c r="N651" s="42"/>
    </row>
    <row r="652" spans="2:14" s="13" customFormat="1" x14ac:dyDescent="0.4">
      <c r="B652" s="25"/>
      <c r="D652" s="42"/>
      <c r="E652" s="26"/>
      <c r="G652" s="54"/>
      <c r="N652" s="42"/>
    </row>
    <row r="653" spans="2:14" s="13" customFormat="1" x14ac:dyDescent="0.4">
      <c r="B653" s="25"/>
      <c r="D653" s="42"/>
      <c r="E653" s="26"/>
      <c r="G653" s="54"/>
      <c r="N653" s="42"/>
    </row>
    <row r="654" spans="2:14" s="13" customFormat="1" x14ac:dyDescent="0.4">
      <c r="B654" s="25"/>
      <c r="D654" s="42"/>
      <c r="E654" s="26"/>
      <c r="G654" s="54"/>
      <c r="N654" s="42"/>
    </row>
    <row r="655" spans="2:14" s="13" customFormat="1" x14ac:dyDescent="0.4">
      <c r="B655" s="25"/>
      <c r="D655" s="42"/>
      <c r="E655" s="26"/>
      <c r="G655" s="54"/>
      <c r="N655" s="42"/>
    </row>
    <row r="656" spans="2:14" s="13" customFormat="1" x14ac:dyDescent="0.4">
      <c r="B656" s="25"/>
      <c r="D656" s="42"/>
      <c r="E656" s="26"/>
      <c r="G656" s="54"/>
      <c r="N656" s="42"/>
    </row>
    <row r="657" spans="2:14" s="13" customFormat="1" x14ac:dyDescent="0.4">
      <c r="B657" s="25"/>
      <c r="D657" s="42"/>
      <c r="E657" s="26"/>
      <c r="G657" s="54"/>
      <c r="N657" s="42"/>
    </row>
    <row r="658" spans="2:14" s="13" customFormat="1" x14ac:dyDescent="0.4">
      <c r="B658" s="25"/>
      <c r="D658" s="42"/>
      <c r="E658" s="26"/>
      <c r="G658" s="54"/>
      <c r="N658" s="42"/>
    </row>
    <row r="659" spans="2:14" s="13" customFormat="1" x14ac:dyDescent="0.4">
      <c r="B659" s="25"/>
      <c r="D659" s="42"/>
      <c r="E659" s="26"/>
      <c r="G659" s="54"/>
      <c r="N659" s="42"/>
    </row>
  </sheetData>
  <sheetProtection algorithmName="SHA-512" hashValue="5kh9gciaz7qfWNq1bjbbJNzREXN9rGp9bQXgpASCuKaHM5plruWUziE6HRVvYXuBG3GOh7Z8gShnc9ttefSHyA==" saltValue="N0DxY4jvpFiML4/GeWRB8Q==" spinCount="100000" sheet="1" formatCells="0" formatColumns="0" formatRows="0"/>
  <mergeCells count="13">
    <mergeCell ref="A7:A26"/>
    <mergeCell ref="B7:B26"/>
    <mergeCell ref="M7:M26"/>
    <mergeCell ref="D8:D11"/>
    <mergeCell ref="C8:C11"/>
    <mergeCell ref="C12:C15"/>
    <mergeCell ref="D12:D15"/>
    <mergeCell ref="C16:C20"/>
    <mergeCell ref="D16:D20"/>
    <mergeCell ref="D21:D23"/>
    <mergeCell ref="C21:C23"/>
    <mergeCell ref="D24:D25"/>
    <mergeCell ref="C24:C25"/>
  </mergeCells>
  <dataValidations count="1">
    <dataValidation type="list" allowBlank="1" showInputMessage="1" showErrorMessage="1" errorTitle="ASVS Test Result" error="Invalid selection!" promptTitle="ASVS Test Result" prompt="Please select test result from the list." sqref="G7:G26" xr:uid="{8AB97AF1-43D3-4D2B-BC03-73F679AD08C5}">
      <formula1>testResult</formula1>
    </dataValidation>
  </dataValidations>
  <hyperlinks>
    <hyperlink ref="F8" r:id="rId1" location="tab=Formal_Numbering" display="https://www.owasp.org/index.php/OWASP_Proactive_Controls - tab=Formal_Numbering" xr:uid="{F72DB0F3-439F-4CCB-8247-D327A2A4E96B}"/>
    <hyperlink ref="F9" r:id="rId2" location="tab=Formal_Numbering" display="https://www.owasp.org/index.php/OWASP_Proactive_Controls - tab=Formal_Numbering" xr:uid="{11B095D3-7E67-496F-B885-4091DE807C41}"/>
    <hyperlink ref="F11" r:id="rId3" location="tab=Formal_Numbering" display="https://www.owasp.org/index.php/OWASP_Proactive_Controls - tab=Formal_Numbering" xr:uid="{5841C69F-00A4-4BB0-93BD-5D33F0F29E7F}"/>
    <hyperlink ref="F12" r:id="rId4" location="tab=Formal_Numbering" display="https://www.owasp.org/index.php/OWASP_Proactive_Controls - tab=Formal_Numbering" xr:uid="{0CBE2A16-B0BF-4C87-BC66-1148B7A94479}"/>
    <hyperlink ref="F13" r:id="rId5" location="tab=Formal_Numbering" display="https://www.owasp.org/index.php/OWASP_Proactive_Controls - tab=Formal_Numbering" xr:uid="{F84B4208-BF37-4357-9E63-D7A82A983BD1}"/>
    <hyperlink ref="F16" r:id="rId6" location="tab=Formal_Numbering" display="https://www.owasp.org/index.php/OWASP_Proactive_Controls - tab=Formal_Numbering" xr:uid="{8ABC5126-C01D-46FB-BD2E-F4D68BA01295}"/>
    <hyperlink ref="F17" r:id="rId7" location="tab=Formal_Numbering" display="https://www.owasp.org/index.php/OWASP_Proactive_Controls - tab=Formal_Numbering" xr:uid="{D890A2C1-8679-4F8E-B640-2F5333B8ED74}"/>
    <hyperlink ref="F18" r:id="rId8" location="tab=Formal_Numbering" display="https://www.owasp.org/index.php/OWASP_Proactive_Controls - tab=Formal_Numbering" xr:uid="{BA7683B8-1E0A-46D9-9FDF-1B6B0FCBD379}"/>
    <hyperlink ref="F20" r:id="rId9" location="tab=Formal_Numbering" display="https://www.owasp.org/index.php/OWASP_Proactive_Controls - tab=Formal_Numbering" xr:uid="{AFDD5763-166B-4F90-AB61-DB0D65805C9A}"/>
  </hyperlinks>
  <pageMargins left="0.7" right="0.7" top="0.75" bottom="0.75" header="0.3" footer="0.3"/>
  <pageSetup orientation="portrait" horizontalDpi="1200" verticalDpi="1200" r:id="rId10"/>
  <drawing r:id="rId11"/>
  <legacyDrawing r:id="rId12"/>
  <mc:AlternateContent xmlns:mc="http://schemas.openxmlformats.org/markup-compatibility/2006">
    <mc:Choice Requires="x14">
      <controls>
        <mc:AlternateContent xmlns:mc="http://schemas.openxmlformats.org/markup-compatibility/2006">
          <mc:Choice Requires="x14">
            <control shapeId="18433" r:id="rId13" name="Button 1">
              <controlPr defaultSize="0" print="0" autoFill="0" autoPict="0" macro="[0]!Sheet6.Confirm_Reset_Answers_V3">
                <anchor moveWithCells="1" sizeWithCells="1">
                  <from>
                    <xdr:col>0</xdr:col>
                    <xdr:colOff>107950</xdr:colOff>
                    <xdr:row>0</xdr:row>
                    <xdr:rowOff>50800</xdr:rowOff>
                  </from>
                  <to>
                    <xdr:col>1</xdr:col>
                    <xdr:colOff>1466850</xdr:colOff>
                    <xdr:row>2</xdr:row>
                    <xdr:rowOff>57150</xdr:rowOff>
                  </to>
                </anchor>
              </controlPr>
            </control>
          </mc:Choice>
        </mc:AlternateContent>
        <mc:AlternateContent xmlns:mc="http://schemas.openxmlformats.org/markup-compatibility/2006">
          <mc:Choice Requires="x14">
            <control shapeId="18436" r:id="rId14" name="Button 4">
              <controlPr defaultSize="0" print="0" autoFill="0" autoPict="0" macro="[0]!Confirm_Reset_All_Answers">
                <anchor moveWithCells="1" sizeWithCells="1">
                  <from>
                    <xdr:col>0</xdr:col>
                    <xdr:colOff>107950</xdr:colOff>
                    <xdr:row>2</xdr:row>
                    <xdr:rowOff>107950</xdr:rowOff>
                  </from>
                  <to>
                    <xdr:col>1</xdr:col>
                    <xdr:colOff>1466850</xdr:colOff>
                    <xdr:row>4</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D43EF-4B6A-45E6-8CC7-57731AC11E0C}">
  <sheetPr codeName="Sheet10">
    <tabColor theme="6" tint="0.39997558519241921"/>
  </sheetPr>
  <dimension ref="A1:CRF649"/>
  <sheetViews>
    <sheetView showGridLines="0" showRowColHeaders="0" workbookViewId="0">
      <pane ySplit="6" topLeftCell="A7" activePane="bottomLeft" state="frozen"/>
      <selection pane="bottomLeft" activeCell="A7" sqref="A7:A16"/>
    </sheetView>
  </sheetViews>
  <sheetFormatPr defaultRowHeight="15" x14ac:dyDescent="0.4"/>
  <cols>
    <col min="1" max="1" width="11" customWidth="1"/>
    <col min="2" max="2" width="24.1796875" style="20" customWidth="1"/>
    <col min="3" max="3" width="11.81640625" customWidth="1"/>
    <col min="4" max="4" width="31.81640625" style="43" customWidth="1"/>
    <col min="5" max="5" width="9.453125" style="21" customWidth="1"/>
    <col min="6" max="6" width="56.1796875" customWidth="1"/>
    <col min="7" max="7" width="19.1796875" style="55" customWidth="1"/>
    <col min="8" max="10" width="3.7265625" bestFit="1" customWidth="1"/>
    <col min="12" max="12" width="13.1796875" customWidth="1"/>
    <col min="13" max="13" width="33.7265625" customWidth="1"/>
    <col min="14" max="14" width="47.7265625" style="43" customWidth="1"/>
    <col min="15" max="136" width="8.726562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0</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0</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TOTAL_ASVS_V4</f>
        <v>10</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39" x14ac:dyDescent="0.35">
      <c r="A7" s="113" t="s">
        <v>43</v>
      </c>
      <c r="B7" s="116" t="s">
        <v>387</v>
      </c>
      <c r="C7" s="113" t="s">
        <v>388</v>
      </c>
      <c r="D7" s="109" t="s">
        <v>389</v>
      </c>
      <c r="E7" s="22" t="s">
        <v>390</v>
      </c>
      <c r="F7" s="4" t="s">
        <v>391</v>
      </c>
      <c r="G7" s="91" t="s">
        <v>32</v>
      </c>
      <c r="H7" s="38" t="s">
        <v>812</v>
      </c>
      <c r="I7" s="39" t="s">
        <v>812</v>
      </c>
      <c r="J7" s="40" t="s">
        <v>812</v>
      </c>
      <c r="K7" s="5">
        <v>602</v>
      </c>
      <c r="L7" s="24"/>
      <c r="M7" s="119" t="s">
        <v>846</v>
      </c>
      <c r="N7" s="41"/>
    </row>
    <row r="8" spans="1:2502" ht="39" x14ac:dyDescent="0.35">
      <c r="A8" s="114"/>
      <c r="B8" s="117"/>
      <c r="C8" s="114"/>
      <c r="D8" s="110"/>
      <c r="E8" s="22" t="s">
        <v>392</v>
      </c>
      <c r="F8" s="4" t="s">
        <v>13</v>
      </c>
      <c r="G8" s="91" t="s">
        <v>32</v>
      </c>
      <c r="H8" s="38" t="s">
        <v>812</v>
      </c>
      <c r="I8" s="39" t="s">
        <v>812</v>
      </c>
      <c r="J8" s="40" t="s">
        <v>812</v>
      </c>
      <c r="K8" s="5">
        <v>639</v>
      </c>
      <c r="L8" s="24"/>
      <c r="M8" s="120"/>
      <c r="N8" s="41"/>
    </row>
    <row r="9" spans="1:2502" ht="52" x14ac:dyDescent="0.35">
      <c r="A9" s="114"/>
      <c r="B9" s="117"/>
      <c r="C9" s="114"/>
      <c r="D9" s="110"/>
      <c r="E9" s="22" t="s">
        <v>393</v>
      </c>
      <c r="F9" s="23" t="s">
        <v>394</v>
      </c>
      <c r="G9" s="91" t="s">
        <v>32</v>
      </c>
      <c r="H9" s="38" t="s">
        <v>812</v>
      </c>
      <c r="I9" s="39" t="s">
        <v>812</v>
      </c>
      <c r="J9" s="40" t="s">
        <v>812</v>
      </c>
      <c r="K9" s="5">
        <v>285</v>
      </c>
      <c r="L9" s="24"/>
      <c r="M9" s="120"/>
      <c r="N9" s="41"/>
    </row>
    <row r="10" spans="1:2502" ht="52" x14ac:dyDescent="0.35">
      <c r="A10" s="114"/>
      <c r="B10" s="117"/>
      <c r="C10" s="114"/>
      <c r="D10" s="110"/>
      <c r="E10" s="22" t="s">
        <v>395</v>
      </c>
      <c r="F10" s="23" t="s">
        <v>396</v>
      </c>
      <c r="G10" s="91" t="s">
        <v>32</v>
      </c>
      <c r="H10" s="38" t="s">
        <v>812</v>
      </c>
      <c r="I10" s="39" t="s">
        <v>812</v>
      </c>
      <c r="J10" s="40" t="s">
        <v>812</v>
      </c>
      <c r="K10" s="5">
        <v>276</v>
      </c>
      <c r="L10" s="24"/>
      <c r="M10" s="120"/>
      <c r="N10" s="41"/>
    </row>
    <row r="11" spans="1:2502" ht="26" x14ac:dyDescent="0.35">
      <c r="A11" s="114"/>
      <c r="B11" s="117"/>
      <c r="C11" s="115"/>
      <c r="D11" s="111"/>
      <c r="E11" s="22" t="s">
        <v>397</v>
      </c>
      <c r="F11" s="23" t="s">
        <v>398</v>
      </c>
      <c r="G11" s="91" t="s">
        <v>32</v>
      </c>
      <c r="H11" s="38" t="s">
        <v>812</v>
      </c>
      <c r="I11" s="39" t="s">
        <v>812</v>
      </c>
      <c r="J11" s="40" t="s">
        <v>812</v>
      </c>
      <c r="K11" s="5">
        <v>285</v>
      </c>
      <c r="L11" s="24"/>
      <c r="M11" s="120"/>
      <c r="N11" s="41"/>
    </row>
    <row r="12" spans="1:2502" ht="52" x14ac:dyDescent="0.35">
      <c r="A12" s="114"/>
      <c r="B12" s="117"/>
      <c r="C12" s="113" t="s">
        <v>399</v>
      </c>
      <c r="D12" s="109" t="s">
        <v>400</v>
      </c>
      <c r="E12" s="22" t="s">
        <v>401</v>
      </c>
      <c r="F12" s="4" t="s">
        <v>402</v>
      </c>
      <c r="G12" s="91" t="s">
        <v>32</v>
      </c>
      <c r="H12" s="38" t="s">
        <v>812</v>
      </c>
      <c r="I12" s="39" t="s">
        <v>812</v>
      </c>
      <c r="J12" s="40" t="s">
        <v>812</v>
      </c>
      <c r="K12" s="5">
        <v>639</v>
      </c>
      <c r="L12" s="24"/>
      <c r="M12" s="120"/>
      <c r="N12" s="41"/>
    </row>
    <row r="13" spans="1:2502" ht="39" x14ac:dyDescent="0.35">
      <c r="A13" s="114"/>
      <c r="B13" s="117"/>
      <c r="C13" s="114"/>
      <c r="D13" s="110"/>
      <c r="E13" s="22" t="s">
        <v>403</v>
      </c>
      <c r="F13" s="4" t="s">
        <v>404</v>
      </c>
      <c r="G13" s="91" t="s">
        <v>32</v>
      </c>
      <c r="H13" s="38" t="s">
        <v>812</v>
      </c>
      <c r="I13" s="39" t="s">
        <v>812</v>
      </c>
      <c r="J13" s="40" t="s">
        <v>812</v>
      </c>
      <c r="K13" s="5">
        <v>352</v>
      </c>
      <c r="L13" s="24"/>
      <c r="M13" s="120"/>
      <c r="N13" s="41"/>
    </row>
    <row r="14" spans="1:2502" ht="26" x14ac:dyDescent="0.35">
      <c r="A14" s="114"/>
      <c r="B14" s="117"/>
      <c r="C14" s="125" t="s">
        <v>405</v>
      </c>
      <c r="D14" s="109" t="s">
        <v>406</v>
      </c>
      <c r="E14" s="22" t="s">
        <v>407</v>
      </c>
      <c r="F14" s="4" t="s">
        <v>408</v>
      </c>
      <c r="G14" s="91" t="s">
        <v>32</v>
      </c>
      <c r="H14" s="38" t="s">
        <v>812</v>
      </c>
      <c r="I14" s="39" t="s">
        <v>812</v>
      </c>
      <c r="J14" s="40" t="s">
        <v>812</v>
      </c>
      <c r="K14" s="5">
        <v>419</v>
      </c>
      <c r="L14" s="24"/>
      <c r="M14" s="120"/>
      <c r="N14" s="41"/>
    </row>
    <row r="15" spans="1:2502" ht="52" x14ac:dyDescent="0.35">
      <c r="A15" s="114"/>
      <c r="B15" s="117"/>
      <c r="C15" s="126"/>
      <c r="D15" s="110"/>
      <c r="E15" s="22" t="s">
        <v>409</v>
      </c>
      <c r="F15" s="4" t="s">
        <v>12</v>
      </c>
      <c r="G15" s="91" t="s">
        <v>32</v>
      </c>
      <c r="H15" s="38" t="s">
        <v>812</v>
      </c>
      <c r="I15" s="39" t="s">
        <v>812</v>
      </c>
      <c r="J15" s="40" t="s">
        <v>812</v>
      </c>
      <c r="K15" s="5">
        <v>548</v>
      </c>
      <c r="L15" s="24"/>
      <c r="M15" s="120"/>
      <c r="N15" s="41"/>
    </row>
    <row r="16" spans="1:2502" ht="52" x14ac:dyDescent="0.35">
      <c r="A16" s="114"/>
      <c r="B16" s="118"/>
      <c r="C16" s="127"/>
      <c r="D16" s="111"/>
      <c r="E16" s="22" t="s">
        <v>410</v>
      </c>
      <c r="F16" s="4" t="s">
        <v>14</v>
      </c>
      <c r="G16" s="91" t="s">
        <v>32</v>
      </c>
      <c r="H16" s="57"/>
      <c r="I16" s="39" t="s">
        <v>812</v>
      </c>
      <c r="J16" s="40" t="s">
        <v>812</v>
      </c>
      <c r="K16" s="5">
        <v>732</v>
      </c>
      <c r="L16" s="24"/>
      <c r="M16" s="121"/>
      <c r="N16" s="41"/>
    </row>
    <row r="17" spans="2:14" s="13" customFormat="1" x14ac:dyDescent="0.4">
      <c r="B17" s="25"/>
      <c r="D17" s="42"/>
      <c r="E17" s="26"/>
      <c r="G17" s="54"/>
      <c r="N17" s="42"/>
    </row>
    <row r="18" spans="2:14" s="13" customFormat="1" x14ac:dyDescent="0.4">
      <c r="B18" s="25"/>
      <c r="D18" s="42"/>
      <c r="E18" s="26"/>
      <c r="G18" s="54"/>
      <c r="N18" s="42"/>
    </row>
    <row r="19" spans="2:14" s="13" customFormat="1" x14ac:dyDescent="0.4">
      <c r="B19" s="25"/>
      <c r="D19" s="42"/>
      <c r="E19" s="26"/>
      <c r="G19" s="54"/>
      <c r="N19" s="42"/>
    </row>
    <row r="20" spans="2:14" s="13" customFormat="1" x14ac:dyDescent="0.4">
      <c r="B20" s="25"/>
      <c r="D20" s="42"/>
      <c r="E20" s="26"/>
      <c r="G20" s="54"/>
      <c r="N20" s="42"/>
    </row>
    <row r="21" spans="2:14" s="13" customFormat="1" x14ac:dyDescent="0.4">
      <c r="B21" s="25"/>
      <c r="D21" s="42"/>
      <c r="E21" s="26"/>
      <c r="G21" s="54"/>
      <c r="N21" s="42"/>
    </row>
    <row r="22" spans="2:14" s="13" customFormat="1" x14ac:dyDescent="0.4">
      <c r="B22" s="25"/>
      <c r="D22" s="42"/>
      <c r="E22" s="26"/>
      <c r="G22" s="54"/>
      <c r="N22" s="42"/>
    </row>
    <row r="23" spans="2:14" s="13" customFormat="1" x14ac:dyDescent="0.4">
      <c r="B23" s="25"/>
      <c r="D23" s="42"/>
      <c r="E23" s="26"/>
      <c r="G23" s="54"/>
      <c r="N23" s="42"/>
    </row>
    <row r="24" spans="2:14" s="13" customFormat="1" x14ac:dyDescent="0.4">
      <c r="B24" s="25"/>
      <c r="D24" s="42"/>
      <c r="E24" s="26"/>
      <c r="G24" s="54"/>
      <c r="N24" s="42"/>
    </row>
    <row r="25" spans="2:14" s="13" customFormat="1" x14ac:dyDescent="0.4">
      <c r="B25" s="25"/>
      <c r="D25" s="42"/>
      <c r="E25" s="26"/>
      <c r="G25" s="54"/>
      <c r="N25" s="42"/>
    </row>
    <row r="26" spans="2:14" s="13" customFormat="1" x14ac:dyDescent="0.4">
      <c r="B26" s="25"/>
      <c r="D26" s="42"/>
      <c r="E26" s="26"/>
      <c r="G26" s="54"/>
      <c r="N26" s="42"/>
    </row>
    <row r="27" spans="2:14" s="13" customFormat="1" x14ac:dyDescent="0.4">
      <c r="B27" s="25"/>
      <c r="D27" s="42"/>
      <c r="E27" s="26"/>
      <c r="G27" s="54"/>
      <c r="N27" s="42"/>
    </row>
    <row r="28" spans="2:14" s="13" customFormat="1" x14ac:dyDescent="0.4">
      <c r="B28" s="25"/>
      <c r="D28" s="42"/>
      <c r="E28" s="26"/>
      <c r="G28" s="54"/>
      <c r="N28" s="42"/>
    </row>
    <row r="29" spans="2:14" s="13" customFormat="1" x14ac:dyDescent="0.4">
      <c r="B29" s="25"/>
      <c r="D29" s="42"/>
      <c r="E29" s="26"/>
      <c r="G29" s="54"/>
      <c r="N29" s="42"/>
    </row>
    <row r="30" spans="2:14" s="13" customFormat="1" x14ac:dyDescent="0.4">
      <c r="B30" s="25"/>
      <c r="D30" s="42"/>
      <c r="E30" s="26"/>
      <c r="G30" s="54"/>
      <c r="N30" s="42"/>
    </row>
    <row r="31" spans="2:14" s="13" customFormat="1" x14ac:dyDescent="0.4">
      <c r="B31" s="25"/>
      <c r="D31" s="42"/>
      <c r="E31" s="26"/>
      <c r="G31" s="54"/>
      <c r="N31" s="42"/>
    </row>
    <row r="32" spans="2:14" s="13" customFormat="1" x14ac:dyDescent="0.4">
      <c r="B32" s="25"/>
      <c r="D32" s="42"/>
      <c r="E32" s="26"/>
      <c r="G32" s="54"/>
      <c r="N32" s="42"/>
    </row>
    <row r="33" spans="2:14" s="13" customFormat="1" x14ac:dyDescent="0.4">
      <c r="B33" s="25"/>
      <c r="D33" s="42"/>
      <c r="E33" s="26"/>
      <c r="G33" s="54"/>
      <c r="N33" s="42"/>
    </row>
    <row r="34" spans="2:14" s="13" customFormat="1" x14ac:dyDescent="0.4">
      <c r="B34" s="25"/>
      <c r="D34" s="42"/>
      <c r="E34" s="26"/>
      <c r="G34" s="54"/>
      <c r="N34" s="42"/>
    </row>
    <row r="35" spans="2:14" s="13" customFormat="1" x14ac:dyDescent="0.4">
      <c r="B35" s="25"/>
      <c r="D35" s="42"/>
      <c r="E35" s="26"/>
      <c r="G35" s="54"/>
      <c r="N35" s="42"/>
    </row>
    <row r="36" spans="2:14" s="13" customFormat="1" x14ac:dyDescent="0.4">
      <c r="B36" s="25"/>
      <c r="D36" s="42"/>
      <c r="E36" s="26"/>
      <c r="G36" s="54"/>
      <c r="N36" s="42"/>
    </row>
    <row r="37" spans="2:14" s="13" customFormat="1" x14ac:dyDescent="0.4">
      <c r="B37" s="25"/>
      <c r="D37" s="42"/>
      <c r="E37" s="26"/>
      <c r="G37" s="54"/>
      <c r="N37" s="42"/>
    </row>
    <row r="38" spans="2:14" s="13" customFormat="1" x14ac:dyDescent="0.4">
      <c r="B38" s="25"/>
      <c r="D38" s="42"/>
      <c r="E38" s="26"/>
      <c r="G38" s="54"/>
      <c r="N38" s="42"/>
    </row>
    <row r="39" spans="2:14" s="13" customFormat="1" x14ac:dyDescent="0.4">
      <c r="B39" s="25"/>
      <c r="D39" s="42"/>
      <c r="E39" s="26"/>
      <c r="G39" s="54"/>
      <c r="N39" s="42"/>
    </row>
    <row r="40" spans="2:14" s="13" customFormat="1" x14ac:dyDescent="0.4">
      <c r="B40" s="25"/>
      <c r="D40" s="42"/>
      <c r="E40" s="26"/>
      <c r="G40" s="54"/>
      <c r="N40" s="42"/>
    </row>
    <row r="41" spans="2:14" s="13" customFormat="1" x14ac:dyDescent="0.4">
      <c r="B41" s="25"/>
      <c r="D41" s="42"/>
      <c r="E41" s="26"/>
      <c r="G41" s="54"/>
      <c r="N41" s="42"/>
    </row>
    <row r="42" spans="2:14" s="13" customFormat="1" x14ac:dyDescent="0.4">
      <c r="B42" s="25"/>
      <c r="D42" s="42"/>
      <c r="E42" s="26"/>
      <c r="G42" s="54"/>
      <c r="N42" s="42"/>
    </row>
    <row r="43" spans="2:14" s="13" customFormat="1" x14ac:dyDescent="0.4">
      <c r="B43" s="25"/>
      <c r="D43" s="42"/>
      <c r="E43" s="26"/>
      <c r="G43" s="54"/>
      <c r="N43" s="42"/>
    </row>
    <row r="44" spans="2:14" s="13" customFormat="1" x14ac:dyDescent="0.4">
      <c r="B44" s="25"/>
      <c r="D44" s="42"/>
      <c r="E44" s="26"/>
      <c r="G44" s="54"/>
      <c r="N44" s="42"/>
    </row>
    <row r="45" spans="2:14" s="13" customFormat="1" x14ac:dyDescent="0.4">
      <c r="B45" s="25"/>
      <c r="D45" s="42"/>
      <c r="E45" s="26"/>
      <c r="G45" s="54"/>
      <c r="N45" s="42"/>
    </row>
    <row r="46" spans="2:14" s="13" customFormat="1" x14ac:dyDescent="0.4">
      <c r="B46" s="25"/>
      <c r="D46" s="42"/>
      <c r="E46" s="26"/>
      <c r="G46" s="54"/>
      <c r="N46" s="42"/>
    </row>
    <row r="47" spans="2:14" s="13" customFormat="1" x14ac:dyDescent="0.4">
      <c r="B47" s="25"/>
      <c r="D47" s="42"/>
      <c r="E47" s="26"/>
      <c r="G47" s="54"/>
      <c r="N47" s="42"/>
    </row>
    <row r="48" spans="2:14" s="13" customFormat="1" x14ac:dyDescent="0.4">
      <c r="B48" s="25"/>
      <c r="D48" s="42"/>
      <c r="E48" s="26"/>
      <c r="G48" s="54"/>
      <c r="N48" s="42"/>
    </row>
    <row r="49" spans="2:14" s="13" customFormat="1" x14ac:dyDescent="0.4">
      <c r="B49" s="25"/>
      <c r="D49" s="42"/>
      <c r="E49" s="26"/>
      <c r="G49" s="54"/>
      <c r="N49" s="42"/>
    </row>
    <row r="50" spans="2:14" s="13" customFormat="1" x14ac:dyDescent="0.4">
      <c r="B50" s="25"/>
      <c r="D50" s="42"/>
      <c r="E50" s="26"/>
      <c r="G50" s="54"/>
      <c r="N50" s="42"/>
    </row>
    <row r="51" spans="2:14" s="13" customFormat="1" x14ac:dyDescent="0.4">
      <c r="B51" s="25"/>
      <c r="D51" s="42"/>
      <c r="E51" s="26"/>
      <c r="G51" s="54"/>
      <c r="N51" s="42"/>
    </row>
    <row r="52" spans="2:14" s="13" customFormat="1" x14ac:dyDescent="0.4">
      <c r="B52" s="25"/>
      <c r="D52" s="42"/>
      <c r="E52" s="26"/>
      <c r="G52" s="54"/>
      <c r="N52" s="42"/>
    </row>
    <row r="53" spans="2:14" s="13" customFormat="1" x14ac:dyDescent="0.4">
      <c r="B53" s="25"/>
      <c r="D53" s="42"/>
      <c r="E53" s="26"/>
      <c r="G53" s="54"/>
      <c r="N53" s="42"/>
    </row>
    <row r="54" spans="2:14" s="13" customFormat="1" x14ac:dyDescent="0.4">
      <c r="B54" s="25"/>
      <c r="D54" s="42"/>
      <c r="E54" s="26"/>
      <c r="G54" s="54"/>
      <c r="N54" s="42"/>
    </row>
    <row r="55" spans="2:14" s="13" customFormat="1" x14ac:dyDescent="0.4">
      <c r="B55" s="25"/>
      <c r="D55" s="42"/>
      <c r="E55" s="26"/>
      <c r="G55" s="54"/>
      <c r="N55" s="42"/>
    </row>
    <row r="56" spans="2:14" s="13" customFormat="1" x14ac:dyDescent="0.4">
      <c r="B56" s="25"/>
      <c r="D56" s="42"/>
      <c r="E56" s="26"/>
      <c r="G56" s="54"/>
      <c r="N56" s="42"/>
    </row>
    <row r="57" spans="2:14" s="13" customFormat="1" x14ac:dyDescent="0.4">
      <c r="B57" s="25"/>
      <c r="D57" s="42"/>
      <c r="E57" s="26"/>
      <c r="G57" s="54"/>
      <c r="N57" s="42"/>
    </row>
    <row r="58" spans="2:14" s="13" customFormat="1" x14ac:dyDescent="0.4">
      <c r="B58" s="25"/>
      <c r="D58" s="42"/>
      <c r="E58" s="26"/>
      <c r="G58" s="54"/>
      <c r="N58" s="42"/>
    </row>
    <row r="59" spans="2:14" s="13" customFormat="1" x14ac:dyDescent="0.4">
      <c r="B59" s="25"/>
      <c r="D59" s="42"/>
      <c r="E59" s="26"/>
      <c r="G59" s="54"/>
      <c r="N59" s="42"/>
    </row>
    <row r="60" spans="2:14" s="13" customFormat="1" x14ac:dyDescent="0.4">
      <c r="B60" s="25"/>
      <c r="D60" s="42"/>
      <c r="E60" s="26"/>
      <c r="G60" s="54"/>
      <c r="N60" s="42"/>
    </row>
    <row r="61" spans="2:14" s="13" customFormat="1" x14ac:dyDescent="0.4">
      <c r="B61" s="25"/>
      <c r="D61" s="42"/>
      <c r="E61" s="26"/>
      <c r="G61" s="54"/>
      <c r="N61" s="42"/>
    </row>
    <row r="62" spans="2:14" s="13" customFormat="1" x14ac:dyDescent="0.4">
      <c r="B62" s="25"/>
      <c r="D62" s="42"/>
      <c r="E62" s="26"/>
      <c r="G62" s="54"/>
      <c r="N62" s="42"/>
    </row>
    <row r="63" spans="2:14" s="13" customFormat="1" x14ac:dyDescent="0.4">
      <c r="B63" s="25"/>
      <c r="D63" s="42"/>
      <c r="E63" s="26"/>
      <c r="G63" s="54"/>
      <c r="N63" s="42"/>
    </row>
    <row r="64" spans="2:14" s="13" customFormat="1" x14ac:dyDescent="0.4">
      <c r="B64" s="25"/>
      <c r="D64" s="42"/>
      <c r="E64" s="26"/>
      <c r="G64" s="54"/>
      <c r="N64" s="42"/>
    </row>
    <row r="65" spans="2:14" s="13" customFormat="1" x14ac:dyDescent="0.4">
      <c r="B65" s="25"/>
      <c r="D65" s="42"/>
      <c r="E65" s="26"/>
      <c r="G65" s="54"/>
      <c r="N65" s="42"/>
    </row>
    <row r="66" spans="2:14" s="13" customFormat="1" x14ac:dyDescent="0.4">
      <c r="B66" s="25"/>
      <c r="D66" s="42"/>
      <c r="E66" s="26"/>
      <c r="G66" s="54"/>
      <c r="N66" s="42"/>
    </row>
    <row r="67" spans="2:14" s="13" customFormat="1" x14ac:dyDescent="0.4">
      <c r="B67" s="25"/>
      <c r="D67" s="42"/>
      <c r="E67" s="26"/>
      <c r="G67" s="54"/>
      <c r="N67" s="42"/>
    </row>
    <row r="68" spans="2:14" s="13" customFormat="1" x14ac:dyDescent="0.4">
      <c r="B68" s="25"/>
      <c r="D68" s="42"/>
      <c r="E68" s="26"/>
      <c r="G68" s="54"/>
      <c r="N68" s="42"/>
    </row>
    <row r="69" spans="2:14" s="13" customFormat="1" x14ac:dyDescent="0.4">
      <c r="B69" s="25"/>
      <c r="D69" s="42"/>
      <c r="E69" s="26"/>
      <c r="G69" s="54"/>
      <c r="N69" s="42"/>
    </row>
    <row r="70" spans="2:14" s="13" customFormat="1" x14ac:dyDescent="0.4">
      <c r="B70" s="25"/>
      <c r="D70" s="42"/>
      <c r="E70" s="26"/>
      <c r="G70" s="54"/>
      <c r="N70" s="42"/>
    </row>
    <row r="71" spans="2:14" s="13" customFormat="1" x14ac:dyDescent="0.4">
      <c r="B71" s="25"/>
      <c r="D71" s="42"/>
      <c r="E71" s="26"/>
      <c r="G71" s="54"/>
      <c r="N71" s="42"/>
    </row>
    <row r="72" spans="2:14" s="13" customFormat="1" x14ac:dyDescent="0.4">
      <c r="B72" s="25"/>
      <c r="D72" s="42"/>
      <c r="E72" s="26"/>
      <c r="G72" s="54"/>
      <c r="N72" s="42"/>
    </row>
    <row r="73" spans="2:14" s="13" customFormat="1" x14ac:dyDescent="0.4">
      <c r="B73" s="25"/>
      <c r="D73" s="42"/>
      <c r="E73" s="26"/>
      <c r="G73" s="54"/>
      <c r="N73" s="42"/>
    </row>
    <row r="74" spans="2:14" s="13" customFormat="1" x14ac:dyDescent="0.4">
      <c r="B74" s="25"/>
      <c r="D74" s="42"/>
      <c r="E74" s="26"/>
      <c r="G74" s="54"/>
      <c r="N74" s="42"/>
    </row>
    <row r="75" spans="2:14" s="13" customFormat="1" x14ac:dyDescent="0.4">
      <c r="B75" s="25"/>
      <c r="D75" s="42"/>
      <c r="E75" s="26"/>
      <c r="G75" s="54"/>
      <c r="N75" s="42"/>
    </row>
    <row r="76" spans="2:14" s="13" customFormat="1" x14ac:dyDescent="0.4">
      <c r="B76" s="25"/>
      <c r="D76" s="42"/>
      <c r="E76" s="26"/>
      <c r="G76" s="54"/>
      <c r="N76" s="42"/>
    </row>
    <row r="77" spans="2:14" s="13" customFormat="1" x14ac:dyDescent="0.4">
      <c r="B77" s="25"/>
      <c r="D77" s="42"/>
      <c r="E77" s="26"/>
      <c r="G77" s="54"/>
      <c r="N77" s="42"/>
    </row>
    <row r="78" spans="2:14" s="13" customFormat="1" x14ac:dyDescent="0.4">
      <c r="B78" s="25"/>
      <c r="D78" s="42"/>
      <c r="E78" s="26"/>
      <c r="G78" s="54"/>
      <c r="N78" s="42"/>
    </row>
    <row r="79" spans="2:14" s="13" customFormat="1" x14ac:dyDescent="0.4">
      <c r="B79" s="25"/>
      <c r="D79" s="42"/>
      <c r="E79" s="26"/>
      <c r="G79" s="54"/>
      <c r="N79" s="42"/>
    </row>
    <row r="80" spans="2:14" s="13" customFormat="1" x14ac:dyDescent="0.4">
      <c r="B80" s="25"/>
      <c r="D80" s="42"/>
      <c r="E80" s="26"/>
      <c r="G80" s="54"/>
      <c r="N80" s="42"/>
    </row>
    <row r="81" spans="2:14" s="13" customFormat="1" x14ac:dyDescent="0.4">
      <c r="B81" s="25"/>
      <c r="D81" s="42"/>
      <c r="E81" s="26"/>
      <c r="G81" s="54"/>
      <c r="N81" s="42"/>
    </row>
    <row r="82" spans="2:14" s="13" customFormat="1" x14ac:dyDescent="0.4">
      <c r="B82" s="25"/>
      <c r="D82" s="42"/>
      <c r="E82" s="26"/>
      <c r="G82" s="54"/>
      <c r="N82" s="42"/>
    </row>
    <row r="83" spans="2:14" s="13" customFormat="1" x14ac:dyDescent="0.4">
      <c r="B83" s="25"/>
      <c r="D83" s="42"/>
      <c r="E83" s="26"/>
      <c r="G83" s="54"/>
      <c r="N83" s="42"/>
    </row>
    <row r="84" spans="2:14" s="13" customFormat="1" x14ac:dyDescent="0.4">
      <c r="B84" s="25"/>
      <c r="D84" s="42"/>
      <c r="E84" s="26"/>
      <c r="G84" s="54"/>
      <c r="N84" s="42"/>
    </row>
    <row r="85" spans="2:14" s="13" customFormat="1" x14ac:dyDescent="0.4">
      <c r="B85" s="25"/>
      <c r="D85" s="42"/>
      <c r="E85" s="26"/>
      <c r="G85" s="54"/>
      <c r="N85" s="42"/>
    </row>
    <row r="86" spans="2:14" s="13" customFormat="1" x14ac:dyDescent="0.4">
      <c r="B86" s="25"/>
      <c r="D86" s="42"/>
      <c r="E86" s="26"/>
      <c r="G86" s="54"/>
      <c r="N86" s="42"/>
    </row>
    <row r="87" spans="2:14" s="13" customFormat="1" x14ac:dyDescent="0.4">
      <c r="B87" s="25"/>
      <c r="D87" s="42"/>
      <c r="E87" s="26"/>
      <c r="G87" s="54"/>
      <c r="N87" s="42"/>
    </row>
    <row r="88" spans="2:14" s="13" customFormat="1" x14ac:dyDescent="0.4">
      <c r="B88" s="25"/>
      <c r="D88" s="42"/>
      <c r="E88" s="26"/>
      <c r="G88" s="54"/>
      <c r="N88" s="42"/>
    </row>
    <row r="89" spans="2:14" s="13" customFormat="1" x14ac:dyDescent="0.4">
      <c r="B89" s="25"/>
      <c r="D89" s="42"/>
      <c r="E89" s="26"/>
      <c r="G89" s="54"/>
      <c r="N89" s="42"/>
    </row>
    <row r="90" spans="2:14" s="13" customFormat="1" x14ac:dyDescent="0.4">
      <c r="B90" s="25"/>
      <c r="D90" s="42"/>
      <c r="E90" s="26"/>
      <c r="G90" s="54"/>
      <c r="N90" s="42"/>
    </row>
    <row r="91" spans="2:14" s="13" customFormat="1" x14ac:dyDescent="0.4">
      <c r="B91" s="25"/>
      <c r="D91" s="42"/>
      <c r="E91" s="26"/>
      <c r="G91" s="54"/>
      <c r="N91" s="42"/>
    </row>
    <row r="92" spans="2:14" s="13" customFormat="1" x14ac:dyDescent="0.4">
      <c r="B92" s="25"/>
      <c r="D92" s="42"/>
      <c r="E92" s="26"/>
      <c r="G92" s="54"/>
      <c r="N92" s="42"/>
    </row>
    <row r="93" spans="2:14" s="13" customFormat="1" x14ac:dyDescent="0.4">
      <c r="B93" s="25"/>
      <c r="D93" s="42"/>
      <c r="E93" s="26"/>
      <c r="G93" s="54"/>
      <c r="N93" s="42"/>
    </row>
    <row r="94" spans="2:14" s="13" customFormat="1" x14ac:dyDescent="0.4">
      <c r="B94" s="25"/>
      <c r="D94" s="42"/>
      <c r="E94" s="26"/>
      <c r="G94" s="54"/>
      <c r="N94" s="42"/>
    </row>
    <row r="95" spans="2:14" s="13" customFormat="1" x14ac:dyDescent="0.4">
      <c r="B95" s="25"/>
      <c r="D95" s="42"/>
      <c r="E95" s="26"/>
      <c r="G95" s="54"/>
      <c r="N95" s="42"/>
    </row>
    <row r="96" spans="2:14" s="13" customFormat="1" x14ac:dyDescent="0.4">
      <c r="B96" s="25"/>
      <c r="D96" s="42"/>
      <c r="E96" s="26"/>
      <c r="G96" s="54"/>
      <c r="N96" s="42"/>
    </row>
    <row r="97" spans="2:14" s="13" customFormat="1" x14ac:dyDescent="0.4">
      <c r="B97" s="25"/>
      <c r="D97" s="42"/>
      <c r="E97" s="26"/>
      <c r="G97" s="54"/>
      <c r="N97" s="42"/>
    </row>
    <row r="98" spans="2:14" s="13" customFormat="1" x14ac:dyDescent="0.4">
      <c r="B98" s="25"/>
      <c r="D98" s="42"/>
      <c r="E98" s="26"/>
      <c r="G98" s="54"/>
      <c r="N98" s="42"/>
    </row>
    <row r="99" spans="2:14" s="13" customFormat="1" x14ac:dyDescent="0.4">
      <c r="B99" s="25"/>
      <c r="D99" s="42"/>
      <c r="E99" s="26"/>
      <c r="G99" s="54"/>
      <c r="N99" s="42"/>
    </row>
    <row r="100" spans="2:14" s="13" customFormat="1" x14ac:dyDescent="0.4">
      <c r="B100" s="25"/>
      <c r="D100" s="42"/>
      <c r="E100" s="26"/>
      <c r="G100" s="54"/>
      <c r="N100" s="42"/>
    </row>
    <row r="101" spans="2:14" s="13" customFormat="1" x14ac:dyDescent="0.4">
      <c r="B101" s="25"/>
      <c r="D101" s="42"/>
      <c r="E101" s="26"/>
      <c r="G101" s="54"/>
      <c r="N101" s="42"/>
    </row>
    <row r="102" spans="2:14" s="13" customFormat="1" x14ac:dyDescent="0.4">
      <c r="B102" s="25"/>
      <c r="D102" s="42"/>
      <c r="E102" s="26"/>
      <c r="G102" s="54"/>
      <c r="N102" s="42"/>
    </row>
    <row r="103" spans="2:14" s="13" customFormat="1" x14ac:dyDescent="0.4">
      <c r="B103" s="25"/>
      <c r="D103" s="42"/>
      <c r="E103" s="26"/>
      <c r="G103" s="54"/>
      <c r="N103" s="42"/>
    </row>
    <row r="104" spans="2:14" s="13" customFormat="1" x14ac:dyDescent="0.4">
      <c r="B104" s="25"/>
      <c r="D104" s="42"/>
      <c r="E104" s="26"/>
      <c r="G104" s="54"/>
      <c r="N104" s="42"/>
    </row>
    <row r="105" spans="2:14" s="13" customFormat="1" x14ac:dyDescent="0.4">
      <c r="B105" s="25"/>
      <c r="D105" s="42"/>
      <c r="E105" s="26"/>
      <c r="G105" s="54"/>
      <c r="N105" s="42"/>
    </row>
    <row r="106" spans="2:14" s="13" customFormat="1" x14ac:dyDescent="0.4">
      <c r="B106" s="25"/>
      <c r="D106" s="42"/>
      <c r="E106" s="26"/>
      <c r="G106" s="54"/>
      <c r="N106" s="42"/>
    </row>
    <row r="107" spans="2:14" s="13" customFormat="1" x14ac:dyDescent="0.4">
      <c r="B107" s="25"/>
      <c r="D107" s="42"/>
      <c r="E107" s="26"/>
      <c r="G107" s="54"/>
      <c r="N107" s="42"/>
    </row>
    <row r="108" spans="2:14" s="13" customFormat="1" x14ac:dyDescent="0.4">
      <c r="B108" s="25"/>
      <c r="D108" s="42"/>
      <c r="E108" s="26"/>
      <c r="G108" s="54"/>
      <c r="N108" s="42"/>
    </row>
    <row r="109" spans="2:14" s="13" customFormat="1" x14ac:dyDescent="0.4">
      <c r="B109" s="25"/>
      <c r="D109" s="42"/>
      <c r="E109" s="26"/>
      <c r="G109" s="54"/>
      <c r="N109" s="42"/>
    </row>
    <row r="110" spans="2:14" s="13" customFormat="1" x14ac:dyDescent="0.4">
      <c r="B110" s="25"/>
      <c r="D110" s="42"/>
      <c r="E110" s="26"/>
      <c r="G110" s="54"/>
      <c r="N110" s="42"/>
    </row>
    <row r="111" spans="2:14" s="13" customFormat="1" x14ac:dyDescent="0.4">
      <c r="B111" s="25"/>
      <c r="D111" s="42"/>
      <c r="E111" s="26"/>
      <c r="G111" s="54"/>
      <c r="N111" s="42"/>
    </row>
    <row r="112" spans="2:14" s="13" customFormat="1" x14ac:dyDescent="0.4">
      <c r="B112" s="25"/>
      <c r="D112" s="42"/>
      <c r="E112" s="26"/>
      <c r="G112" s="54"/>
      <c r="N112" s="42"/>
    </row>
    <row r="113" spans="2:14" s="13" customFormat="1" x14ac:dyDescent="0.4">
      <c r="B113" s="25"/>
      <c r="D113" s="42"/>
      <c r="E113" s="26"/>
      <c r="G113" s="54"/>
      <c r="N113" s="42"/>
    </row>
    <row r="114" spans="2:14" s="13" customFormat="1" x14ac:dyDescent="0.4">
      <c r="B114" s="25"/>
      <c r="D114" s="42"/>
      <c r="E114" s="26"/>
      <c r="G114" s="54"/>
      <c r="N114" s="42"/>
    </row>
    <row r="115" spans="2:14" s="13" customFormat="1" x14ac:dyDescent="0.4">
      <c r="B115" s="25"/>
      <c r="D115" s="42"/>
      <c r="E115" s="26"/>
      <c r="G115" s="54"/>
      <c r="N115" s="42"/>
    </row>
    <row r="116" spans="2:14" s="13" customFormat="1" x14ac:dyDescent="0.4">
      <c r="B116" s="25"/>
      <c r="D116" s="42"/>
      <c r="E116" s="26"/>
      <c r="G116" s="54"/>
      <c r="N116" s="42"/>
    </row>
    <row r="117" spans="2:14" s="13" customFormat="1" x14ac:dyDescent="0.4">
      <c r="B117" s="25"/>
      <c r="D117" s="42"/>
      <c r="E117" s="26"/>
      <c r="G117" s="54"/>
      <c r="N117" s="42"/>
    </row>
    <row r="118" spans="2:14" s="13" customFormat="1" x14ac:dyDescent="0.4">
      <c r="B118" s="25"/>
      <c r="D118" s="42"/>
      <c r="E118" s="26"/>
      <c r="G118" s="54"/>
      <c r="N118" s="42"/>
    </row>
    <row r="119" spans="2:14" s="13" customFormat="1" x14ac:dyDescent="0.4">
      <c r="B119" s="25"/>
      <c r="D119" s="42"/>
      <c r="E119" s="26"/>
      <c r="G119" s="54"/>
      <c r="N119" s="42"/>
    </row>
    <row r="120" spans="2:14" s="13" customFormat="1" x14ac:dyDescent="0.4">
      <c r="B120" s="25"/>
      <c r="D120" s="42"/>
      <c r="E120" s="26"/>
      <c r="G120" s="54"/>
      <c r="N120" s="42"/>
    </row>
    <row r="121" spans="2:14" s="13" customFormat="1" x14ac:dyDescent="0.4">
      <c r="B121" s="25"/>
      <c r="D121" s="42"/>
      <c r="E121" s="26"/>
      <c r="G121" s="54"/>
      <c r="N121" s="42"/>
    </row>
    <row r="122" spans="2:14" s="13" customFormat="1" x14ac:dyDescent="0.4">
      <c r="B122" s="25"/>
      <c r="D122" s="42"/>
      <c r="E122" s="26"/>
      <c r="G122" s="54"/>
      <c r="N122" s="42"/>
    </row>
    <row r="123" spans="2:14" s="13" customFormat="1" x14ac:dyDescent="0.4">
      <c r="B123" s="25"/>
      <c r="D123" s="42"/>
      <c r="E123" s="26"/>
      <c r="G123" s="54"/>
      <c r="N123" s="42"/>
    </row>
    <row r="124" spans="2:14" s="13" customFormat="1" x14ac:dyDescent="0.4">
      <c r="B124" s="25"/>
      <c r="D124" s="42"/>
      <c r="E124" s="26"/>
      <c r="G124" s="54"/>
      <c r="N124" s="42"/>
    </row>
    <row r="125" spans="2:14" s="13" customFormat="1" x14ac:dyDescent="0.4">
      <c r="B125" s="25"/>
      <c r="D125" s="42"/>
      <c r="E125" s="26"/>
      <c r="G125" s="54"/>
      <c r="N125" s="42"/>
    </row>
    <row r="126" spans="2:14" s="13" customFormat="1" x14ac:dyDescent="0.4">
      <c r="B126" s="25"/>
      <c r="D126" s="42"/>
      <c r="E126" s="26"/>
      <c r="G126" s="54"/>
      <c r="N126" s="42"/>
    </row>
    <row r="127" spans="2:14" s="13" customFormat="1" x14ac:dyDescent="0.4">
      <c r="B127" s="25"/>
      <c r="D127" s="42"/>
      <c r="E127" s="26"/>
      <c r="G127" s="54"/>
      <c r="N127" s="42"/>
    </row>
    <row r="128" spans="2:14" s="13" customFormat="1" x14ac:dyDescent="0.4">
      <c r="B128" s="25"/>
      <c r="D128" s="42"/>
      <c r="E128" s="26"/>
      <c r="G128" s="54"/>
      <c r="N128" s="42"/>
    </row>
    <row r="129" spans="2:14" s="13" customFormat="1" x14ac:dyDescent="0.4">
      <c r="B129" s="25"/>
      <c r="D129" s="42"/>
      <c r="E129" s="26"/>
      <c r="G129" s="54"/>
      <c r="N129" s="42"/>
    </row>
    <row r="130" spans="2:14" s="13" customFormat="1" x14ac:dyDescent="0.4">
      <c r="B130" s="25"/>
      <c r="D130" s="42"/>
      <c r="E130" s="26"/>
      <c r="G130" s="54"/>
      <c r="N130" s="42"/>
    </row>
    <row r="131" spans="2:14" s="13" customFormat="1" x14ac:dyDescent="0.4">
      <c r="B131" s="25"/>
      <c r="D131" s="42"/>
      <c r="E131" s="26"/>
      <c r="G131" s="54"/>
      <c r="N131" s="42"/>
    </row>
    <row r="132" spans="2:14" s="13" customFormat="1" x14ac:dyDescent="0.4">
      <c r="B132" s="25"/>
      <c r="D132" s="42"/>
      <c r="E132" s="26"/>
      <c r="G132" s="54"/>
      <c r="N132" s="42"/>
    </row>
    <row r="133" spans="2:14" s="13" customFormat="1" x14ac:dyDescent="0.4">
      <c r="B133" s="25"/>
      <c r="D133" s="42"/>
      <c r="E133" s="26"/>
      <c r="G133" s="54"/>
      <c r="N133" s="42"/>
    </row>
    <row r="134" spans="2:14" s="13" customFormat="1" x14ac:dyDescent="0.4">
      <c r="B134" s="25"/>
      <c r="D134" s="42"/>
      <c r="E134" s="26"/>
      <c r="G134" s="54"/>
      <c r="N134" s="42"/>
    </row>
    <row r="135" spans="2:14" s="13" customFormat="1" x14ac:dyDescent="0.4">
      <c r="B135" s="25"/>
      <c r="D135" s="42"/>
      <c r="E135" s="26"/>
      <c r="G135" s="54"/>
      <c r="N135" s="42"/>
    </row>
    <row r="136" spans="2:14" s="13" customFormat="1" x14ac:dyDescent="0.4">
      <c r="B136" s="25"/>
      <c r="D136" s="42"/>
      <c r="E136" s="26"/>
      <c r="G136" s="54"/>
      <c r="N136" s="42"/>
    </row>
    <row r="137" spans="2:14" s="13" customFormat="1" x14ac:dyDescent="0.4">
      <c r="B137" s="25"/>
      <c r="D137" s="42"/>
      <c r="E137" s="26"/>
      <c r="G137" s="54"/>
      <c r="N137" s="42"/>
    </row>
    <row r="138" spans="2:14" s="13" customFormat="1" x14ac:dyDescent="0.4">
      <c r="B138" s="25"/>
      <c r="D138" s="42"/>
      <c r="E138" s="26"/>
      <c r="G138" s="54"/>
      <c r="N138" s="42"/>
    </row>
    <row r="139" spans="2:14" s="13" customFormat="1" x14ac:dyDescent="0.4">
      <c r="B139" s="25"/>
      <c r="D139" s="42"/>
      <c r="E139" s="26"/>
      <c r="G139" s="54"/>
      <c r="N139" s="42"/>
    </row>
    <row r="140" spans="2:14" s="13" customFormat="1" x14ac:dyDescent="0.4">
      <c r="B140" s="25"/>
      <c r="D140" s="42"/>
      <c r="E140" s="26"/>
      <c r="G140" s="54"/>
      <c r="N140" s="42"/>
    </row>
    <row r="141" spans="2:14" s="13" customFormat="1" x14ac:dyDescent="0.4">
      <c r="B141" s="25"/>
      <c r="D141" s="42"/>
      <c r="E141" s="26"/>
      <c r="G141" s="54"/>
      <c r="N141" s="42"/>
    </row>
    <row r="142" spans="2:14" s="13" customFormat="1" x14ac:dyDescent="0.4">
      <c r="B142" s="25"/>
      <c r="D142" s="42"/>
      <c r="E142" s="26"/>
      <c r="G142" s="54"/>
      <c r="N142" s="42"/>
    </row>
    <row r="143" spans="2:14" s="13" customFormat="1" x14ac:dyDescent="0.4">
      <c r="B143" s="25"/>
      <c r="D143" s="42"/>
      <c r="E143" s="26"/>
      <c r="G143" s="54"/>
      <c r="N143" s="42"/>
    </row>
    <row r="144" spans="2:14" s="13" customFormat="1" x14ac:dyDescent="0.4">
      <c r="B144" s="25"/>
      <c r="D144" s="42"/>
      <c r="E144" s="26"/>
      <c r="G144" s="54"/>
      <c r="N144" s="42"/>
    </row>
    <row r="145" spans="2:14" s="13" customFormat="1" x14ac:dyDescent="0.4">
      <c r="B145" s="25"/>
      <c r="D145" s="42"/>
      <c r="E145" s="26"/>
      <c r="G145" s="54"/>
      <c r="N145" s="42"/>
    </row>
    <row r="146" spans="2:14" s="13" customFormat="1" x14ac:dyDescent="0.4">
      <c r="B146" s="25"/>
      <c r="D146" s="42"/>
      <c r="E146" s="26"/>
      <c r="G146" s="54"/>
      <c r="N146" s="42"/>
    </row>
    <row r="147" spans="2:14" s="13" customFormat="1" x14ac:dyDescent="0.4">
      <c r="B147" s="25"/>
      <c r="D147" s="42"/>
      <c r="E147" s="26"/>
      <c r="G147" s="54"/>
      <c r="N147" s="42"/>
    </row>
    <row r="148" spans="2:14" s="13" customFormat="1" x14ac:dyDescent="0.4">
      <c r="B148" s="25"/>
      <c r="D148" s="42"/>
      <c r="E148" s="26"/>
      <c r="G148" s="54"/>
      <c r="N148" s="42"/>
    </row>
    <row r="149" spans="2:14" s="13" customFormat="1" x14ac:dyDescent="0.4">
      <c r="B149" s="25"/>
      <c r="D149" s="42"/>
      <c r="E149" s="26"/>
      <c r="G149" s="54"/>
      <c r="N149" s="42"/>
    </row>
    <row r="150" spans="2:14" s="13" customFormat="1" x14ac:dyDescent="0.4">
      <c r="B150" s="25"/>
      <c r="D150" s="42"/>
      <c r="E150" s="26"/>
      <c r="G150" s="54"/>
      <c r="N150" s="42"/>
    </row>
    <row r="151" spans="2:14" s="13" customFormat="1" x14ac:dyDescent="0.4">
      <c r="B151" s="25"/>
      <c r="D151" s="42"/>
      <c r="E151" s="26"/>
      <c r="G151" s="54"/>
      <c r="N151" s="42"/>
    </row>
    <row r="152" spans="2:14" s="13" customFormat="1" x14ac:dyDescent="0.4">
      <c r="B152" s="25"/>
      <c r="D152" s="42"/>
      <c r="E152" s="26"/>
      <c r="G152" s="54"/>
      <c r="N152" s="42"/>
    </row>
    <row r="153" spans="2:14" s="13" customFormat="1" x14ac:dyDescent="0.4">
      <c r="B153" s="25"/>
      <c r="D153" s="42"/>
      <c r="E153" s="26"/>
      <c r="G153" s="54"/>
      <c r="N153" s="42"/>
    </row>
    <row r="154" spans="2:14" s="13" customFormat="1" x14ac:dyDescent="0.4">
      <c r="B154" s="25"/>
      <c r="D154" s="42"/>
      <c r="E154" s="26"/>
      <c r="G154" s="54"/>
      <c r="N154" s="42"/>
    </row>
    <row r="155" spans="2:14" s="13" customFormat="1" x14ac:dyDescent="0.4">
      <c r="B155" s="25"/>
      <c r="D155" s="42"/>
      <c r="E155" s="26"/>
      <c r="G155" s="54"/>
      <c r="N155" s="42"/>
    </row>
    <row r="156" spans="2:14" s="13" customFormat="1" x14ac:dyDescent="0.4">
      <c r="B156" s="25"/>
      <c r="D156" s="42"/>
      <c r="E156" s="26"/>
      <c r="G156" s="54"/>
      <c r="N156" s="42"/>
    </row>
    <row r="157" spans="2:14" s="13" customFormat="1" x14ac:dyDescent="0.4">
      <c r="B157" s="25"/>
      <c r="D157" s="42"/>
      <c r="E157" s="26"/>
      <c r="G157" s="54"/>
      <c r="N157" s="42"/>
    </row>
    <row r="158" spans="2:14" s="13" customFormat="1" x14ac:dyDescent="0.4">
      <c r="B158" s="25"/>
      <c r="D158" s="42"/>
      <c r="E158" s="26"/>
      <c r="G158" s="54"/>
      <c r="N158" s="42"/>
    </row>
    <row r="159" spans="2:14" s="13" customFormat="1" x14ac:dyDescent="0.4">
      <c r="B159" s="25"/>
      <c r="D159" s="42"/>
      <c r="E159" s="26"/>
      <c r="G159" s="54"/>
      <c r="N159" s="42"/>
    </row>
    <row r="160" spans="2:14" s="13" customFormat="1" x14ac:dyDescent="0.4">
      <c r="B160" s="25"/>
      <c r="D160" s="42"/>
      <c r="E160" s="26"/>
      <c r="G160" s="54"/>
      <c r="N160" s="42"/>
    </row>
    <row r="161" spans="2:14" s="13" customFormat="1" x14ac:dyDescent="0.4">
      <c r="B161" s="25"/>
      <c r="D161" s="42"/>
      <c r="E161" s="26"/>
      <c r="G161" s="54"/>
      <c r="N161" s="42"/>
    </row>
    <row r="162" spans="2:14" s="13" customFormat="1" x14ac:dyDescent="0.4">
      <c r="B162" s="25"/>
      <c r="D162" s="42"/>
      <c r="E162" s="26"/>
      <c r="G162" s="54"/>
      <c r="N162" s="42"/>
    </row>
    <row r="163" spans="2:14" s="13" customFormat="1" x14ac:dyDescent="0.4">
      <c r="B163" s="25"/>
      <c r="D163" s="42"/>
      <c r="E163" s="26"/>
      <c r="G163" s="54"/>
      <c r="N163" s="42"/>
    </row>
    <row r="164" spans="2:14" s="13" customFormat="1" x14ac:dyDescent="0.4">
      <c r="B164" s="25"/>
      <c r="D164" s="42"/>
      <c r="E164" s="26"/>
      <c r="G164" s="54"/>
      <c r="N164" s="42"/>
    </row>
    <row r="165" spans="2:14" s="13" customFormat="1" x14ac:dyDescent="0.4">
      <c r="B165" s="25"/>
      <c r="D165" s="42"/>
      <c r="E165" s="26"/>
      <c r="G165" s="54"/>
      <c r="N165" s="42"/>
    </row>
    <row r="166" spans="2:14" s="13" customFormat="1" x14ac:dyDescent="0.4">
      <c r="B166" s="25"/>
      <c r="D166" s="42"/>
      <c r="E166" s="26"/>
      <c r="G166" s="54"/>
      <c r="N166" s="42"/>
    </row>
    <row r="167" spans="2:14" s="13" customFormat="1" x14ac:dyDescent="0.4">
      <c r="B167" s="25"/>
      <c r="D167" s="42"/>
      <c r="E167" s="26"/>
      <c r="G167" s="54"/>
      <c r="N167" s="42"/>
    </row>
    <row r="168" spans="2:14" s="13" customFormat="1" x14ac:dyDescent="0.4">
      <c r="B168" s="25"/>
      <c r="D168" s="42"/>
      <c r="E168" s="26"/>
      <c r="G168" s="54"/>
      <c r="N168" s="42"/>
    </row>
    <row r="169" spans="2:14" s="13" customFormat="1" x14ac:dyDescent="0.4">
      <c r="B169" s="25"/>
      <c r="D169" s="42"/>
      <c r="E169" s="26"/>
      <c r="G169" s="54"/>
      <c r="N169" s="42"/>
    </row>
    <row r="170" spans="2:14" s="13" customFormat="1" x14ac:dyDescent="0.4">
      <c r="B170" s="25"/>
      <c r="D170" s="42"/>
      <c r="E170" s="26"/>
      <c r="G170" s="54"/>
      <c r="N170" s="42"/>
    </row>
    <row r="171" spans="2:14" s="13" customFormat="1" x14ac:dyDescent="0.4">
      <c r="B171" s="25"/>
      <c r="D171" s="42"/>
      <c r="E171" s="26"/>
      <c r="G171" s="54"/>
      <c r="N171" s="42"/>
    </row>
    <row r="172" spans="2:14" s="13" customFormat="1" x14ac:dyDescent="0.4">
      <c r="B172" s="25"/>
      <c r="D172" s="42"/>
      <c r="E172" s="26"/>
      <c r="G172" s="54"/>
      <c r="N172" s="42"/>
    </row>
    <row r="173" spans="2:14" s="13" customFormat="1" x14ac:dyDescent="0.4">
      <c r="B173" s="25"/>
      <c r="D173" s="42"/>
      <c r="E173" s="26"/>
      <c r="G173" s="54"/>
      <c r="N173" s="42"/>
    </row>
    <row r="174" spans="2:14" s="13" customFormat="1" x14ac:dyDescent="0.4">
      <c r="B174" s="25"/>
      <c r="D174" s="42"/>
      <c r="E174" s="26"/>
      <c r="G174" s="54"/>
      <c r="N174" s="42"/>
    </row>
    <row r="175" spans="2:14" s="13" customFormat="1" x14ac:dyDescent="0.4">
      <c r="B175" s="25"/>
      <c r="D175" s="42"/>
      <c r="E175" s="26"/>
      <c r="G175" s="54"/>
      <c r="N175" s="42"/>
    </row>
    <row r="176" spans="2:14" s="13" customFormat="1" x14ac:dyDescent="0.4">
      <c r="B176" s="25"/>
      <c r="D176" s="42"/>
      <c r="E176" s="26"/>
      <c r="G176" s="54"/>
      <c r="N176" s="42"/>
    </row>
    <row r="177" spans="2:14" s="13" customFormat="1" x14ac:dyDescent="0.4">
      <c r="B177" s="25"/>
      <c r="D177" s="42"/>
      <c r="E177" s="26"/>
      <c r="G177" s="54"/>
      <c r="N177" s="42"/>
    </row>
    <row r="178" spans="2:14" s="13" customFormat="1" x14ac:dyDescent="0.4">
      <c r="B178" s="25"/>
      <c r="D178" s="42"/>
      <c r="E178" s="26"/>
      <c r="G178" s="54"/>
      <c r="N178" s="42"/>
    </row>
    <row r="179" spans="2:14" s="13" customFormat="1" x14ac:dyDescent="0.4">
      <c r="B179" s="25"/>
      <c r="D179" s="42"/>
      <c r="E179" s="26"/>
      <c r="G179" s="54"/>
      <c r="N179" s="42"/>
    </row>
    <row r="180" spans="2:14" s="13" customFormat="1" x14ac:dyDescent="0.4">
      <c r="B180" s="25"/>
      <c r="D180" s="42"/>
      <c r="E180" s="26"/>
      <c r="G180" s="54"/>
      <c r="N180" s="42"/>
    </row>
    <row r="181" spans="2:14" s="13" customFormat="1" x14ac:dyDescent="0.4">
      <c r="B181" s="25"/>
      <c r="D181" s="42"/>
      <c r="E181" s="26"/>
      <c r="G181" s="54"/>
      <c r="N181" s="42"/>
    </row>
    <row r="182" spans="2:14" s="13" customFormat="1" x14ac:dyDescent="0.4">
      <c r="B182" s="25"/>
      <c r="D182" s="42"/>
      <c r="E182" s="26"/>
      <c r="G182" s="54"/>
      <c r="N182" s="42"/>
    </row>
    <row r="183" spans="2:14" s="13" customFormat="1" x14ac:dyDescent="0.4">
      <c r="B183" s="25"/>
      <c r="D183" s="42"/>
      <c r="E183" s="26"/>
      <c r="G183" s="54"/>
      <c r="N183" s="42"/>
    </row>
    <row r="184" spans="2:14" s="13" customFormat="1" x14ac:dyDescent="0.4">
      <c r="B184" s="25"/>
      <c r="D184" s="42"/>
      <c r="E184" s="26"/>
      <c r="G184" s="54"/>
      <c r="N184" s="42"/>
    </row>
    <row r="185" spans="2:14" s="13" customFormat="1" x14ac:dyDescent="0.4">
      <c r="B185" s="25"/>
      <c r="D185" s="42"/>
      <c r="E185" s="26"/>
      <c r="G185" s="54"/>
      <c r="N185" s="42"/>
    </row>
    <row r="186" spans="2:14" s="13" customFormat="1" x14ac:dyDescent="0.4">
      <c r="B186" s="25"/>
      <c r="D186" s="42"/>
      <c r="E186" s="26"/>
      <c r="G186" s="54"/>
      <c r="N186" s="42"/>
    </row>
    <row r="187" spans="2:14" s="13" customFormat="1" x14ac:dyDescent="0.4">
      <c r="B187" s="25"/>
      <c r="D187" s="42"/>
      <c r="E187" s="26"/>
      <c r="G187" s="54"/>
      <c r="N187" s="42"/>
    </row>
    <row r="188" spans="2:14" s="13" customFormat="1" x14ac:dyDescent="0.4">
      <c r="B188" s="25"/>
      <c r="D188" s="42"/>
      <c r="E188" s="26"/>
      <c r="G188" s="54"/>
      <c r="N188" s="42"/>
    </row>
    <row r="189" spans="2:14" s="13" customFormat="1" x14ac:dyDescent="0.4">
      <c r="B189" s="25"/>
      <c r="D189" s="42"/>
      <c r="E189" s="26"/>
      <c r="G189" s="54"/>
      <c r="N189" s="42"/>
    </row>
    <row r="190" spans="2:14" s="13" customFormat="1" x14ac:dyDescent="0.4">
      <c r="B190" s="25"/>
      <c r="D190" s="42"/>
      <c r="E190" s="26"/>
      <c r="G190" s="54"/>
      <c r="N190" s="42"/>
    </row>
    <row r="191" spans="2:14" s="13" customFormat="1" x14ac:dyDescent="0.4">
      <c r="B191" s="25"/>
      <c r="D191" s="42"/>
      <c r="E191" s="26"/>
      <c r="G191" s="54"/>
      <c r="N191" s="42"/>
    </row>
    <row r="192" spans="2:14" s="13" customFormat="1" x14ac:dyDescent="0.4">
      <c r="B192" s="25"/>
      <c r="D192" s="42"/>
      <c r="E192" s="26"/>
      <c r="G192" s="54"/>
      <c r="N192" s="42"/>
    </row>
    <row r="193" spans="2:14" s="13" customFormat="1" x14ac:dyDescent="0.4">
      <c r="B193" s="25"/>
      <c r="D193" s="42"/>
      <c r="E193" s="26"/>
      <c r="G193" s="54"/>
      <c r="N193" s="42"/>
    </row>
    <row r="194" spans="2:14" s="13" customFormat="1" x14ac:dyDescent="0.4">
      <c r="B194" s="25"/>
      <c r="D194" s="42"/>
      <c r="E194" s="26"/>
      <c r="G194" s="54"/>
      <c r="N194" s="42"/>
    </row>
    <row r="195" spans="2:14" s="13" customFormat="1" x14ac:dyDescent="0.4">
      <c r="B195" s="25"/>
      <c r="D195" s="42"/>
      <c r="E195" s="26"/>
      <c r="G195" s="54"/>
      <c r="N195" s="42"/>
    </row>
    <row r="196" spans="2:14" s="13" customFormat="1" x14ac:dyDescent="0.4">
      <c r="B196" s="25"/>
      <c r="D196" s="42"/>
      <c r="E196" s="26"/>
      <c r="G196" s="54"/>
      <c r="N196" s="42"/>
    </row>
    <row r="197" spans="2:14" s="13" customFormat="1" x14ac:dyDescent="0.4">
      <c r="B197" s="25"/>
      <c r="D197" s="42"/>
      <c r="E197" s="26"/>
      <c r="G197" s="54"/>
      <c r="N197" s="42"/>
    </row>
    <row r="198" spans="2:14" s="13" customFormat="1" x14ac:dyDescent="0.4">
      <c r="B198" s="25"/>
      <c r="D198" s="42"/>
      <c r="E198" s="26"/>
      <c r="G198" s="54"/>
      <c r="N198" s="42"/>
    </row>
    <row r="199" spans="2:14" s="13" customFormat="1" x14ac:dyDescent="0.4">
      <c r="B199" s="25"/>
      <c r="D199" s="42"/>
      <c r="E199" s="26"/>
      <c r="G199" s="54"/>
      <c r="N199" s="42"/>
    </row>
    <row r="200" spans="2:14" s="13" customFormat="1" x14ac:dyDescent="0.4">
      <c r="B200" s="25"/>
      <c r="D200" s="42"/>
      <c r="E200" s="26"/>
      <c r="G200" s="54"/>
      <c r="N200" s="42"/>
    </row>
    <row r="201" spans="2:14" s="13" customFormat="1" x14ac:dyDescent="0.4">
      <c r="B201" s="25"/>
      <c r="D201" s="42"/>
      <c r="E201" s="26"/>
      <c r="G201" s="54"/>
      <c r="N201" s="42"/>
    </row>
    <row r="202" spans="2:14" s="13" customFormat="1" x14ac:dyDescent="0.4">
      <c r="B202" s="25"/>
      <c r="D202" s="42"/>
      <c r="E202" s="26"/>
      <c r="G202" s="54"/>
      <c r="N202" s="42"/>
    </row>
    <row r="203" spans="2:14" s="13" customFormat="1" x14ac:dyDescent="0.4">
      <c r="B203" s="25"/>
      <c r="D203" s="42"/>
      <c r="E203" s="26"/>
      <c r="G203" s="54"/>
      <c r="N203" s="42"/>
    </row>
    <row r="204" spans="2:14" s="13" customFormat="1" x14ac:dyDescent="0.4">
      <c r="B204" s="25"/>
      <c r="D204" s="42"/>
      <c r="E204" s="26"/>
      <c r="G204" s="54"/>
      <c r="N204" s="42"/>
    </row>
    <row r="205" spans="2:14" s="13" customFormat="1" x14ac:dyDescent="0.4">
      <c r="B205" s="25"/>
      <c r="D205" s="42"/>
      <c r="E205" s="26"/>
      <c r="G205" s="54"/>
      <c r="N205" s="42"/>
    </row>
    <row r="206" spans="2:14" s="13" customFormat="1" x14ac:dyDescent="0.4">
      <c r="B206" s="25"/>
      <c r="D206" s="42"/>
      <c r="E206" s="26"/>
      <c r="G206" s="54"/>
      <c r="N206" s="42"/>
    </row>
    <row r="207" spans="2:14" s="13" customFormat="1" x14ac:dyDescent="0.4">
      <c r="B207" s="25"/>
      <c r="D207" s="42"/>
      <c r="E207" s="26"/>
      <c r="G207" s="54"/>
      <c r="N207" s="42"/>
    </row>
    <row r="208" spans="2:14" s="13" customFormat="1" x14ac:dyDescent="0.4">
      <c r="B208" s="25"/>
      <c r="D208" s="42"/>
      <c r="E208" s="26"/>
      <c r="G208" s="54"/>
      <c r="N208" s="42"/>
    </row>
    <row r="209" spans="2:14" s="13" customFormat="1" x14ac:dyDescent="0.4">
      <c r="B209" s="25"/>
      <c r="D209" s="42"/>
      <c r="E209" s="26"/>
      <c r="G209" s="54"/>
      <c r="N209" s="42"/>
    </row>
    <row r="210" spans="2:14" s="13" customFormat="1" x14ac:dyDescent="0.4">
      <c r="B210" s="25"/>
      <c r="D210" s="42"/>
      <c r="E210" s="26"/>
      <c r="G210" s="54"/>
      <c r="N210" s="42"/>
    </row>
    <row r="211" spans="2:14" s="13" customFormat="1" x14ac:dyDescent="0.4">
      <c r="B211" s="25"/>
      <c r="D211" s="42"/>
      <c r="E211" s="26"/>
      <c r="G211" s="54"/>
      <c r="N211" s="42"/>
    </row>
    <row r="212" spans="2:14" s="13" customFormat="1" x14ac:dyDescent="0.4">
      <c r="B212" s="25"/>
      <c r="D212" s="42"/>
      <c r="E212" s="26"/>
      <c r="G212" s="54"/>
      <c r="N212" s="42"/>
    </row>
    <row r="213" spans="2:14" s="13" customFormat="1" x14ac:dyDescent="0.4">
      <c r="B213" s="25"/>
      <c r="D213" s="42"/>
      <c r="E213" s="26"/>
      <c r="G213" s="54"/>
      <c r="N213" s="42"/>
    </row>
    <row r="214" spans="2:14" s="13" customFormat="1" x14ac:dyDescent="0.4">
      <c r="B214" s="25"/>
      <c r="D214" s="42"/>
      <c r="E214" s="26"/>
      <c r="G214" s="54"/>
      <c r="N214" s="42"/>
    </row>
    <row r="215" spans="2:14" s="13" customFormat="1" x14ac:dyDescent="0.4">
      <c r="B215" s="25"/>
      <c r="D215" s="42"/>
      <c r="E215" s="26"/>
      <c r="G215" s="54"/>
      <c r="N215" s="42"/>
    </row>
    <row r="216" spans="2:14" s="13" customFormat="1" x14ac:dyDescent="0.4">
      <c r="B216" s="25"/>
      <c r="D216" s="42"/>
      <c r="E216" s="26"/>
      <c r="G216" s="54"/>
      <c r="N216" s="42"/>
    </row>
    <row r="217" spans="2:14" s="13" customFormat="1" x14ac:dyDescent="0.4">
      <c r="B217" s="25"/>
      <c r="D217" s="42"/>
      <c r="E217" s="26"/>
      <c r="G217" s="54"/>
      <c r="N217" s="42"/>
    </row>
    <row r="218" spans="2:14" s="13" customFormat="1" x14ac:dyDescent="0.4">
      <c r="B218" s="25"/>
      <c r="D218" s="42"/>
      <c r="E218" s="26"/>
      <c r="G218" s="54"/>
      <c r="N218" s="42"/>
    </row>
    <row r="219" spans="2:14" s="13" customFormat="1" x14ac:dyDescent="0.4">
      <c r="B219" s="25"/>
      <c r="D219" s="42"/>
      <c r="E219" s="26"/>
      <c r="G219" s="54"/>
      <c r="N219" s="42"/>
    </row>
    <row r="220" spans="2:14" s="13" customFormat="1" x14ac:dyDescent="0.4">
      <c r="B220" s="25"/>
      <c r="D220" s="42"/>
      <c r="E220" s="26"/>
      <c r="G220" s="54"/>
      <c r="N220" s="42"/>
    </row>
    <row r="221" spans="2:14" s="13" customFormat="1" x14ac:dyDescent="0.4">
      <c r="B221" s="25"/>
      <c r="D221" s="42"/>
      <c r="E221" s="26"/>
      <c r="G221" s="54"/>
      <c r="N221" s="42"/>
    </row>
    <row r="222" spans="2:14" s="13" customFormat="1" x14ac:dyDescent="0.4">
      <c r="B222" s="25"/>
      <c r="D222" s="42"/>
      <c r="E222" s="26"/>
      <c r="G222" s="54"/>
      <c r="N222" s="42"/>
    </row>
    <row r="223" spans="2:14" s="13" customFormat="1" x14ac:dyDescent="0.4">
      <c r="B223" s="25"/>
      <c r="D223" s="42"/>
      <c r="E223" s="26"/>
      <c r="G223" s="54"/>
      <c r="N223" s="42"/>
    </row>
    <row r="224" spans="2:14" s="13" customFormat="1" x14ac:dyDescent="0.4">
      <c r="B224" s="25"/>
      <c r="D224" s="42"/>
      <c r="E224" s="26"/>
      <c r="G224" s="54"/>
      <c r="N224" s="42"/>
    </row>
    <row r="225" spans="2:14" s="13" customFormat="1" x14ac:dyDescent="0.4">
      <c r="B225" s="25"/>
      <c r="D225" s="42"/>
      <c r="E225" s="26"/>
      <c r="G225" s="54"/>
      <c r="N225" s="42"/>
    </row>
    <row r="226" spans="2:14" s="13" customFormat="1" x14ac:dyDescent="0.4">
      <c r="B226" s="25"/>
      <c r="D226" s="42"/>
      <c r="E226" s="26"/>
      <c r="G226" s="54"/>
      <c r="N226" s="42"/>
    </row>
    <row r="227" spans="2:14" s="13" customFormat="1" x14ac:dyDescent="0.4">
      <c r="B227" s="25"/>
      <c r="D227" s="42"/>
      <c r="E227" s="26"/>
      <c r="G227" s="54"/>
      <c r="N227" s="42"/>
    </row>
    <row r="228" spans="2:14" s="13" customFormat="1" x14ac:dyDescent="0.4">
      <c r="B228" s="25"/>
      <c r="D228" s="42"/>
      <c r="E228" s="26"/>
      <c r="G228" s="54"/>
      <c r="N228" s="42"/>
    </row>
    <row r="229" spans="2:14" s="13" customFormat="1" x14ac:dyDescent="0.4">
      <c r="B229" s="25"/>
      <c r="D229" s="42"/>
      <c r="E229" s="26"/>
      <c r="G229" s="54"/>
      <c r="N229" s="42"/>
    </row>
    <row r="230" spans="2:14" s="13" customFormat="1" x14ac:dyDescent="0.4">
      <c r="B230" s="25"/>
      <c r="D230" s="42"/>
      <c r="E230" s="26"/>
      <c r="G230" s="54"/>
      <c r="N230" s="42"/>
    </row>
    <row r="231" spans="2:14" s="13" customFormat="1" x14ac:dyDescent="0.4">
      <c r="B231" s="25"/>
      <c r="D231" s="42"/>
      <c r="E231" s="26"/>
      <c r="G231" s="54"/>
      <c r="N231" s="42"/>
    </row>
    <row r="232" spans="2:14" s="13" customFormat="1" x14ac:dyDescent="0.4">
      <c r="B232" s="25"/>
      <c r="D232" s="42"/>
      <c r="E232" s="26"/>
      <c r="G232" s="54"/>
      <c r="N232" s="42"/>
    </row>
    <row r="233" spans="2:14" s="13" customFormat="1" x14ac:dyDescent="0.4">
      <c r="B233" s="25"/>
      <c r="D233" s="42"/>
      <c r="E233" s="26"/>
      <c r="G233" s="54"/>
      <c r="N233" s="42"/>
    </row>
    <row r="234" spans="2:14" s="13" customFormat="1" x14ac:dyDescent="0.4">
      <c r="B234" s="25"/>
      <c r="D234" s="42"/>
      <c r="E234" s="26"/>
      <c r="G234" s="54"/>
      <c r="N234" s="42"/>
    </row>
    <row r="235" spans="2:14" s="13" customFormat="1" x14ac:dyDescent="0.4">
      <c r="B235" s="25"/>
      <c r="D235" s="42"/>
      <c r="E235" s="26"/>
      <c r="G235" s="54"/>
      <c r="N235" s="42"/>
    </row>
    <row r="236" spans="2:14" s="13" customFormat="1" x14ac:dyDescent="0.4">
      <c r="B236" s="25"/>
      <c r="D236" s="42"/>
      <c r="E236" s="26"/>
      <c r="G236" s="54"/>
      <c r="N236" s="42"/>
    </row>
    <row r="237" spans="2:14" s="13" customFormat="1" x14ac:dyDescent="0.4">
      <c r="B237" s="25"/>
      <c r="D237" s="42"/>
      <c r="E237" s="26"/>
      <c r="G237" s="54"/>
      <c r="N237" s="42"/>
    </row>
    <row r="238" spans="2:14" s="13" customFormat="1" x14ac:dyDescent="0.4">
      <c r="B238" s="25"/>
      <c r="D238" s="42"/>
      <c r="E238" s="26"/>
      <c r="G238" s="54"/>
      <c r="N238" s="42"/>
    </row>
    <row r="239" spans="2:14" s="13" customFormat="1" x14ac:dyDescent="0.4">
      <c r="B239" s="25"/>
      <c r="D239" s="42"/>
      <c r="E239" s="26"/>
      <c r="G239" s="54"/>
      <c r="N239" s="42"/>
    </row>
    <row r="240" spans="2:14" s="13" customFormat="1" x14ac:dyDescent="0.4">
      <c r="B240" s="25"/>
      <c r="D240" s="42"/>
      <c r="E240" s="26"/>
      <c r="G240" s="54"/>
      <c r="N240" s="42"/>
    </row>
    <row r="241" spans="2:14" s="13" customFormat="1" x14ac:dyDescent="0.4">
      <c r="B241" s="25"/>
      <c r="D241" s="42"/>
      <c r="E241" s="26"/>
      <c r="G241" s="54"/>
      <c r="N241" s="42"/>
    </row>
    <row r="242" spans="2:14" s="13" customFormat="1" x14ac:dyDescent="0.4">
      <c r="B242" s="25"/>
      <c r="D242" s="42"/>
      <c r="E242" s="26"/>
      <c r="G242" s="54"/>
      <c r="N242" s="42"/>
    </row>
    <row r="243" spans="2:14" s="13" customFormat="1" x14ac:dyDescent="0.4">
      <c r="B243" s="25"/>
      <c r="D243" s="42"/>
      <c r="E243" s="26"/>
      <c r="G243" s="54"/>
      <c r="N243" s="42"/>
    </row>
    <row r="244" spans="2:14" s="13" customFormat="1" x14ac:dyDescent="0.4">
      <c r="B244" s="25"/>
      <c r="D244" s="42"/>
      <c r="E244" s="26"/>
      <c r="G244" s="54"/>
      <c r="N244" s="42"/>
    </row>
    <row r="245" spans="2:14" s="13" customFormat="1" x14ac:dyDescent="0.4">
      <c r="B245" s="25"/>
      <c r="D245" s="42"/>
      <c r="E245" s="26"/>
      <c r="G245" s="54"/>
      <c r="N245" s="42"/>
    </row>
    <row r="246" spans="2:14" s="13" customFormat="1" x14ac:dyDescent="0.4">
      <c r="B246" s="25"/>
      <c r="D246" s="42"/>
      <c r="E246" s="26"/>
      <c r="G246" s="54"/>
      <c r="N246" s="42"/>
    </row>
    <row r="247" spans="2:14" s="13" customFormat="1" x14ac:dyDescent="0.4">
      <c r="B247" s="25"/>
      <c r="D247" s="42"/>
      <c r="E247" s="26"/>
      <c r="G247" s="54"/>
      <c r="N247" s="42"/>
    </row>
    <row r="248" spans="2:14" s="13" customFormat="1" x14ac:dyDescent="0.4">
      <c r="B248" s="25"/>
      <c r="D248" s="42"/>
      <c r="E248" s="26"/>
      <c r="G248" s="54"/>
      <c r="N248" s="42"/>
    </row>
    <row r="249" spans="2:14" s="13" customFormat="1" x14ac:dyDescent="0.4">
      <c r="B249" s="25"/>
      <c r="D249" s="42"/>
      <c r="E249" s="26"/>
      <c r="G249" s="54"/>
      <c r="N249" s="42"/>
    </row>
    <row r="250" spans="2:14" s="13" customFormat="1" x14ac:dyDescent="0.4">
      <c r="B250" s="25"/>
      <c r="D250" s="42"/>
      <c r="E250" s="26"/>
      <c r="G250" s="54"/>
      <c r="N250" s="42"/>
    </row>
    <row r="251" spans="2:14" s="13" customFormat="1" x14ac:dyDescent="0.4">
      <c r="B251" s="25"/>
      <c r="D251" s="42"/>
      <c r="E251" s="26"/>
      <c r="G251" s="54"/>
      <c r="N251" s="42"/>
    </row>
    <row r="252" spans="2:14" s="13" customFormat="1" x14ac:dyDescent="0.4">
      <c r="B252" s="25"/>
      <c r="D252" s="42"/>
      <c r="E252" s="26"/>
      <c r="G252" s="54"/>
      <c r="N252" s="42"/>
    </row>
    <row r="253" spans="2:14" s="13" customFormat="1" x14ac:dyDescent="0.4">
      <c r="B253" s="25"/>
      <c r="D253" s="42"/>
      <c r="E253" s="26"/>
      <c r="G253" s="54"/>
      <c r="N253" s="42"/>
    </row>
    <row r="254" spans="2:14" s="13" customFormat="1" x14ac:dyDescent="0.4">
      <c r="B254" s="25"/>
      <c r="D254" s="42"/>
      <c r="E254" s="26"/>
      <c r="G254" s="54"/>
      <c r="N254" s="42"/>
    </row>
    <row r="255" spans="2:14" s="13" customFormat="1" x14ac:dyDescent="0.4">
      <c r="B255" s="25"/>
      <c r="D255" s="42"/>
      <c r="E255" s="26"/>
      <c r="G255" s="54"/>
      <c r="N255" s="42"/>
    </row>
    <row r="256" spans="2:14" s="13" customFormat="1" x14ac:dyDescent="0.4">
      <c r="B256" s="25"/>
      <c r="D256" s="42"/>
      <c r="E256" s="26"/>
      <c r="G256" s="54"/>
      <c r="N256" s="42"/>
    </row>
    <row r="257" spans="2:14" s="13" customFormat="1" x14ac:dyDescent="0.4">
      <c r="B257" s="25"/>
      <c r="D257" s="42"/>
      <c r="E257" s="26"/>
      <c r="G257" s="54"/>
      <c r="N257" s="42"/>
    </row>
    <row r="258" spans="2:14" s="13" customFormat="1" x14ac:dyDescent="0.4">
      <c r="B258" s="25"/>
      <c r="D258" s="42"/>
      <c r="E258" s="26"/>
      <c r="G258" s="54"/>
      <c r="N258" s="42"/>
    </row>
    <row r="259" spans="2:14" s="13" customFormat="1" x14ac:dyDescent="0.4">
      <c r="B259" s="25"/>
      <c r="D259" s="42"/>
      <c r="E259" s="26"/>
      <c r="G259" s="54"/>
      <c r="N259" s="42"/>
    </row>
    <row r="260" spans="2:14" s="13" customFormat="1" x14ac:dyDescent="0.4">
      <c r="B260" s="25"/>
      <c r="D260" s="42"/>
      <c r="E260" s="26"/>
      <c r="G260" s="54"/>
      <c r="N260" s="42"/>
    </row>
    <row r="261" spans="2:14" s="13" customFormat="1" x14ac:dyDescent="0.4">
      <c r="B261" s="25"/>
      <c r="D261" s="42"/>
      <c r="E261" s="26"/>
      <c r="G261" s="54"/>
      <c r="N261" s="42"/>
    </row>
    <row r="262" spans="2:14" s="13" customFormat="1" x14ac:dyDescent="0.4">
      <c r="B262" s="25"/>
      <c r="D262" s="42"/>
      <c r="E262" s="26"/>
      <c r="G262" s="54"/>
      <c r="N262" s="42"/>
    </row>
    <row r="263" spans="2:14" s="13" customFormat="1" x14ac:dyDescent="0.4">
      <c r="B263" s="25"/>
      <c r="D263" s="42"/>
      <c r="E263" s="26"/>
      <c r="G263" s="54"/>
      <c r="N263" s="42"/>
    </row>
    <row r="264" spans="2:14" s="13" customFormat="1" x14ac:dyDescent="0.4">
      <c r="B264" s="25"/>
      <c r="D264" s="42"/>
      <c r="E264" s="26"/>
      <c r="G264" s="54"/>
      <c r="N264" s="42"/>
    </row>
    <row r="265" spans="2:14" s="13" customFormat="1" x14ac:dyDescent="0.4">
      <c r="B265" s="25"/>
      <c r="D265" s="42"/>
      <c r="E265" s="26"/>
      <c r="G265" s="54"/>
      <c r="N265" s="42"/>
    </row>
    <row r="266" spans="2:14" s="13" customFormat="1" x14ac:dyDescent="0.4">
      <c r="B266" s="25"/>
      <c r="D266" s="42"/>
      <c r="E266" s="26"/>
      <c r="G266" s="54"/>
      <c r="N266" s="42"/>
    </row>
    <row r="267" spans="2:14" s="13" customFormat="1" x14ac:dyDescent="0.4">
      <c r="B267" s="25"/>
      <c r="D267" s="42"/>
      <c r="E267" s="26"/>
      <c r="G267" s="54"/>
      <c r="N267" s="42"/>
    </row>
    <row r="268" spans="2:14" s="13" customFormat="1" x14ac:dyDescent="0.4">
      <c r="B268" s="25"/>
      <c r="D268" s="42"/>
      <c r="E268" s="26"/>
      <c r="G268" s="54"/>
      <c r="N268" s="42"/>
    </row>
    <row r="269" spans="2:14" s="13" customFormat="1" x14ac:dyDescent="0.4">
      <c r="B269" s="25"/>
      <c r="D269" s="42"/>
      <c r="E269" s="26"/>
      <c r="G269" s="54"/>
      <c r="N269" s="42"/>
    </row>
    <row r="270" spans="2:14" s="13" customFormat="1" x14ac:dyDescent="0.4">
      <c r="B270" s="25"/>
      <c r="D270" s="42"/>
      <c r="E270" s="26"/>
      <c r="G270" s="54"/>
      <c r="N270" s="42"/>
    </row>
    <row r="271" spans="2:14" s="13" customFormat="1" x14ac:dyDescent="0.4">
      <c r="B271" s="25"/>
      <c r="D271" s="42"/>
      <c r="E271" s="26"/>
      <c r="G271" s="54"/>
      <c r="N271" s="42"/>
    </row>
    <row r="272" spans="2:14" s="13" customFormat="1" x14ac:dyDescent="0.4">
      <c r="B272" s="25"/>
      <c r="D272" s="42"/>
      <c r="E272" s="26"/>
      <c r="G272" s="54"/>
      <c r="N272" s="42"/>
    </row>
    <row r="273" spans="2:14" s="13" customFormat="1" x14ac:dyDescent="0.4">
      <c r="B273" s="25"/>
      <c r="D273" s="42"/>
      <c r="E273" s="26"/>
      <c r="G273" s="54"/>
      <c r="N273" s="42"/>
    </row>
    <row r="274" spans="2:14" s="13" customFormat="1" x14ac:dyDescent="0.4">
      <c r="B274" s="25"/>
      <c r="D274" s="42"/>
      <c r="E274" s="26"/>
      <c r="G274" s="54"/>
      <c r="N274" s="42"/>
    </row>
    <row r="275" spans="2:14" s="13" customFormat="1" x14ac:dyDescent="0.4">
      <c r="B275" s="25"/>
      <c r="D275" s="42"/>
      <c r="E275" s="26"/>
      <c r="G275" s="54"/>
      <c r="N275" s="42"/>
    </row>
    <row r="276" spans="2:14" s="13" customFormat="1" x14ac:dyDescent="0.4">
      <c r="B276" s="25"/>
      <c r="D276" s="42"/>
      <c r="E276" s="26"/>
      <c r="G276" s="54"/>
      <c r="N276" s="42"/>
    </row>
    <row r="277" spans="2:14" s="13" customFormat="1" x14ac:dyDescent="0.4">
      <c r="B277" s="25"/>
      <c r="D277" s="42"/>
      <c r="E277" s="26"/>
      <c r="G277" s="54"/>
      <c r="N277" s="42"/>
    </row>
    <row r="278" spans="2:14" s="13" customFormat="1" x14ac:dyDescent="0.4">
      <c r="B278" s="25"/>
      <c r="D278" s="42"/>
      <c r="E278" s="26"/>
      <c r="G278" s="54"/>
      <c r="N278" s="42"/>
    </row>
    <row r="279" spans="2:14" s="13" customFormat="1" x14ac:dyDescent="0.4">
      <c r="B279" s="25"/>
      <c r="D279" s="42"/>
      <c r="E279" s="26"/>
      <c r="G279" s="54"/>
      <c r="N279" s="42"/>
    </row>
    <row r="280" spans="2:14" s="13" customFormat="1" x14ac:dyDescent="0.4">
      <c r="B280" s="25"/>
      <c r="D280" s="42"/>
      <c r="E280" s="26"/>
      <c r="G280" s="54"/>
      <c r="N280" s="42"/>
    </row>
    <row r="281" spans="2:14" s="13" customFormat="1" x14ac:dyDescent="0.4">
      <c r="B281" s="25"/>
      <c r="D281" s="42"/>
      <c r="E281" s="26"/>
      <c r="G281" s="54"/>
      <c r="N281" s="42"/>
    </row>
    <row r="282" spans="2:14" s="13" customFormat="1" x14ac:dyDescent="0.4">
      <c r="B282" s="25"/>
      <c r="D282" s="42"/>
      <c r="E282" s="26"/>
      <c r="G282" s="54"/>
      <c r="N282" s="42"/>
    </row>
    <row r="283" spans="2:14" s="13" customFormat="1" x14ac:dyDescent="0.4">
      <c r="B283" s="25"/>
      <c r="D283" s="42"/>
      <c r="E283" s="26"/>
      <c r="G283" s="54"/>
      <c r="N283" s="42"/>
    </row>
    <row r="284" spans="2:14" s="13" customFormat="1" x14ac:dyDescent="0.4">
      <c r="B284" s="25"/>
      <c r="D284" s="42"/>
      <c r="E284" s="26"/>
      <c r="G284" s="54"/>
      <c r="N284" s="42"/>
    </row>
    <row r="285" spans="2:14" s="13" customFormat="1" x14ac:dyDescent="0.4">
      <c r="B285" s="25"/>
      <c r="D285" s="42"/>
      <c r="E285" s="26"/>
      <c r="G285" s="54"/>
      <c r="N285" s="42"/>
    </row>
    <row r="286" spans="2:14" s="13" customFormat="1" x14ac:dyDescent="0.4">
      <c r="B286" s="25"/>
      <c r="D286" s="42"/>
      <c r="E286" s="26"/>
      <c r="G286" s="54"/>
      <c r="N286" s="42"/>
    </row>
    <row r="287" spans="2:14" s="13" customFormat="1" x14ac:dyDescent="0.4">
      <c r="B287" s="25"/>
      <c r="D287" s="42"/>
      <c r="E287" s="26"/>
      <c r="G287" s="54"/>
      <c r="N287" s="42"/>
    </row>
    <row r="288" spans="2:14" s="13" customFormat="1" x14ac:dyDescent="0.4">
      <c r="B288" s="25"/>
      <c r="D288" s="42"/>
      <c r="E288" s="26"/>
      <c r="G288" s="54"/>
      <c r="N288" s="42"/>
    </row>
    <row r="289" spans="2:14" s="13" customFormat="1" x14ac:dyDescent="0.4">
      <c r="B289" s="25"/>
      <c r="D289" s="42"/>
      <c r="E289" s="26"/>
      <c r="G289" s="54"/>
      <c r="N289" s="42"/>
    </row>
    <row r="290" spans="2:14" s="13" customFormat="1" x14ac:dyDescent="0.4">
      <c r="B290" s="25"/>
      <c r="D290" s="42"/>
      <c r="E290" s="26"/>
      <c r="G290" s="54"/>
      <c r="N290" s="42"/>
    </row>
    <row r="291" spans="2:14" s="13" customFormat="1" x14ac:dyDescent="0.4">
      <c r="B291" s="25"/>
      <c r="D291" s="42"/>
      <c r="E291" s="26"/>
      <c r="G291" s="54"/>
      <c r="N291" s="42"/>
    </row>
    <row r="292" spans="2:14" s="13" customFormat="1" x14ac:dyDescent="0.4">
      <c r="B292" s="25"/>
      <c r="D292" s="42"/>
      <c r="E292" s="26"/>
      <c r="G292" s="54"/>
      <c r="N292" s="42"/>
    </row>
    <row r="293" spans="2:14" s="13" customFormat="1" x14ac:dyDescent="0.4">
      <c r="B293" s="25"/>
      <c r="D293" s="42"/>
      <c r="E293" s="26"/>
      <c r="G293" s="54"/>
      <c r="N293" s="42"/>
    </row>
    <row r="294" spans="2:14" s="13" customFormat="1" x14ac:dyDescent="0.4">
      <c r="B294" s="25"/>
      <c r="D294" s="42"/>
      <c r="E294" s="26"/>
      <c r="G294" s="54"/>
      <c r="N294" s="42"/>
    </row>
    <row r="295" spans="2:14" s="13" customFormat="1" x14ac:dyDescent="0.4">
      <c r="B295" s="25"/>
      <c r="D295" s="42"/>
      <c r="E295" s="26"/>
      <c r="G295" s="54"/>
      <c r="N295" s="42"/>
    </row>
    <row r="296" spans="2:14" s="13" customFormat="1" x14ac:dyDescent="0.4">
      <c r="B296" s="25"/>
      <c r="D296" s="42"/>
      <c r="E296" s="26"/>
      <c r="G296" s="54"/>
      <c r="N296" s="42"/>
    </row>
    <row r="297" spans="2:14" s="13" customFormat="1" x14ac:dyDescent="0.4">
      <c r="B297" s="25"/>
      <c r="D297" s="42"/>
      <c r="E297" s="26"/>
      <c r="G297" s="54"/>
      <c r="N297" s="42"/>
    </row>
    <row r="298" spans="2:14" s="13" customFormat="1" x14ac:dyDescent="0.4">
      <c r="B298" s="25"/>
      <c r="D298" s="42"/>
      <c r="E298" s="26"/>
      <c r="G298" s="54"/>
      <c r="N298" s="42"/>
    </row>
    <row r="299" spans="2:14" s="13" customFormat="1" x14ac:dyDescent="0.4">
      <c r="B299" s="25"/>
      <c r="D299" s="42"/>
      <c r="E299" s="26"/>
      <c r="G299" s="54"/>
      <c r="N299" s="42"/>
    </row>
    <row r="300" spans="2:14" s="13" customFormat="1" x14ac:dyDescent="0.4">
      <c r="B300" s="25"/>
      <c r="D300" s="42"/>
      <c r="E300" s="26"/>
      <c r="G300" s="54"/>
      <c r="N300" s="42"/>
    </row>
    <row r="301" spans="2:14" s="13" customFormat="1" x14ac:dyDescent="0.4">
      <c r="B301" s="25"/>
      <c r="D301" s="42"/>
      <c r="E301" s="26"/>
      <c r="G301" s="54"/>
      <c r="N301" s="42"/>
    </row>
    <row r="302" spans="2:14" s="13" customFormat="1" x14ac:dyDescent="0.4">
      <c r="B302" s="25"/>
      <c r="D302" s="42"/>
      <c r="E302" s="26"/>
      <c r="G302" s="54"/>
      <c r="N302" s="42"/>
    </row>
    <row r="303" spans="2:14" s="13" customFormat="1" x14ac:dyDescent="0.4">
      <c r="B303" s="25"/>
      <c r="D303" s="42"/>
      <c r="E303" s="26"/>
      <c r="G303" s="54"/>
      <c r="N303" s="42"/>
    </row>
    <row r="304" spans="2:14" s="13" customFormat="1" x14ac:dyDescent="0.4">
      <c r="B304" s="25"/>
      <c r="D304" s="42"/>
      <c r="E304" s="26"/>
      <c r="G304" s="54"/>
      <c r="N304" s="42"/>
    </row>
    <row r="305" spans="2:14" s="13" customFormat="1" x14ac:dyDescent="0.4">
      <c r="B305" s="25"/>
      <c r="D305" s="42"/>
      <c r="E305" s="26"/>
      <c r="G305" s="54"/>
      <c r="N305" s="42"/>
    </row>
    <row r="306" spans="2:14" s="13" customFormat="1" x14ac:dyDescent="0.4">
      <c r="B306" s="25"/>
      <c r="D306" s="42"/>
      <c r="E306" s="26"/>
      <c r="G306" s="54"/>
      <c r="N306" s="42"/>
    </row>
    <row r="307" spans="2:14" s="13" customFormat="1" x14ac:dyDescent="0.4">
      <c r="B307" s="25"/>
      <c r="D307" s="42"/>
      <c r="E307" s="26"/>
      <c r="G307" s="54"/>
      <c r="N307" s="42"/>
    </row>
    <row r="308" spans="2:14" s="13" customFormat="1" x14ac:dyDescent="0.4">
      <c r="B308" s="25"/>
      <c r="D308" s="42"/>
      <c r="E308" s="26"/>
      <c r="G308" s="54"/>
      <c r="N308" s="42"/>
    </row>
    <row r="309" spans="2:14" s="13" customFormat="1" x14ac:dyDescent="0.4">
      <c r="B309" s="25"/>
      <c r="D309" s="42"/>
      <c r="E309" s="26"/>
      <c r="G309" s="54"/>
      <c r="N309" s="42"/>
    </row>
    <row r="310" spans="2:14" s="13" customFormat="1" x14ac:dyDescent="0.4">
      <c r="B310" s="25"/>
      <c r="D310" s="42"/>
      <c r="E310" s="26"/>
      <c r="G310" s="54"/>
      <c r="N310" s="42"/>
    </row>
    <row r="311" spans="2:14" s="13" customFormat="1" x14ac:dyDescent="0.4">
      <c r="B311" s="25"/>
      <c r="D311" s="42"/>
      <c r="E311" s="26"/>
      <c r="G311" s="54"/>
      <c r="N311" s="42"/>
    </row>
    <row r="312" spans="2:14" s="13" customFormat="1" x14ac:dyDescent="0.4">
      <c r="B312" s="25"/>
      <c r="D312" s="42"/>
      <c r="E312" s="26"/>
      <c r="G312" s="54"/>
      <c r="N312" s="42"/>
    </row>
    <row r="313" spans="2:14" s="13" customFormat="1" x14ac:dyDescent="0.4">
      <c r="B313" s="25"/>
      <c r="D313" s="42"/>
      <c r="E313" s="26"/>
      <c r="G313" s="54"/>
      <c r="N313" s="42"/>
    </row>
    <row r="314" spans="2:14" s="13" customFormat="1" x14ac:dyDescent="0.4">
      <c r="B314" s="25"/>
      <c r="D314" s="42"/>
      <c r="E314" s="26"/>
      <c r="G314" s="54"/>
      <c r="N314" s="42"/>
    </row>
    <row r="315" spans="2:14" s="13" customFormat="1" x14ac:dyDescent="0.4">
      <c r="B315" s="25"/>
      <c r="D315" s="42"/>
      <c r="E315" s="26"/>
      <c r="G315" s="54"/>
      <c r="N315" s="42"/>
    </row>
    <row r="316" spans="2:14" s="13" customFormat="1" x14ac:dyDescent="0.4">
      <c r="B316" s="25"/>
      <c r="D316" s="42"/>
      <c r="E316" s="26"/>
      <c r="G316" s="54"/>
      <c r="N316" s="42"/>
    </row>
    <row r="317" spans="2:14" s="13" customFormat="1" x14ac:dyDescent="0.4">
      <c r="B317" s="25"/>
      <c r="D317" s="42"/>
      <c r="E317" s="26"/>
      <c r="G317" s="54"/>
      <c r="N317" s="42"/>
    </row>
    <row r="318" spans="2:14" s="13" customFormat="1" x14ac:dyDescent="0.4">
      <c r="B318" s="25"/>
      <c r="D318" s="42"/>
      <c r="E318" s="26"/>
      <c r="G318" s="54"/>
      <c r="N318" s="42"/>
    </row>
    <row r="319" spans="2:14" s="13" customFormat="1" x14ac:dyDescent="0.4">
      <c r="B319" s="25"/>
      <c r="D319" s="42"/>
      <c r="E319" s="26"/>
      <c r="G319" s="54"/>
      <c r="N319" s="42"/>
    </row>
    <row r="320" spans="2:14" s="13" customFormat="1" x14ac:dyDescent="0.4">
      <c r="B320" s="25"/>
      <c r="D320" s="42"/>
      <c r="E320" s="26"/>
      <c r="G320" s="54"/>
      <c r="N320" s="42"/>
    </row>
    <row r="321" spans="2:14" s="13" customFormat="1" x14ac:dyDescent="0.4">
      <c r="B321" s="25"/>
      <c r="D321" s="42"/>
      <c r="E321" s="26"/>
      <c r="G321" s="54"/>
      <c r="N321" s="42"/>
    </row>
    <row r="322" spans="2:14" s="13" customFormat="1" x14ac:dyDescent="0.4">
      <c r="B322" s="25"/>
      <c r="D322" s="42"/>
      <c r="E322" s="26"/>
      <c r="G322" s="54"/>
      <c r="N322" s="42"/>
    </row>
    <row r="323" spans="2:14" s="13" customFormat="1" x14ac:dyDescent="0.4">
      <c r="B323" s="25"/>
      <c r="D323" s="42"/>
      <c r="E323" s="26"/>
      <c r="G323" s="54"/>
      <c r="N323" s="42"/>
    </row>
    <row r="324" spans="2:14" s="13" customFormat="1" x14ac:dyDescent="0.4">
      <c r="B324" s="25"/>
      <c r="D324" s="42"/>
      <c r="E324" s="26"/>
      <c r="G324" s="54"/>
      <c r="N324" s="42"/>
    </row>
    <row r="325" spans="2:14" s="13" customFormat="1" x14ac:dyDescent="0.4">
      <c r="B325" s="25"/>
      <c r="D325" s="42"/>
      <c r="E325" s="26"/>
      <c r="G325" s="54"/>
      <c r="N325" s="42"/>
    </row>
    <row r="326" spans="2:14" s="13" customFormat="1" x14ac:dyDescent="0.4">
      <c r="B326" s="25"/>
      <c r="D326" s="42"/>
      <c r="E326" s="26"/>
      <c r="G326" s="54"/>
      <c r="N326" s="42"/>
    </row>
    <row r="327" spans="2:14" s="13" customFormat="1" x14ac:dyDescent="0.4">
      <c r="B327" s="25"/>
      <c r="D327" s="42"/>
      <c r="E327" s="26"/>
      <c r="G327" s="54"/>
      <c r="N327" s="42"/>
    </row>
    <row r="328" spans="2:14" s="13" customFormat="1" x14ac:dyDescent="0.4">
      <c r="B328" s="25"/>
      <c r="D328" s="42"/>
      <c r="E328" s="26"/>
      <c r="G328" s="54"/>
      <c r="N328" s="42"/>
    </row>
    <row r="329" spans="2:14" s="13" customFormat="1" x14ac:dyDescent="0.4">
      <c r="B329" s="25"/>
      <c r="D329" s="42"/>
      <c r="E329" s="26"/>
      <c r="G329" s="54"/>
      <c r="N329" s="42"/>
    </row>
    <row r="330" spans="2:14" s="13" customFormat="1" x14ac:dyDescent="0.4">
      <c r="B330" s="25"/>
      <c r="D330" s="42"/>
      <c r="E330" s="26"/>
      <c r="G330" s="54"/>
      <c r="N330" s="42"/>
    </row>
    <row r="331" spans="2:14" s="13" customFormat="1" x14ac:dyDescent="0.4">
      <c r="B331" s="25"/>
      <c r="D331" s="42"/>
      <c r="E331" s="26"/>
      <c r="G331" s="54"/>
      <c r="N331" s="42"/>
    </row>
    <row r="332" spans="2:14" s="13" customFormat="1" x14ac:dyDescent="0.4">
      <c r="B332" s="25"/>
      <c r="D332" s="42"/>
      <c r="E332" s="26"/>
      <c r="G332" s="54"/>
      <c r="N332" s="42"/>
    </row>
    <row r="333" spans="2:14" s="13" customFormat="1" x14ac:dyDescent="0.4">
      <c r="B333" s="25"/>
      <c r="D333" s="42"/>
      <c r="E333" s="26"/>
      <c r="G333" s="54"/>
      <c r="N333" s="42"/>
    </row>
    <row r="334" spans="2:14" s="13" customFormat="1" x14ac:dyDescent="0.4">
      <c r="B334" s="25"/>
      <c r="D334" s="42"/>
      <c r="E334" s="26"/>
      <c r="G334" s="54"/>
      <c r="N334" s="42"/>
    </row>
    <row r="335" spans="2:14" s="13" customFormat="1" x14ac:dyDescent="0.4">
      <c r="B335" s="25"/>
      <c r="D335" s="42"/>
      <c r="E335" s="26"/>
      <c r="G335" s="54"/>
      <c r="N335" s="42"/>
    </row>
    <row r="336" spans="2:14" s="13" customFormat="1" x14ac:dyDescent="0.4">
      <c r="B336" s="25"/>
      <c r="D336" s="42"/>
      <c r="E336" s="26"/>
      <c r="G336" s="54"/>
      <c r="N336" s="42"/>
    </row>
    <row r="337" spans="2:14" s="13" customFormat="1" x14ac:dyDescent="0.4">
      <c r="B337" s="25"/>
      <c r="D337" s="42"/>
      <c r="E337" s="26"/>
      <c r="G337" s="54"/>
      <c r="N337" s="42"/>
    </row>
    <row r="338" spans="2:14" s="13" customFormat="1" x14ac:dyDescent="0.4">
      <c r="B338" s="25"/>
      <c r="D338" s="42"/>
      <c r="E338" s="26"/>
      <c r="G338" s="54"/>
      <c r="N338" s="42"/>
    </row>
    <row r="339" spans="2:14" s="13" customFormat="1" x14ac:dyDescent="0.4">
      <c r="B339" s="25"/>
      <c r="D339" s="42"/>
      <c r="E339" s="26"/>
      <c r="G339" s="54"/>
      <c r="N339" s="42"/>
    </row>
    <row r="340" spans="2:14" s="13" customFormat="1" x14ac:dyDescent="0.4">
      <c r="B340" s="25"/>
      <c r="D340" s="42"/>
      <c r="E340" s="26"/>
      <c r="G340" s="54"/>
      <c r="N340" s="42"/>
    </row>
    <row r="341" spans="2:14" s="13" customFormat="1" x14ac:dyDescent="0.4">
      <c r="B341" s="25"/>
      <c r="D341" s="42"/>
      <c r="E341" s="26"/>
      <c r="G341" s="54"/>
      <c r="N341" s="42"/>
    </row>
    <row r="342" spans="2:14" s="13" customFormat="1" x14ac:dyDescent="0.4">
      <c r="B342" s="25"/>
      <c r="D342" s="42"/>
      <c r="E342" s="26"/>
      <c r="G342" s="54"/>
      <c r="N342" s="42"/>
    </row>
    <row r="343" spans="2:14" s="13" customFormat="1" x14ac:dyDescent="0.4">
      <c r="B343" s="25"/>
      <c r="D343" s="42"/>
      <c r="E343" s="26"/>
      <c r="G343" s="54"/>
      <c r="N343" s="42"/>
    </row>
    <row r="344" spans="2:14" s="13" customFormat="1" x14ac:dyDescent="0.4">
      <c r="B344" s="25"/>
      <c r="D344" s="42"/>
      <c r="E344" s="26"/>
      <c r="G344" s="54"/>
      <c r="N344" s="42"/>
    </row>
    <row r="345" spans="2:14" s="13" customFormat="1" x14ac:dyDescent="0.4">
      <c r="B345" s="25"/>
      <c r="D345" s="42"/>
      <c r="E345" s="26"/>
      <c r="G345" s="54"/>
      <c r="N345" s="42"/>
    </row>
    <row r="346" spans="2:14" s="13" customFormat="1" x14ac:dyDescent="0.4">
      <c r="B346" s="25"/>
      <c r="D346" s="42"/>
      <c r="E346" s="26"/>
      <c r="G346" s="54"/>
      <c r="N346" s="42"/>
    </row>
    <row r="347" spans="2:14" s="13" customFormat="1" x14ac:dyDescent="0.4">
      <c r="B347" s="25"/>
      <c r="D347" s="42"/>
      <c r="E347" s="26"/>
      <c r="G347" s="54"/>
      <c r="N347" s="42"/>
    </row>
    <row r="348" spans="2:14" s="13" customFormat="1" x14ac:dyDescent="0.4">
      <c r="B348" s="25"/>
      <c r="D348" s="42"/>
      <c r="E348" s="26"/>
      <c r="G348" s="54"/>
      <c r="N348" s="42"/>
    </row>
    <row r="349" spans="2:14" s="13" customFormat="1" x14ac:dyDescent="0.4">
      <c r="B349" s="25"/>
      <c r="D349" s="42"/>
      <c r="E349" s="26"/>
      <c r="G349" s="54"/>
      <c r="N349" s="42"/>
    </row>
    <row r="350" spans="2:14" s="13" customFormat="1" x14ac:dyDescent="0.4">
      <c r="B350" s="25"/>
      <c r="D350" s="42"/>
      <c r="E350" s="26"/>
      <c r="G350" s="54"/>
      <c r="N350" s="42"/>
    </row>
    <row r="351" spans="2:14" s="13" customFormat="1" x14ac:dyDescent="0.4">
      <c r="B351" s="25"/>
      <c r="D351" s="42"/>
      <c r="E351" s="26"/>
      <c r="G351" s="54"/>
      <c r="N351" s="42"/>
    </row>
    <row r="352" spans="2:14" s="13" customFormat="1" x14ac:dyDescent="0.4">
      <c r="B352" s="25"/>
      <c r="D352" s="42"/>
      <c r="E352" s="26"/>
      <c r="G352" s="54"/>
      <c r="N352" s="42"/>
    </row>
    <row r="353" spans="2:14" s="13" customFormat="1" x14ac:dyDescent="0.4">
      <c r="B353" s="25"/>
      <c r="D353" s="42"/>
      <c r="E353" s="26"/>
      <c r="G353" s="54"/>
      <c r="N353" s="42"/>
    </row>
    <row r="354" spans="2:14" s="13" customFormat="1" x14ac:dyDescent="0.4">
      <c r="B354" s="25"/>
      <c r="D354" s="42"/>
      <c r="E354" s="26"/>
      <c r="G354" s="54"/>
      <c r="N354" s="42"/>
    </row>
    <row r="355" spans="2:14" s="13" customFormat="1" x14ac:dyDescent="0.4">
      <c r="B355" s="25"/>
      <c r="D355" s="42"/>
      <c r="E355" s="26"/>
      <c r="G355" s="54"/>
      <c r="N355" s="42"/>
    </row>
    <row r="356" spans="2:14" s="13" customFormat="1" x14ac:dyDescent="0.4">
      <c r="B356" s="25"/>
      <c r="D356" s="42"/>
      <c r="E356" s="26"/>
      <c r="G356" s="54"/>
      <c r="N356" s="42"/>
    </row>
    <row r="357" spans="2:14" s="13" customFormat="1" x14ac:dyDescent="0.4">
      <c r="B357" s="25"/>
      <c r="D357" s="42"/>
      <c r="E357" s="26"/>
      <c r="G357" s="54"/>
      <c r="N357" s="42"/>
    </row>
    <row r="358" spans="2:14" s="13" customFormat="1" x14ac:dyDescent="0.4">
      <c r="B358" s="25"/>
      <c r="D358" s="42"/>
      <c r="E358" s="26"/>
      <c r="G358" s="54"/>
      <c r="N358" s="42"/>
    </row>
    <row r="359" spans="2:14" s="13" customFormat="1" x14ac:dyDescent="0.4">
      <c r="B359" s="25"/>
      <c r="D359" s="42"/>
      <c r="E359" s="26"/>
      <c r="G359" s="54"/>
      <c r="N359" s="42"/>
    </row>
    <row r="360" spans="2:14" s="13" customFormat="1" x14ac:dyDescent="0.4">
      <c r="B360" s="25"/>
      <c r="D360" s="42"/>
      <c r="E360" s="26"/>
      <c r="G360" s="54"/>
      <c r="N360" s="42"/>
    </row>
    <row r="361" spans="2:14" s="13" customFormat="1" x14ac:dyDescent="0.4">
      <c r="B361" s="25"/>
      <c r="D361" s="42"/>
      <c r="E361" s="26"/>
      <c r="G361" s="54"/>
      <c r="N361" s="42"/>
    </row>
    <row r="362" spans="2:14" s="13" customFormat="1" x14ac:dyDescent="0.4">
      <c r="B362" s="25"/>
      <c r="D362" s="42"/>
      <c r="E362" s="26"/>
      <c r="G362" s="54"/>
      <c r="N362" s="42"/>
    </row>
    <row r="363" spans="2:14" s="13" customFormat="1" x14ac:dyDescent="0.4">
      <c r="B363" s="25"/>
      <c r="D363" s="42"/>
      <c r="E363" s="26"/>
      <c r="G363" s="54"/>
      <c r="N363" s="42"/>
    </row>
    <row r="364" spans="2:14" s="13" customFormat="1" x14ac:dyDescent="0.4">
      <c r="B364" s="25"/>
      <c r="D364" s="42"/>
      <c r="E364" s="26"/>
      <c r="G364" s="54"/>
      <c r="N364" s="42"/>
    </row>
    <row r="365" spans="2:14" s="13" customFormat="1" x14ac:dyDescent="0.4">
      <c r="B365" s="25"/>
      <c r="D365" s="42"/>
      <c r="E365" s="26"/>
      <c r="G365" s="54"/>
      <c r="N365" s="42"/>
    </row>
    <row r="366" spans="2:14" s="13" customFormat="1" x14ac:dyDescent="0.4">
      <c r="B366" s="25"/>
      <c r="D366" s="42"/>
      <c r="E366" s="26"/>
      <c r="G366" s="54"/>
      <c r="N366" s="42"/>
    </row>
    <row r="367" spans="2:14" s="13" customFormat="1" x14ac:dyDescent="0.4">
      <c r="B367" s="25"/>
      <c r="D367" s="42"/>
      <c r="E367" s="26"/>
      <c r="G367" s="54"/>
      <c r="N367" s="42"/>
    </row>
    <row r="368" spans="2:14" s="13" customFormat="1" x14ac:dyDescent="0.4">
      <c r="B368" s="25"/>
      <c r="D368" s="42"/>
      <c r="E368" s="26"/>
      <c r="G368" s="54"/>
      <c r="N368" s="42"/>
    </row>
    <row r="369" spans="2:14" s="13" customFormat="1" x14ac:dyDescent="0.4">
      <c r="B369" s="25"/>
      <c r="D369" s="42"/>
      <c r="E369" s="26"/>
      <c r="G369" s="54"/>
      <c r="N369" s="42"/>
    </row>
    <row r="370" spans="2:14" s="13" customFormat="1" x14ac:dyDescent="0.4">
      <c r="B370" s="25"/>
      <c r="D370" s="42"/>
      <c r="E370" s="26"/>
      <c r="G370" s="54"/>
      <c r="N370" s="42"/>
    </row>
    <row r="371" spans="2:14" s="13" customFormat="1" x14ac:dyDescent="0.4">
      <c r="B371" s="25"/>
      <c r="D371" s="42"/>
      <c r="E371" s="26"/>
      <c r="G371" s="54"/>
      <c r="N371" s="42"/>
    </row>
    <row r="372" spans="2:14" s="13" customFormat="1" x14ac:dyDescent="0.4">
      <c r="B372" s="25"/>
      <c r="D372" s="42"/>
      <c r="E372" s="26"/>
      <c r="G372" s="54"/>
      <c r="N372" s="42"/>
    </row>
    <row r="373" spans="2:14" s="13" customFormat="1" x14ac:dyDescent="0.4">
      <c r="B373" s="25"/>
      <c r="D373" s="42"/>
      <c r="E373" s="26"/>
      <c r="G373" s="54"/>
      <c r="N373" s="42"/>
    </row>
    <row r="374" spans="2:14" s="13" customFormat="1" x14ac:dyDescent="0.4">
      <c r="B374" s="25"/>
      <c r="D374" s="42"/>
      <c r="E374" s="26"/>
      <c r="G374" s="54"/>
      <c r="N374" s="42"/>
    </row>
    <row r="375" spans="2:14" s="13" customFormat="1" x14ac:dyDescent="0.4">
      <c r="B375" s="25"/>
      <c r="D375" s="42"/>
      <c r="E375" s="26"/>
      <c r="G375" s="54"/>
      <c r="N375" s="42"/>
    </row>
    <row r="376" spans="2:14" s="13" customFormat="1" x14ac:dyDescent="0.4">
      <c r="B376" s="25"/>
      <c r="D376" s="42"/>
      <c r="E376" s="26"/>
      <c r="G376" s="54"/>
      <c r="N376" s="42"/>
    </row>
    <row r="377" spans="2:14" s="13" customFormat="1" x14ac:dyDescent="0.4">
      <c r="B377" s="25"/>
      <c r="D377" s="42"/>
      <c r="E377" s="26"/>
      <c r="G377" s="54"/>
      <c r="N377" s="42"/>
    </row>
    <row r="378" spans="2:14" s="13" customFormat="1" x14ac:dyDescent="0.4">
      <c r="B378" s="25"/>
      <c r="D378" s="42"/>
      <c r="E378" s="26"/>
      <c r="G378" s="54"/>
      <c r="N378" s="42"/>
    </row>
    <row r="379" spans="2:14" s="13" customFormat="1" x14ac:dyDescent="0.4">
      <c r="B379" s="25"/>
      <c r="D379" s="42"/>
      <c r="E379" s="26"/>
      <c r="G379" s="54"/>
      <c r="N379" s="42"/>
    </row>
    <row r="380" spans="2:14" s="13" customFormat="1" x14ac:dyDescent="0.4">
      <c r="B380" s="25"/>
      <c r="D380" s="42"/>
      <c r="E380" s="26"/>
      <c r="G380" s="54"/>
      <c r="N380" s="42"/>
    </row>
    <row r="381" spans="2:14" s="13" customFormat="1" x14ac:dyDescent="0.4">
      <c r="B381" s="25"/>
      <c r="D381" s="42"/>
      <c r="E381" s="26"/>
      <c r="G381" s="54"/>
      <c r="N381" s="42"/>
    </row>
    <row r="382" spans="2:14" s="13" customFormat="1" x14ac:dyDescent="0.4">
      <c r="B382" s="25"/>
      <c r="D382" s="42"/>
      <c r="E382" s="26"/>
      <c r="G382" s="54"/>
      <c r="N382" s="42"/>
    </row>
    <row r="383" spans="2:14" s="13" customFormat="1" x14ac:dyDescent="0.4">
      <c r="B383" s="25"/>
      <c r="D383" s="42"/>
      <c r="E383" s="26"/>
      <c r="G383" s="54"/>
      <c r="N383" s="42"/>
    </row>
    <row r="384" spans="2:14" s="13" customFormat="1" x14ac:dyDescent="0.4">
      <c r="B384" s="25"/>
      <c r="D384" s="42"/>
      <c r="E384" s="26"/>
      <c r="G384" s="54"/>
      <c r="N384" s="42"/>
    </row>
    <row r="385" spans="2:14" s="13" customFormat="1" x14ac:dyDescent="0.4">
      <c r="B385" s="25"/>
      <c r="D385" s="42"/>
      <c r="E385" s="26"/>
      <c r="G385" s="54"/>
      <c r="N385" s="42"/>
    </row>
    <row r="386" spans="2:14" s="13" customFormat="1" x14ac:dyDescent="0.4">
      <c r="B386" s="25"/>
      <c r="D386" s="42"/>
      <c r="E386" s="26"/>
      <c r="G386" s="54"/>
      <c r="N386" s="42"/>
    </row>
    <row r="387" spans="2:14" s="13" customFormat="1" x14ac:dyDescent="0.4">
      <c r="B387" s="25"/>
      <c r="D387" s="42"/>
      <c r="E387" s="26"/>
      <c r="G387" s="54"/>
      <c r="N387" s="42"/>
    </row>
    <row r="388" spans="2:14" s="13" customFormat="1" x14ac:dyDescent="0.4">
      <c r="B388" s="25"/>
      <c r="D388" s="42"/>
      <c r="E388" s="26"/>
      <c r="G388" s="54"/>
      <c r="N388" s="42"/>
    </row>
    <row r="389" spans="2:14" s="13" customFormat="1" x14ac:dyDescent="0.4">
      <c r="B389" s="25"/>
      <c r="D389" s="42"/>
      <c r="E389" s="26"/>
      <c r="G389" s="54"/>
      <c r="N389" s="42"/>
    </row>
    <row r="390" spans="2:14" s="13" customFormat="1" x14ac:dyDescent="0.4">
      <c r="B390" s="25"/>
      <c r="D390" s="42"/>
      <c r="E390" s="26"/>
      <c r="G390" s="54"/>
      <c r="N390" s="42"/>
    </row>
    <row r="391" spans="2:14" s="13" customFormat="1" x14ac:dyDescent="0.4">
      <c r="B391" s="25"/>
      <c r="D391" s="42"/>
      <c r="E391" s="26"/>
      <c r="G391" s="54"/>
      <c r="N391" s="42"/>
    </row>
    <row r="392" spans="2:14" s="13" customFormat="1" x14ac:dyDescent="0.4">
      <c r="B392" s="25"/>
      <c r="D392" s="42"/>
      <c r="E392" s="26"/>
      <c r="G392" s="54"/>
      <c r="N392" s="42"/>
    </row>
    <row r="393" spans="2:14" s="13" customFormat="1" x14ac:dyDescent="0.4">
      <c r="B393" s="25"/>
      <c r="D393" s="42"/>
      <c r="E393" s="26"/>
      <c r="G393" s="54"/>
      <c r="N393" s="42"/>
    </row>
    <row r="394" spans="2:14" s="13" customFormat="1" x14ac:dyDescent="0.4">
      <c r="B394" s="25"/>
      <c r="D394" s="42"/>
      <c r="E394" s="26"/>
      <c r="G394" s="54"/>
      <c r="N394" s="42"/>
    </row>
    <row r="395" spans="2:14" s="13" customFormat="1" x14ac:dyDescent="0.4">
      <c r="B395" s="25"/>
      <c r="D395" s="42"/>
      <c r="E395" s="26"/>
      <c r="G395" s="54"/>
      <c r="N395" s="42"/>
    </row>
    <row r="396" spans="2:14" s="13" customFormat="1" x14ac:dyDescent="0.4">
      <c r="B396" s="25"/>
      <c r="D396" s="42"/>
      <c r="E396" s="26"/>
      <c r="G396" s="54"/>
      <c r="N396" s="42"/>
    </row>
    <row r="397" spans="2:14" s="13" customFormat="1" x14ac:dyDescent="0.4">
      <c r="B397" s="25"/>
      <c r="D397" s="42"/>
      <c r="E397" s="26"/>
      <c r="G397" s="54"/>
      <c r="N397" s="42"/>
    </row>
    <row r="398" spans="2:14" s="13" customFormat="1" x14ac:dyDescent="0.4">
      <c r="B398" s="25"/>
      <c r="D398" s="42"/>
      <c r="E398" s="26"/>
      <c r="G398" s="54"/>
      <c r="N398" s="42"/>
    </row>
    <row r="399" spans="2:14" s="13" customFormat="1" x14ac:dyDescent="0.4">
      <c r="B399" s="25"/>
      <c r="D399" s="42"/>
      <c r="E399" s="26"/>
      <c r="G399" s="54"/>
      <c r="N399" s="42"/>
    </row>
    <row r="400" spans="2:14" s="13" customFormat="1" x14ac:dyDescent="0.4">
      <c r="B400" s="25"/>
      <c r="D400" s="42"/>
      <c r="E400" s="26"/>
      <c r="G400" s="54"/>
      <c r="N400" s="42"/>
    </row>
    <row r="401" spans="2:14" s="13" customFormat="1" x14ac:dyDescent="0.4">
      <c r="B401" s="25"/>
      <c r="D401" s="42"/>
      <c r="E401" s="26"/>
      <c r="G401" s="54"/>
      <c r="N401" s="42"/>
    </row>
    <row r="402" spans="2:14" s="13" customFormat="1" x14ac:dyDescent="0.4">
      <c r="B402" s="25"/>
      <c r="D402" s="42"/>
      <c r="E402" s="26"/>
      <c r="G402" s="54"/>
      <c r="N402" s="42"/>
    </row>
    <row r="403" spans="2:14" s="13" customFormat="1" x14ac:dyDescent="0.4">
      <c r="B403" s="25"/>
      <c r="D403" s="42"/>
      <c r="E403" s="26"/>
      <c r="G403" s="54"/>
      <c r="N403" s="42"/>
    </row>
    <row r="404" spans="2:14" s="13" customFormat="1" x14ac:dyDescent="0.4">
      <c r="B404" s="25"/>
      <c r="D404" s="42"/>
      <c r="E404" s="26"/>
      <c r="G404" s="54"/>
      <c r="N404" s="42"/>
    </row>
    <row r="405" spans="2:14" s="13" customFormat="1" x14ac:dyDescent="0.4">
      <c r="B405" s="25"/>
      <c r="D405" s="42"/>
      <c r="E405" s="26"/>
      <c r="G405" s="54"/>
      <c r="N405" s="42"/>
    </row>
    <row r="406" spans="2:14" s="13" customFormat="1" x14ac:dyDescent="0.4">
      <c r="B406" s="25"/>
      <c r="D406" s="42"/>
      <c r="E406" s="26"/>
      <c r="G406" s="54"/>
      <c r="N406" s="42"/>
    </row>
    <row r="407" spans="2:14" s="13" customFormat="1" x14ac:dyDescent="0.4">
      <c r="B407" s="25"/>
      <c r="D407" s="42"/>
      <c r="E407" s="26"/>
      <c r="G407" s="54"/>
      <c r="N407" s="42"/>
    </row>
    <row r="408" spans="2:14" s="13" customFormat="1" x14ac:dyDescent="0.4">
      <c r="B408" s="25"/>
      <c r="D408" s="42"/>
      <c r="E408" s="26"/>
      <c r="G408" s="54"/>
      <c r="N408" s="42"/>
    </row>
    <row r="409" spans="2:14" s="13" customFormat="1" x14ac:dyDescent="0.4">
      <c r="B409" s="25"/>
      <c r="D409" s="42"/>
      <c r="E409" s="26"/>
      <c r="G409" s="54"/>
      <c r="N409" s="42"/>
    </row>
    <row r="410" spans="2:14" s="13" customFormat="1" x14ac:dyDescent="0.4">
      <c r="B410" s="25"/>
      <c r="D410" s="42"/>
      <c r="E410" s="26"/>
      <c r="G410" s="54"/>
      <c r="N410" s="42"/>
    </row>
    <row r="411" spans="2:14" s="13" customFormat="1" x14ac:dyDescent="0.4">
      <c r="B411" s="25"/>
      <c r="D411" s="42"/>
      <c r="E411" s="26"/>
      <c r="G411" s="54"/>
      <c r="N411" s="42"/>
    </row>
    <row r="412" spans="2:14" s="13" customFormat="1" x14ac:dyDescent="0.4">
      <c r="B412" s="25"/>
      <c r="D412" s="42"/>
      <c r="E412" s="26"/>
      <c r="G412" s="54"/>
      <c r="N412" s="42"/>
    </row>
    <row r="413" spans="2:14" s="13" customFormat="1" x14ac:dyDescent="0.4">
      <c r="B413" s="25"/>
      <c r="D413" s="42"/>
      <c r="E413" s="26"/>
      <c r="G413" s="54"/>
      <c r="N413" s="42"/>
    </row>
    <row r="414" spans="2:14" s="13" customFormat="1" x14ac:dyDescent="0.4">
      <c r="B414" s="25"/>
      <c r="D414" s="42"/>
      <c r="E414" s="26"/>
      <c r="G414" s="54"/>
      <c r="N414" s="42"/>
    </row>
    <row r="415" spans="2:14" s="13" customFormat="1" x14ac:dyDescent="0.4">
      <c r="B415" s="25"/>
      <c r="D415" s="42"/>
      <c r="E415" s="26"/>
      <c r="G415" s="54"/>
      <c r="N415" s="42"/>
    </row>
    <row r="416" spans="2:14" s="13" customFormat="1" x14ac:dyDescent="0.4">
      <c r="B416" s="25"/>
      <c r="D416" s="42"/>
      <c r="E416" s="26"/>
      <c r="G416" s="54"/>
      <c r="N416" s="42"/>
    </row>
    <row r="417" spans="2:14" s="13" customFormat="1" x14ac:dyDescent="0.4">
      <c r="B417" s="25"/>
      <c r="D417" s="42"/>
      <c r="E417" s="26"/>
      <c r="G417" s="54"/>
      <c r="N417" s="42"/>
    </row>
    <row r="418" spans="2:14" s="13" customFormat="1" x14ac:dyDescent="0.4">
      <c r="B418" s="25"/>
      <c r="D418" s="42"/>
      <c r="E418" s="26"/>
      <c r="G418" s="54"/>
      <c r="N418" s="42"/>
    </row>
    <row r="419" spans="2:14" s="13" customFormat="1" x14ac:dyDescent="0.4">
      <c r="B419" s="25"/>
      <c r="D419" s="42"/>
      <c r="E419" s="26"/>
      <c r="G419" s="54"/>
      <c r="N419" s="42"/>
    </row>
    <row r="420" spans="2:14" s="13" customFormat="1" x14ac:dyDescent="0.4">
      <c r="B420" s="25"/>
      <c r="D420" s="42"/>
      <c r="E420" s="26"/>
      <c r="G420" s="54"/>
      <c r="N420" s="42"/>
    </row>
    <row r="421" spans="2:14" s="13" customFormat="1" x14ac:dyDescent="0.4">
      <c r="B421" s="25"/>
      <c r="D421" s="42"/>
      <c r="E421" s="26"/>
      <c r="G421" s="54"/>
      <c r="N421" s="42"/>
    </row>
    <row r="422" spans="2:14" s="13" customFormat="1" x14ac:dyDescent="0.4">
      <c r="B422" s="25"/>
      <c r="D422" s="42"/>
      <c r="E422" s="26"/>
      <c r="G422" s="54"/>
      <c r="N422" s="42"/>
    </row>
    <row r="423" spans="2:14" s="13" customFormat="1" x14ac:dyDescent="0.4">
      <c r="B423" s="25"/>
      <c r="D423" s="42"/>
      <c r="E423" s="26"/>
      <c r="G423" s="54"/>
      <c r="N423" s="42"/>
    </row>
    <row r="424" spans="2:14" s="13" customFormat="1" x14ac:dyDescent="0.4">
      <c r="B424" s="25"/>
      <c r="D424" s="42"/>
      <c r="E424" s="26"/>
      <c r="G424" s="54"/>
      <c r="N424" s="42"/>
    </row>
    <row r="425" spans="2:14" s="13" customFormat="1" x14ac:dyDescent="0.4">
      <c r="B425" s="25"/>
      <c r="D425" s="42"/>
      <c r="E425" s="26"/>
      <c r="G425" s="54"/>
      <c r="N425" s="42"/>
    </row>
    <row r="426" spans="2:14" s="13" customFormat="1" x14ac:dyDescent="0.4">
      <c r="B426" s="25"/>
      <c r="D426" s="42"/>
      <c r="E426" s="26"/>
      <c r="G426" s="54"/>
      <c r="N426" s="42"/>
    </row>
    <row r="427" spans="2:14" s="13" customFormat="1" x14ac:dyDescent="0.4">
      <c r="B427" s="25"/>
      <c r="D427" s="42"/>
      <c r="E427" s="26"/>
      <c r="G427" s="54"/>
      <c r="N427" s="42"/>
    </row>
    <row r="428" spans="2:14" s="13" customFormat="1" x14ac:dyDescent="0.4">
      <c r="B428" s="25"/>
      <c r="D428" s="42"/>
      <c r="E428" s="26"/>
      <c r="G428" s="54"/>
      <c r="N428" s="42"/>
    </row>
    <row r="429" spans="2:14" s="13" customFormat="1" x14ac:dyDescent="0.4">
      <c r="B429" s="25"/>
      <c r="D429" s="42"/>
      <c r="E429" s="26"/>
      <c r="G429" s="54"/>
      <c r="N429" s="42"/>
    </row>
    <row r="430" spans="2:14" s="13" customFormat="1" x14ac:dyDescent="0.4">
      <c r="B430" s="25"/>
      <c r="D430" s="42"/>
      <c r="E430" s="26"/>
      <c r="G430" s="54"/>
      <c r="N430" s="42"/>
    </row>
    <row r="431" spans="2:14" s="13" customFormat="1" x14ac:dyDescent="0.4">
      <c r="B431" s="25"/>
      <c r="D431" s="42"/>
      <c r="E431" s="26"/>
      <c r="G431" s="54"/>
      <c r="N431" s="42"/>
    </row>
    <row r="432" spans="2:14" s="13" customFormat="1" x14ac:dyDescent="0.4">
      <c r="B432" s="25"/>
      <c r="D432" s="42"/>
      <c r="E432" s="26"/>
      <c r="G432" s="54"/>
      <c r="N432" s="42"/>
    </row>
    <row r="433" spans="2:14" s="13" customFormat="1" x14ac:dyDescent="0.4">
      <c r="B433" s="25"/>
      <c r="D433" s="42"/>
      <c r="E433" s="26"/>
      <c r="G433" s="54"/>
      <c r="N433" s="42"/>
    </row>
    <row r="434" spans="2:14" s="13" customFormat="1" x14ac:dyDescent="0.4">
      <c r="B434" s="25"/>
      <c r="D434" s="42"/>
      <c r="E434" s="26"/>
      <c r="G434" s="54"/>
      <c r="N434" s="42"/>
    </row>
    <row r="435" spans="2:14" s="13" customFormat="1" x14ac:dyDescent="0.4">
      <c r="B435" s="25"/>
      <c r="D435" s="42"/>
      <c r="E435" s="26"/>
      <c r="G435" s="54"/>
      <c r="N435" s="42"/>
    </row>
    <row r="436" spans="2:14" s="13" customFormat="1" x14ac:dyDescent="0.4">
      <c r="B436" s="25"/>
      <c r="D436" s="42"/>
      <c r="E436" s="26"/>
      <c r="G436" s="54"/>
      <c r="N436" s="42"/>
    </row>
    <row r="437" spans="2:14" s="13" customFormat="1" x14ac:dyDescent="0.4">
      <c r="B437" s="25"/>
      <c r="D437" s="42"/>
      <c r="E437" s="26"/>
      <c r="G437" s="54"/>
      <c r="N437" s="42"/>
    </row>
    <row r="438" spans="2:14" s="13" customFormat="1" x14ac:dyDescent="0.4">
      <c r="B438" s="25"/>
      <c r="D438" s="42"/>
      <c r="E438" s="26"/>
      <c r="G438" s="54"/>
      <c r="N438" s="42"/>
    </row>
    <row r="439" spans="2:14" s="13" customFormat="1" x14ac:dyDescent="0.4">
      <c r="B439" s="25"/>
      <c r="D439" s="42"/>
      <c r="E439" s="26"/>
      <c r="G439" s="54"/>
      <c r="N439" s="42"/>
    </row>
    <row r="440" spans="2:14" s="13" customFormat="1" x14ac:dyDescent="0.4">
      <c r="B440" s="25"/>
      <c r="D440" s="42"/>
      <c r="E440" s="26"/>
      <c r="G440" s="54"/>
      <c r="N440" s="42"/>
    </row>
    <row r="441" spans="2:14" s="13" customFormat="1" x14ac:dyDescent="0.4">
      <c r="B441" s="25"/>
      <c r="D441" s="42"/>
      <c r="E441" s="26"/>
      <c r="G441" s="54"/>
      <c r="N441" s="42"/>
    </row>
    <row r="442" spans="2:14" s="13" customFormat="1" x14ac:dyDescent="0.4">
      <c r="B442" s="25"/>
      <c r="D442" s="42"/>
      <c r="E442" s="26"/>
      <c r="G442" s="54"/>
      <c r="N442" s="42"/>
    </row>
    <row r="443" spans="2:14" s="13" customFormat="1" x14ac:dyDescent="0.4">
      <c r="B443" s="25"/>
      <c r="D443" s="42"/>
      <c r="E443" s="26"/>
      <c r="G443" s="54"/>
      <c r="N443" s="42"/>
    </row>
    <row r="444" spans="2:14" s="13" customFormat="1" x14ac:dyDescent="0.4">
      <c r="B444" s="25"/>
      <c r="D444" s="42"/>
      <c r="E444" s="26"/>
      <c r="G444" s="54"/>
      <c r="N444" s="42"/>
    </row>
    <row r="445" spans="2:14" s="13" customFormat="1" x14ac:dyDescent="0.4">
      <c r="B445" s="25"/>
      <c r="D445" s="42"/>
      <c r="E445" s="26"/>
      <c r="G445" s="54"/>
      <c r="N445" s="42"/>
    </row>
    <row r="446" spans="2:14" s="13" customFormat="1" x14ac:dyDescent="0.4">
      <c r="B446" s="25"/>
      <c r="D446" s="42"/>
      <c r="E446" s="26"/>
      <c r="G446" s="54"/>
      <c r="N446" s="42"/>
    </row>
    <row r="447" spans="2:14" s="13" customFormat="1" x14ac:dyDescent="0.4">
      <c r="B447" s="25"/>
      <c r="D447" s="42"/>
      <c r="E447" s="26"/>
      <c r="G447" s="54"/>
      <c r="N447" s="42"/>
    </row>
    <row r="448" spans="2:14" s="13" customFormat="1" x14ac:dyDescent="0.4">
      <c r="B448" s="25"/>
      <c r="D448" s="42"/>
      <c r="E448" s="26"/>
      <c r="G448" s="54"/>
      <c r="N448" s="42"/>
    </row>
    <row r="449" spans="2:14" s="13" customFormat="1" x14ac:dyDescent="0.4">
      <c r="B449" s="25"/>
      <c r="D449" s="42"/>
      <c r="E449" s="26"/>
      <c r="G449" s="54"/>
      <c r="N449" s="42"/>
    </row>
    <row r="450" spans="2:14" s="13" customFormat="1" x14ac:dyDescent="0.4">
      <c r="B450" s="25"/>
      <c r="D450" s="42"/>
      <c r="E450" s="26"/>
      <c r="G450" s="54"/>
      <c r="N450" s="42"/>
    </row>
    <row r="451" spans="2:14" s="13" customFormat="1" x14ac:dyDescent="0.4">
      <c r="B451" s="25"/>
      <c r="D451" s="42"/>
      <c r="E451" s="26"/>
      <c r="G451" s="54"/>
      <c r="N451" s="42"/>
    </row>
    <row r="452" spans="2:14" s="13" customFormat="1" x14ac:dyDescent="0.4">
      <c r="B452" s="25"/>
      <c r="D452" s="42"/>
      <c r="E452" s="26"/>
      <c r="G452" s="54"/>
      <c r="N452" s="42"/>
    </row>
    <row r="453" spans="2:14" s="13" customFormat="1" x14ac:dyDescent="0.4">
      <c r="B453" s="25"/>
      <c r="D453" s="42"/>
      <c r="E453" s="26"/>
      <c r="G453" s="54"/>
      <c r="N453" s="42"/>
    </row>
    <row r="454" spans="2:14" s="13" customFormat="1" x14ac:dyDescent="0.4">
      <c r="B454" s="25"/>
      <c r="D454" s="42"/>
      <c r="E454" s="26"/>
      <c r="G454" s="54"/>
      <c r="N454" s="42"/>
    </row>
    <row r="455" spans="2:14" s="13" customFormat="1" x14ac:dyDescent="0.4">
      <c r="B455" s="25"/>
      <c r="D455" s="42"/>
      <c r="E455" s="26"/>
      <c r="G455" s="54"/>
      <c r="N455" s="42"/>
    </row>
    <row r="456" spans="2:14" s="13" customFormat="1" x14ac:dyDescent="0.4">
      <c r="B456" s="25"/>
      <c r="D456" s="42"/>
      <c r="E456" s="26"/>
      <c r="G456" s="54"/>
      <c r="N456" s="42"/>
    </row>
    <row r="457" spans="2:14" s="13" customFormat="1" x14ac:dyDescent="0.4">
      <c r="B457" s="25"/>
      <c r="D457" s="42"/>
      <c r="E457" s="26"/>
      <c r="G457" s="54"/>
      <c r="N457" s="42"/>
    </row>
    <row r="458" spans="2:14" s="13" customFormat="1" x14ac:dyDescent="0.4">
      <c r="B458" s="25"/>
      <c r="D458" s="42"/>
      <c r="E458" s="26"/>
      <c r="G458" s="54"/>
      <c r="N458" s="42"/>
    </row>
    <row r="459" spans="2:14" s="13" customFormat="1" x14ac:dyDescent="0.4">
      <c r="B459" s="25"/>
      <c r="D459" s="42"/>
      <c r="E459" s="26"/>
      <c r="G459" s="54"/>
      <c r="N459" s="42"/>
    </row>
    <row r="460" spans="2:14" s="13" customFormat="1" x14ac:dyDescent="0.4">
      <c r="B460" s="25"/>
      <c r="D460" s="42"/>
      <c r="E460" s="26"/>
      <c r="G460" s="54"/>
      <c r="N460" s="42"/>
    </row>
    <row r="461" spans="2:14" s="13" customFormat="1" x14ac:dyDescent="0.4">
      <c r="B461" s="25"/>
      <c r="D461" s="42"/>
      <c r="E461" s="26"/>
      <c r="G461" s="54"/>
      <c r="N461" s="42"/>
    </row>
    <row r="462" spans="2:14" s="13" customFormat="1" x14ac:dyDescent="0.4">
      <c r="B462" s="25"/>
      <c r="D462" s="42"/>
      <c r="E462" s="26"/>
      <c r="G462" s="54"/>
      <c r="N462" s="42"/>
    </row>
    <row r="463" spans="2:14" s="13" customFormat="1" x14ac:dyDescent="0.4">
      <c r="B463" s="25"/>
      <c r="D463" s="42"/>
      <c r="E463" s="26"/>
      <c r="G463" s="54"/>
      <c r="N463" s="42"/>
    </row>
    <row r="464" spans="2:14" s="13" customFormat="1" x14ac:dyDescent="0.4">
      <c r="B464" s="25"/>
      <c r="D464" s="42"/>
      <c r="E464" s="26"/>
      <c r="G464" s="54"/>
      <c r="N464" s="42"/>
    </row>
    <row r="465" spans="2:14" s="13" customFormat="1" x14ac:dyDescent="0.4">
      <c r="B465" s="25"/>
      <c r="D465" s="42"/>
      <c r="E465" s="26"/>
      <c r="G465" s="54"/>
      <c r="N465" s="42"/>
    </row>
    <row r="466" spans="2:14" s="13" customFormat="1" x14ac:dyDescent="0.4">
      <c r="B466" s="25"/>
      <c r="D466" s="42"/>
      <c r="E466" s="26"/>
      <c r="G466" s="54"/>
      <c r="N466" s="42"/>
    </row>
    <row r="467" spans="2:14" s="13" customFormat="1" x14ac:dyDescent="0.4">
      <c r="B467" s="25"/>
      <c r="D467" s="42"/>
      <c r="E467" s="26"/>
      <c r="G467" s="54"/>
      <c r="N467" s="42"/>
    </row>
    <row r="468" spans="2:14" s="13" customFormat="1" x14ac:dyDescent="0.4">
      <c r="B468" s="25"/>
      <c r="D468" s="42"/>
      <c r="E468" s="26"/>
      <c r="G468" s="54"/>
      <c r="N468" s="42"/>
    </row>
    <row r="469" spans="2:14" s="13" customFormat="1" x14ac:dyDescent="0.4">
      <c r="B469" s="25"/>
      <c r="D469" s="42"/>
      <c r="E469" s="26"/>
      <c r="G469" s="54"/>
      <c r="N469" s="42"/>
    </row>
    <row r="470" spans="2:14" s="13" customFormat="1" x14ac:dyDescent="0.4">
      <c r="B470" s="25"/>
      <c r="D470" s="42"/>
      <c r="E470" s="26"/>
      <c r="G470" s="54"/>
      <c r="N470" s="42"/>
    </row>
    <row r="471" spans="2:14" s="13" customFormat="1" x14ac:dyDescent="0.4">
      <c r="B471" s="25"/>
      <c r="D471" s="42"/>
      <c r="E471" s="26"/>
      <c r="G471" s="54"/>
      <c r="N471" s="42"/>
    </row>
    <row r="472" spans="2:14" s="13" customFormat="1" x14ac:dyDescent="0.4">
      <c r="B472" s="25"/>
      <c r="D472" s="42"/>
      <c r="E472" s="26"/>
      <c r="G472" s="54"/>
      <c r="N472" s="42"/>
    </row>
    <row r="473" spans="2:14" s="13" customFormat="1" x14ac:dyDescent="0.4">
      <c r="B473" s="25"/>
      <c r="D473" s="42"/>
      <c r="E473" s="26"/>
      <c r="G473" s="54"/>
      <c r="N473" s="42"/>
    </row>
    <row r="474" spans="2:14" s="13" customFormat="1" x14ac:dyDescent="0.4">
      <c r="B474" s="25"/>
      <c r="D474" s="42"/>
      <c r="E474" s="26"/>
      <c r="G474" s="54"/>
      <c r="N474" s="42"/>
    </row>
    <row r="475" spans="2:14" s="13" customFormat="1" x14ac:dyDescent="0.4">
      <c r="B475" s="25"/>
      <c r="D475" s="42"/>
      <c r="E475" s="26"/>
      <c r="G475" s="54"/>
      <c r="N475" s="42"/>
    </row>
    <row r="476" spans="2:14" s="13" customFormat="1" x14ac:dyDescent="0.4">
      <c r="B476" s="25"/>
      <c r="D476" s="42"/>
      <c r="E476" s="26"/>
      <c r="G476" s="54"/>
      <c r="N476" s="42"/>
    </row>
    <row r="477" spans="2:14" s="13" customFormat="1" x14ac:dyDescent="0.4">
      <c r="B477" s="25"/>
      <c r="D477" s="42"/>
      <c r="E477" s="26"/>
      <c r="G477" s="54"/>
      <c r="N477" s="42"/>
    </row>
    <row r="478" spans="2:14" s="13" customFormat="1" x14ac:dyDescent="0.4">
      <c r="B478" s="25"/>
      <c r="D478" s="42"/>
      <c r="E478" s="26"/>
      <c r="G478" s="54"/>
      <c r="N478" s="42"/>
    </row>
    <row r="479" spans="2:14" s="13" customFormat="1" x14ac:dyDescent="0.4">
      <c r="B479" s="25"/>
      <c r="D479" s="42"/>
      <c r="E479" s="26"/>
      <c r="G479" s="54"/>
      <c r="N479" s="42"/>
    </row>
    <row r="480" spans="2:14" s="13" customFormat="1" x14ac:dyDescent="0.4">
      <c r="B480" s="25"/>
      <c r="D480" s="42"/>
      <c r="E480" s="26"/>
      <c r="G480" s="54"/>
      <c r="N480" s="42"/>
    </row>
    <row r="481" spans="2:14" s="13" customFormat="1" x14ac:dyDescent="0.4">
      <c r="B481" s="25"/>
      <c r="D481" s="42"/>
      <c r="E481" s="26"/>
      <c r="G481" s="54"/>
      <c r="N481" s="42"/>
    </row>
    <row r="482" spans="2:14" s="13" customFormat="1" x14ac:dyDescent="0.4">
      <c r="B482" s="25"/>
      <c r="D482" s="42"/>
      <c r="E482" s="26"/>
      <c r="G482" s="54"/>
      <c r="N482" s="42"/>
    </row>
    <row r="483" spans="2:14" s="13" customFormat="1" x14ac:dyDescent="0.4">
      <c r="B483" s="25"/>
      <c r="D483" s="42"/>
      <c r="E483" s="26"/>
      <c r="G483" s="54"/>
      <c r="N483" s="42"/>
    </row>
    <row r="484" spans="2:14" s="13" customFormat="1" x14ac:dyDescent="0.4">
      <c r="B484" s="25"/>
      <c r="D484" s="42"/>
      <c r="E484" s="26"/>
      <c r="G484" s="54"/>
      <c r="N484" s="42"/>
    </row>
    <row r="485" spans="2:14" s="13" customFormat="1" x14ac:dyDescent="0.4">
      <c r="B485" s="25"/>
      <c r="D485" s="42"/>
      <c r="E485" s="26"/>
      <c r="G485" s="54"/>
      <c r="N485" s="42"/>
    </row>
    <row r="486" spans="2:14" s="13" customFormat="1" x14ac:dyDescent="0.4">
      <c r="B486" s="25"/>
      <c r="D486" s="42"/>
      <c r="E486" s="26"/>
      <c r="G486" s="54"/>
      <c r="N486" s="42"/>
    </row>
    <row r="487" spans="2:14" s="13" customFormat="1" x14ac:dyDescent="0.4">
      <c r="B487" s="25"/>
      <c r="D487" s="42"/>
      <c r="E487" s="26"/>
      <c r="G487" s="54"/>
      <c r="N487" s="42"/>
    </row>
    <row r="488" spans="2:14" s="13" customFormat="1" x14ac:dyDescent="0.4">
      <c r="B488" s="25"/>
      <c r="D488" s="42"/>
      <c r="E488" s="26"/>
      <c r="G488" s="54"/>
      <c r="N488" s="42"/>
    </row>
    <row r="489" spans="2:14" s="13" customFormat="1" x14ac:dyDescent="0.4">
      <c r="B489" s="25"/>
      <c r="D489" s="42"/>
      <c r="E489" s="26"/>
      <c r="G489" s="54"/>
      <c r="N489" s="42"/>
    </row>
    <row r="490" spans="2:14" s="13" customFormat="1" x14ac:dyDescent="0.4">
      <c r="B490" s="25"/>
      <c r="D490" s="42"/>
      <c r="E490" s="26"/>
      <c r="G490" s="54"/>
      <c r="N490" s="42"/>
    </row>
    <row r="491" spans="2:14" s="13" customFormat="1" x14ac:dyDescent="0.4">
      <c r="B491" s="25"/>
      <c r="D491" s="42"/>
      <c r="E491" s="26"/>
      <c r="G491" s="54"/>
      <c r="N491" s="42"/>
    </row>
    <row r="492" spans="2:14" s="13" customFormat="1" x14ac:dyDescent="0.4">
      <c r="B492" s="25"/>
      <c r="D492" s="42"/>
      <c r="E492" s="26"/>
      <c r="G492" s="54"/>
      <c r="N492" s="42"/>
    </row>
    <row r="493" spans="2:14" s="13" customFormat="1" x14ac:dyDescent="0.4">
      <c r="B493" s="25"/>
      <c r="D493" s="42"/>
      <c r="E493" s="26"/>
      <c r="G493" s="54"/>
      <c r="N493" s="42"/>
    </row>
    <row r="494" spans="2:14" s="13" customFormat="1" x14ac:dyDescent="0.4">
      <c r="B494" s="25"/>
      <c r="D494" s="42"/>
      <c r="E494" s="26"/>
      <c r="G494" s="54"/>
      <c r="N494" s="42"/>
    </row>
    <row r="495" spans="2:14" s="13" customFormat="1" x14ac:dyDescent="0.4">
      <c r="B495" s="25"/>
      <c r="D495" s="42"/>
      <c r="E495" s="26"/>
      <c r="G495" s="54"/>
      <c r="N495" s="42"/>
    </row>
    <row r="496" spans="2:14" s="13" customFormat="1" x14ac:dyDescent="0.4">
      <c r="B496" s="25"/>
      <c r="D496" s="42"/>
      <c r="E496" s="26"/>
      <c r="G496" s="54"/>
      <c r="N496" s="42"/>
    </row>
    <row r="497" spans="2:14" s="13" customFormat="1" x14ac:dyDescent="0.4">
      <c r="B497" s="25"/>
      <c r="D497" s="42"/>
      <c r="E497" s="26"/>
      <c r="G497" s="54"/>
      <c r="N497" s="42"/>
    </row>
    <row r="498" spans="2:14" s="13" customFormat="1" x14ac:dyDescent="0.4">
      <c r="B498" s="25"/>
      <c r="D498" s="42"/>
      <c r="E498" s="26"/>
      <c r="G498" s="54"/>
      <c r="N498" s="42"/>
    </row>
    <row r="499" spans="2:14" s="13" customFormat="1" x14ac:dyDescent="0.4">
      <c r="B499" s="25"/>
      <c r="D499" s="42"/>
      <c r="E499" s="26"/>
      <c r="G499" s="54"/>
      <c r="N499" s="42"/>
    </row>
    <row r="500" spans="2:14" s="13" customFormat="1" x14ac:dyDescent="0.4">
      <c r="B500" s="25"/>
      <c r="D500" s="42"/>
      <c r="E500" s="26"/>
      <c r="G500" s="54"/>
      <c r="N500" s="42"/>
    </row>
    <row r="501" spans="2:14" s="13" customFormat="1" x14ac:dyDescent="0.4">
      <c r="B501" s="25"/>
      <c r="D501" s="42"/>
      <c r="E501" s="26"/>
      <c r="G501" s="54"/>
      <c r="N501" s="42"/>
    </row>
    <row r="502" spans="2:14" s="13" customFormat="1" x14ac:dyDescent="0.4">
      <c r="B502" s="25"/>
      <c r="D502" s="42"/>
      <c r="E502" s="26"/>
      <c r="G502" s="54"/>
      <c r="N502" s="42"/>
    </row>
    <row r="503" spans="2:14" s="13" customFormat="1" x14ac:dyDescent="0.4">
      <c r="B503" s="25"/>
      <c r="D503" s="42"/>
      <c r="E503" s="26"/>
      <c r="G503" s="54"/>
      <c r="N503" s="42"/>
    </row>
    <row r="504" spans="2:14" s="13" customFormat="1" x14ac:dyDescent="0.4">
      <c r="B504" s="25"/>
      <c r="D504" s="42"/>
      <c r="E504" s="26"/>
      <c r="G504" s="54"/>
      <c r="N504" s="42"/>
    </row>
    <row r="505" spans="2:14" s="13" customFormat="1" x14ac:dyDescent="0.4">
      <c r="B505" s="25"/>
      <c r="D505" s="42"/>
      <c r="E505" s="26"/>
      <c r="G505" s="54"/>
      <c r="N505" s="42"/>
    </row>
    <row r="506" spans="2:14" s="13" customFormat="1" x14ac:dyDescent="0.4">
      <c r="B506" s="25"/>
      <c r="D506" s="42"/>
      <c r="E506" s="26"/>
      <c r="G506" s="54"/>
      <c r="N506" s="42"/>
    </row>
    <row r="507" spans="2:14" s="13" customFormat="1" x14ac:dyDescent="0.4">
      <c r="B507" s="25"/>
      <c r="D507" s="42"/>
      <c r="E507" s="26"/>
      <c r="G507" s="54"/>
      <c r="N507" s="42"/>
    </row>
    <row r="508" spans="2:14" s="13" customFormat="1" x14ac:dyDescent="0.4">
      <c r="B508" s="25"/>
      <c r="D508" s="42"/>
      <c r="E508" s="26"/>
      <c r="G508" s="54"/>
      <c r="N508" s="42"/>
    </row>
    <row r="509" spans="2:14" s="13" customFormat="1" x14ac:dyDescent="0.4">
      <c r="B509" s="25"/>
      <c r="D509" s="42"/>
      <c r="E509" s="26"/>
      <c r="G509" s="54"/>
      <c r="N509" s="42"/>
    </row>
    <row r="510" spans="2:14" s="13" customFormat="1" x14ac:dyDescent="0.4">
      <c r="B510" s="25"/>
      <c r="D510" s="42"/>
      <c r="E510" s="26"/>
      <c r="G510" s="54"/>
      <c r="N510" s="42"/>
    </row>
    <row r="511" spans="2:14" s="13" customFormat="1" x14ac:dyDescent="0.4">
      <c r="B511" s="25"/>
      <c r="D511" s="42"/>
      <c r="E511" s="26"/>
      <c r="G511" s="54"/>
      <c r="N511" s="42"/>
    </row>
    <row r="512" spans="2:14" s="13" customFormat="1" x14ac:dyDescent="0.4">
      <c r="B512" s="25"/>
      <c r="D512" s="42"/>
      <c r="E512" s="26"/>
      <c r="G512" s="54"/>
      <c r="N512" s="42"/>
    </row>
    <row r="513" spans="2:14" s="13" customFormat="1" x14ac:dyDescent="0.4">
      <c r="B513" s="25"/>
      <c r="D513" s="42"/>
      <c r="E513" s="26"/>
      <c r="G513" s="54"/>
      <c r="N513" s="42"/>
    </row>
    <row r="514" spans="2:14" s="13" customFormat="1" x14ac:dyDescent="0.4">
      <c r="B514" s="25"/>
      <c r="D514" s="42"/>
      <c r="E514" s="26"/>
      <c r="G514" s="54"/>
      <c r="N514" s="42"/>
    </row>
    <row r="515" spans="2:14" s="13" customFormat="1" x14ac:dyDescent="0.4">
      <c r="B515" s="25"/>
      <c r="D515" s="42"/>
      <c r="E515" s="26"/>
      <c r="G515" s="54"/>
      <c r="N515" s="42"/>
    </row>
    <row r="516" spans="2:14" s="13" customFormat="1" x14ac:dyDescent="0.4">
      <c r="B516" s="25"/>
      <c r="D516" s="42"/>
      <c r="E516" s="26"/>
      <c r="G516" s="54"/>
      <c r="N516" s="42"/>
    </row>
    <row r="517" spans="2:14" s="13" customFormat="1" x14ac:dyDescent="0.4">
      <c r="B517" s="25"/>
      <c r="D517" s="42"/>
      <c r="E517" s="26"/>
      <c r="G517" s="54"/>
      <c r="N517" s="42"/>
    </row>
    <row r="518" spans="2:14" s="13" customFormat="1" x14ac:dyDescent="0.4">
      <c r="B518" s="25"/>
      <c r="D518" s="42"/>
      <c r="E518" s="26"/>
      <c r="G518" s="54"/>
      <c r="N518" s="42"/>
    </row>
    <row r="519" spans="2:14" s="13" customFormat="1" x14ac:dyDescent="0.4">
      <c r="B519" s="25"/>
      <c r="D519" s="42"/>
      <c r="E519" s="26"/>
      <c r="G519" s="54"/>
      <c r="N519" s="42"/>
    </row>
    <row r="520" spans="2:14" s="13" customFormat="1" x14ac:dyDescent="0.4">
      <c r="B520" s="25"/>
      <c r="D520" s="42"/>
      <c r="E520" s="26"/>
      <c r="G520" s="54"/>
      <c r="N520" s="42"/>
    </row>
    <row r="521" spans="2:14" s="13" customFormat="1" x14ac:dyDescent="0.4">
      <c r="B521" s="25"/>
      <c r="D521" s="42"/>
      <c r="E521" s="26"/>
      <c r="G521" s="54"/>
      <c r="N521" s="42"/>
    </row>
    <row r="522" spans="2:14" s="13" customFormat="1" x14ac:dyDescent="0.4">
      <c r="B522" s="25"/>
      <c r="D522" s="42"/>
      <c r="E522" s="26"/>
      <c r="G522" s="54"/>
      <c r="N522" s="42"/>
    </row>
    <row r="523" spans="2:14" s="13" customFormat="1" x14ac:dyDescent="0.4">
      <c r="B523" s="25"/>
      <c r="D523" s="42"/>
      <c r="E523" s="26"/>
      <c r="G523" s="54"/>
      <c r="N523" s="42"/>
    </row>
    <row r="524" spans="2:14" s="13" customFormat="1" x14ac:dyDescent="0.4">
      <c r="B524" s="25"/>
      <c r="D524" s="42"/>
      <c r="E524" s="26"/>
      <c r="G524" s="54"/>
      <c r="N524" s="42"/>
    </row>
    <row r="525" spans="2:14" s="13" customFormat="1" x14ac:dyDescent="0.4">
      <c r="B525" s="25"/>
      <c r="D525" s="42"/>
      <c r="E525" s="26"/>
      <c r="G525" s="54"/>
      <c r="N525" s="42"/>
    </row>
    <row r="526" spans="2:14" s="13" customFormat="1" x14ac:dyDescent="0.4">
      <c r="B526" s="25"/>
      <c r="D526" s="42"/>
      <c r="E526" s="26"/>
      <c r="G526" s="54"/>
      <c r="N526" s="42"/>
    </row>
    <row r="527" spans="2:14" s="13" customFormat="1" x14ac:dyDescent="0.4">
      <c r="B527" s="25"/>
      <c r="D527" s="42"/>
      <c r="E527" s="26"/>
      <c r="G527" s="54"/>
      <c r="N527" s="42"/>
    </row>
    <row r="528" spans="2:14" s="13" customFormat="1" x14ac:dyDescent="0.4">
      <c r="B528" s="25"/>
      <c r="D528" s="42"/>
      <c r="E528" s="26"/>
      <c r="G528" s="54"/>
      <c r="N528" s="42"/>
    </row>
    <row r="529" spans="2:14" s="13" customFormat="1" x14ac:dyDescent="0.4">
      <c r="B529" s="25"/>
      <c r="D529" s="42"/>
      <c r="E529" s="26"/>
      <c r="G529" s="54"/>
      <c r="N529" s="42"/>
    </row>
    <row r="530" spans="2:14" s="13" customFormat="1" x14ac:dyDescent="0.4">
      <c r="B530" s="25"/>
      <c r="D530" s="42"/>
      <c r="E530" s="26"/>
      <c r="G530" s="54"/>
      <c r="N530" s="42"/>
    </row>
    <row r="531" spans="2:14" s="13" customFormat="1" x14ac:dyDescent="0.4">
      <c r="B531" s="25"/>
      <c r="D531" s="42"/>
      <c r="E531" s="26"/>
      <c r="G531" s="54"/>
      <c r="N531" s="42"/>
    </row>
    <row r="532" spans="2:14" s="13" customFormat="1" x14ac:dyDescent="0.4">
      <c r="B532" s="25"/>
      <c r="D532" s="42"/>
      <c r="E532" s="26"/>
      <c r="G532" s="54"/>
      <c r="N532" s="42"/>
    </row>
    <row r="533" spans="2:14" s="13" customFormat="1" x14ac:dyDescent="0.4">
      <c r="B533" s="25"/>
      <c r="D533" s="42"/>
      <c r="E533" s="26"/>
      <c r="G533" s="54"/>
      <c r="N533" s="42"/>
    </row>
    <row r="534" spans="2:14" s="13" customFormat="1" x14ac:dyDescent="0.4">
      <c r="B534" s="25"/>
      <c r="D534" s="42"/>
      <c r="E534" s="26"/>
      <c r="G534" s="54"/>
      <c r="N534" s="42"/>
    </row>
    <row r="535" spans="2:14" s="13" customFormat="1" x14ac:dyDescent="0.4">
      <c r="B535" s="25"/>
      <c r="D535" s="42"/>
      <c r="E535" s="26"/>
      <c r="G535" s="54"/>
      <c r="N535" s="42"/>
    </row>
    <row r="536" spans="2:14" s="13" customFormat="1" x14ac:dyDescent="0.4">
      <c r="B536" s="25"/>
      <c r="D536" s="42"/>
      <c r="E536" s="26"/>
      <c r="G536" s="54"/>
      <c r="N536" s="42"/>
    </row>
    <row r="537" spans="2:14" s="13" customFormat="1" x14ac:dyDescent="0.4">
      <c r="B537" s="25"/>
      <c r="D537" s="42"/>
      <c r="E537" s="26"/>
      <c r="G537" s="54"/>
      <c r="N537" s="42"/>
    </row>
    <row r="538" spans="2:14" s="13" customFormat="1" x14ac:dyDescent="0.4">
      <c r="B538" s="25"/>
      <c r="D538" s="42"/>
      <c r="E538" s="26"/>
      <c r="G538" s="54"/>
      <c r="N538" s="42"/>
    </row>
    <row r="539" spans="2:14" s="13" customFormat="1" x14ac:dyDescent="0.4">
      <c r="B539" s="25"/>
      <c r="D539" s="42"/>
      <c r="E539" s="26"/>
      <c r="G539" s="54"/>
      <c r="N539" s="42"/>
    </row>
    <row r="540" spans="2:14" s="13" customFormat="1" x14ac:dyDescent="0.4">
      <c r="B540" s="25"/>
      <c r="D540" s="42"/>
      <c r="E540" s="26"/>
      <c r="G540" s="54"/>
      <c r="N540" s="42"/>
    </row>
    <row r="541" spans="2:14" s="13" customFormat="1" x14ac:dyDescent="0.4">
      <c r="B541" s="25"/>
      <c r="D541" s="42"/>
      <c r="E541" s="26"/>
      <c r="G541" s="54"/>
      <c r="N541" s="42"/>
    </row>
    <row r="542" spans="2:14" s="13" customFormat="1" x14ac:dyDescent="0.4">
      <c r="B542" s="25"/>
      <c r="D542" s="42"/>
      <c r="E542" s="26"/>
      <c r="G542" s="54"/>
      <c r="N542" s="42"/>
    </row>
    <row r="543" spans="2:14" s="13" customFormat="1" x14ac:dyDescent="0.4">
      <c r="B543" s="25"/>
      <c r="D543" s="42"/>
      <c r="E543" s="26"/>
      <c r="G543" s="54"/>
      <c r="N543" s="42"/>
    </row>
    <row r="544" spans="2:14" s="13" customFormat="1" x14ac:dyDescent="0.4">
      <c r="B544" s="25"/>
      <c r="D544" s="42"/>
      <c r="E544" s="26"/>
      <c r="G544" s="54"/>
      <c r="N544" s="42"/>
    </row>
    <row r="545" spans="2:14" s="13" customFormat="1" x14ac:dyDescent="0.4">
      <c r="B545" s="25"/>
      <c r="D545" s="42"/>
      <c r="E545" s="26"/>
      <c r="G545" s="54"/>
      <c r="N545" s="42"/>
    </row>
    <row r="546" spans="2:14" s="13" customFormat="1" x14ac:dyDescent="0.4">
      <c r="B546" s="25"/>
      <c r="D546" s="42"/>
      <c r="E546" s="26"/>
      <c r="G546" s="54"/>
      <c r="N546" s="42"/>
    </row>
    <row r="547" spans="2:14" s="13" customFormat="1" x14ac:dyDescent="0.4">
      <c r="B547" s="25"/>
      <c r="D547" s="42"/>
      <c r="E547" s="26"/>
      <c r="G547" s="54"/>
      <c r="N547" s="42"/>
    </row>
    <row r="548" spans="2:14" s="13" customFormat="1" x14ac:dyDescent="0.4">
      <c r="B548" s="25"/>
      <c r="D548" s="42"/>
      <c r="E548" s="26"/>
      <c r="G548" s="54"/>
      <c r="N548" s="42"/>
    </row>
    <row r="549" spans="2:14" s="13" customFormat="1" x14ac:dyDescent="0.4">
      <c r="B549" s="25"/>
      <c r="D549" s="42"/>
      <c r="E549" s="26"/>
      <c r="G549" s="54"/>
      <c r="N549" s="42"/>
    </row>
    <row r="550" spans="2:14" s="13" customFormat="1" x14ac:dyDescent="0.4">
      <c r="B550" s="25"/>
      <c r="D550" s="42"/>
      <c r="E550" s="26"/>
      <c r="G550" s="54"/>
      <c r="N550" s="42"/>
    </row>
    <row r="551" spans="2:14" s="13" customFormat="1" x14ac:dyDescent="0.4">
      <c r="B551" s="25"/>
      <c r="D551" s="42"/>
      <c r="E551" s="26"/>
      <c r="G551" s="54"/>
      <c r="N551" s="42"/>
    </row>
    <row r="552" spans="2:14" s="13" customFormat="1" x14ac:dyDescent="0.4">
      <c r="B552" s="25"/>
      <c r="D552" s="42"/>
      <c r="E552" s="26"/>
      <c r="G552" s="54"/>
      <c r="N552" s="42"/>
    </row>
    <row r="553" spans="2:14" s="13" customFormat="1" x14ac:dyDescent="0.4">
      <c r="B553" s="25"/>
      <c r="D553" s="42"/>
      <c r="E553" s="26"/>
      <c r="G553" s="54"/>
      <c r="N553" s="42"/>
    </row>
    <row r="554" spans="2:14" s="13" customFormat="1" x14ac:dyDescent="0.4">
      <c r="B554" s="25"/>
      <c r="D554" s="42"/>
      <c r="E554" s="26"/>
      <c r="G554" s="54"/>
      <c r="N554" s="42"/>
    </row>
    <row r="555" spans="2:14" s="13" customFormat="1" x14ac:dyDescent="0.4">
      <c r="B555" s="25"/>
      <c r="D555" s="42"/>
      <c r="E555" s="26"/>
      <c r="G555" s="54"/>
      <c r="N555" s="42"/>
    </row>
    <row r="556" spans="2:14" s="13" customFormat="1" x14ac:dyDescent="0.4">
      <c r="B556" s="25"/>
      <c r="D556" s="42"/>
      <c r="E556" s="26"/>
      <c r="G556" s="54"/>
      <c r="N556" s="42"/>
    </row>
    <row r="557" spans="2:14" s="13" customFormat="1" x14ac:dyDescent="0.4">
      <c r="B557" s="25"/>
      <c r="D557" s="42"/>
      <c r="E557" s="26"/>
      <c r="G557" s="54"/>
      <c r="N557" s="42"/>
    </row>
    <row r="558" spans="2:14" s="13" customFormat="1" x14ac:dyDescent="0.4">
      <c r="B558" s="25"/>
      <c r="D558" s="42"/>
      <c r="E558" s="26"/>
      <c r="G558" s="54"/>
      <c r="N558" s="42"/>
    </row>
    <row r="559" spans="2:14" s="13" customFormat="1" x14ac:dyDescent="0.4">
      <c r="B559" s="25"/>
      <c r="D559" s="42"/>
      <c r="E559" s="26"/>
      <c r="G559" s="54"/>
      <c r="N559" s="42"/>
    </row>
    <row r="560" spans="2:14" s="13" customFormat="1" x14ac:dyDescent="0.4">
      <c r="B560" s="25"/>
      <c r="D560" s="42"/>
      <c r="E560" s="26"/>
      <c r="G560" s="54"/>
      <c r="N560" s="42"/>
    </row>
    <row r="561" spans="2:14" s="13" customFormat="1" x14ac:dyDescent="0.4">
      <c r="B561" s="25"/>
      <c r="D561" s="42"/>
      <c r="E561" s="26"/>
      <c r="G561" s="54"/>
      <c r="N561" s="42"/>
    </row>
    <row r="562" spans="2:14" s="13" customFormat="1" x14ac:dyDescent="0.4">
      <c r="B562" s="25"/>
      <c r="D562" s="42"/>
      <c r="E562" s="26"/>
      <c r="G562" s="54"/>
      <c r="N562" s="42"/>
    </row>
    <row r="563" spans="2:14" s="13" customFormat="1" x14ac:dyDescent="0.4">
      <c r="B563" s="25"/>
      <c r="D563" s="42"/>
      <c r="E563" s="26"/>
      <c r="G563" s="54"/>
      <c r="N563" s="42"/>
    </row>
    <row r="564" spans="2:14" s="13" customFormat="1" x14ac:dyDescent="0.4">
      <c r="B564" s="25"/>
      <c r="D564" s="42"/>
      <c r="E564" s="26"/>
      <c r="G564" s="54"/>
      <c r="N564" s="42"/>
    </row>
    <row r="565" spans="2:14" s="13" customFormat="1" x14ac:dyDescent="0.4">
      <c r="B565" s="25"/>
      <c r="D565" s="42"/>
      <c r="E565" s="26"/>
      <c r="G565" s="54"/>
      <c r="N565" s="42"/>
    </row>
    <row r="566" spans="2:14" s="13" customFormat="1" x14ac:dyDescent="0.4">
      <c r="B566" s="25"/>
      <c r="D566" s="42"/>
      <c r="E566" s="26"/>
      <c r="G566" s="54"/>
      <c r="N566" s="42"/>
    </row>
    <row r="567" spans="2:14" s="13" customFormat="1" x14ac:dyDescent="0.4">
      <c r="B567" s="25"/>
      <c r="D567" s="42"/>
      <c r="E567" s="26"/>
      <c r="G567" s="54"/>
      <c r="N567" s="42"/>
    </row>
    <row r="568" spans="2:14" s="13" customFormat="1" x14ac:dyDescent="0.4">
      <c r="B568" s="25"/>
      <c r="D568" s="42"/>
      <c r="E568" s="26"/>
      <c r="G568" s="54"/>
      <c r="N568" s="42"/>
    </row>
    <row r="569" spans="2:14" s="13" customFormat="1" x14ac:dyDescent="0.4">
      <c r="B569" s="25"/>
      <c r="D569" s="42"/>
      <c r="E569" s="26"/>
      <c r="G569" s="54"/>
      <c r="N569" s="42"/>
    </row>
    <row r="570" spans="2:14" s="13" customFormat="1" x14ac:dyDescent="0.4">
      <c r="B570" s="25"/>
      <c r="D570" s="42"/>
      <c r="E570" s="26"/>
      <c r="G570" s="54"/>
      <c r="N570" s="42"/>
    </row>
    <row r="571" spans="2:14" s="13" customFormat="1" x14ac:dyDescent="0.4">
      <c r="B571" s="25"/>
      <c r="D571" s="42"/>
      <c r="E571" s="26"/>
      <c r="G571" s="54"/>
      <c r="N571" s="42"/>
    </row>
    <row r="572" spans="2:14" s="13" customFormat="1" x14ac:dyDescent="0.4">
      <c r="B572" s="25"/>
      <c r="D572" s="42"/>
      <c r="E572" s="26"/>
      <c r="G572" s="54"/>
      <c r="N572" s="42"/>
    </row>
    <row r="573" spans="2:14" s="13" customFormat="1" x14ac:dyDescent="0.4">
      <c r="B573" s="25"/>
      <c r="D573" s="42"/>
      <c r="E573" s="26"/>
      <c r="G573" s="54"/>
      <c r="N573" s="42"/>
    </row>
    <row r="574" spans="2:14" s="13" customFormat="1" x14ac:dyDescent="0.4">
      <c r="B574" s="25"/>
      <c r="D574" s="42"/>
      <c r="E574" s="26"/>
      <c r="G574" s="54"/>
      <c r="N574" s="42"/>
    </row>
    <row r="575" spans="2:14" s="13" customFormat="1" x14ac:dyDescent="0.4">
      <c r="B575" s="25"/>
      <c r="D575" s="42"/>
      <c r="E575" s="26"/>
      <c r="G575" s="54"/>
      <c r="N575" s="42"/>
    </row>
    <row r="576" spans="2:14" s="13" customFormat="1" x14ac:dyDescent="0.4">
      <c r="B576" s="25"/>
      <c r="D576" s="42"/>
      <c r="E576" s="26"/>
      <c r="G576" s="54"/>
      <c r="N576" s="42"/>
    </row>
    <row r="577" spans="2:14" s="13" customFormat="1" x14ac:dyDescent="0.4">
      <c r="B577" s="25"/>
      <c r="D577" s="42"/>
      <c r="E577" s="26"/>
      <c r="G577" s="54"/>
      <c r="N577" s="42"/>
    </row>
    <row r="578" spans="2:14" s="13" customFormat="1" x14ac:dyDescent="0.4">
      <c r="B578" s="25"/>
      <c r="D578" s="42"/>
      <c r="E578" s="26"/>
      <c r="G578" s="54"/>
      <c r="N578" s="42"/>
    </row>
    <row r="579" spans="2:14" s="13" customFormat="1" x14ac:dyDescent="0.4">
      <c r="B579" s="25"/>
      <c r="D579" s="42"/>
      <c r="E579" s="26"/>
      <c r="G579" s="54"/>
      <c r="N579" s="42"/>
    </row>
    <row r="580" spans="2:14" s="13" customFormat="1" x14ac:dyDescent="0.4">
      <c r="B580" s="25"/>
      <c r="D580" s="42"/>
      <c r="E580" s="26"/>
      <c r="G580" s="54"/>
      <c r="N580" s="42"/>
    </row>
    <row r="581" spans="2:14" s="13" customFormat="1" x14ac:dyDescent="0.4">
      <c r="B581" s="25"/>
      <c r="D581" s="42"/>
      <c r="E581" s="26"/>
      <c r="G581" s="54"/>
      <c r="N581" s="42"/>
    </row>
    <row r="582" spans="2:14" s="13" customFormat="1" x14ac:dyDescent="0.4">
      <c r="B582" s="25"/>
      <c r="D582" s="42"/>
      <c r="E582" s="26"/>
      <c r="G582" s="54"/>
      <c r="N582" s="42"/>
    </row>
    <row r="583" spans="2:14" s="13" customFormat="1" x14ac:dyDescent="0.4">
      <c r="B583" s="25"/>
      <c r="D583" s="42"/>
      <c r="E583" s="26"/>
      <c r="G583" s="54"/>
      <c r="N583" s="42"/>
    </row>
    <row r="584" spans="2:14" s="13" customFormat="1" x14ac:dyDescent="0.4">
      <c r="B584" s="25"/>
      <c r="D584" s="42"/>
      <c r="E584" s="26"/>
      <c r="G584" s="54"/>
      <c r="N584" s="42"/>
    </row>
    <row r="585" spans="2:14" s="13" customFormat="1" x14ac:dyDescent="0.4">
      <c r="B585" s="25"/>
      <c r="D585" s="42"/>
      <c r="E585" s="26"/>
      <c r="G585" s="54"/>
      <c r="N585" s="42"/>
    </row>
    <row r="586" spans="2:14" s="13" customFormat="1" x14ac:dyDescent="0.4">
      <c r="B586" s="25"/>
      <c r="D586" s="42"/>
      <c r="E586" s="26"/>
      <c r="G586" s="54"/>
      <c r="N586" s="42"/>
    </row>
    <row r="587" spans="2:14" s="13" customFormat="1" x14ac:dyDescent="0.4">
      <c r="B587" s="25"/>
      <c r="D587" s="42"/>
      <c r="E587" s="26"/>
      <c r="G587" s="54"/>
      <c r="N587" s="42"/>
    </row>
    <row r="588" spans="2:14" s="13" customFormat="1" x14ac:dyDescent="0.4">
      <c r="B588" s="25"/>
      <c r="D588" s="42"/>
      <c r="E588" s="26"/>
      <c r="G588" s="54"/>
      <c r="N588" s="42"/>
    </row>
    <row r="589" spans="2:14" s="13" customFormat="1" x14ac:dyDescent="0.4">
      <c r="B589" s="25"/>
      <c r="D589" s="42"/>
      <c r="E589" s="26"/>
      <c r="G589" s="54"/>
      <c r="N589" s="42"/>
    </row>
    <row r="590" spans="2:14" s="13" customFormat="1" x14ac:dyDescent="0.4">
      <c r="B590" s="25"/>
      <c r="D590" s="42"/>
      <c r="E590" s="26"/>
      <c r="G590" s="54"/>
      <c r="N590" s="42"/>
    </row>
    <row r="591" spans="2:14" s="13" customFormat="1" x14ac:dyDescent="0.4">
      <c r="B591" s="25"/>
      <c r="D591" s="42"/>
      <c r="E591" s="26"/>
      <c r="G591" s="54"/>
      <c r="N591" s="42"/>
    </row>
    <row r="592" spans="2:14" s="13" customFormat="1" x14ac:dyDescent="0.4">
      <c r="B592" s="25"/>
      <c r="D592" s="42"/>
      <c r="E592" s="26"/>
      <c r="G592" s="54"/>
      <c r="N592" s="42"/>
    </row>
    <row r="593" spans="2:14" s="13" customFormat="1" x14ac:dyDescent="0.4">
      <c r="B593" s="25"/>
      <c r="D593" s="42"/>
      <c r="E593" s="26"/>
      <c r="G593" s="54"/>
      <c r="N593" s="42"/>
    </row>
    <row r="594" spans="2:14" s="13" customFormat="1" x14ac:dyDescent="0.4">
      <c r="B594" s="25"/>
      <c r="D594" s="42"/>
      <c r="E594" s="26"/>
      <c r="G594" s="54"/>
      <c r="N594" s="42"/>
    </row>
    <row r="595" spans="2:14" s="13" customFormat="1" x14ac:dyDescent="0.4">
      <c r="B595" s="25"/>
      <c r="D595" s="42"/>
      <c r="E595" s="26"/>
      <c r="G595" s="54"/>
      <c r="N595" s="42"/>
    </row>
    <row r="596" spans="2:14" s="13" customFormat="1" x14ac:dyDescent="0.4">
      <c r="B596" s="25"/>
      <c r="D596" s="42"/>
      <c r="E596" s="26"/>
      <c r="G596" s="54"/>
      <c r="N596" s="42"/>
    </row>
    <row r="597" spans="2:14" s="13" customFormat="1" x14ac:dyDescent="0.4">
      <c r="B597" s="25"/>
      <c r="D597" s="42"/>
      <c r="E597" s="26"/>
      <c r="G597" s="54"/>
      <c r="N597" s="42"/>
    </row>
    <row r="598" spans="2:14" s="13" customFormat="1" x14ac:dyDescent="0.4">
      <c r="B598" s="25"/>
      <c r="D598" s="42"/>
      <c r="E598" s="26"/>
      <c r="G598" s="54"/>
      <c r="N598" s="42"/>
    </row>
    <row r="599" spans="2:14" s="13" customFormat="1" x14ac:dyDescent="0.4">
      <c r="B599" s="25"/>
      <c r="D599" s="42"/>
      <c r="E599" s="26"/>
      <c r="G599" s="54"/>
      <c r="N599" s="42"/>
    </row>
    <row r="600" spans="2:14" s="13" customFormat="1" x14ac:dyDescent="0.4">
      <c r="B600" s="25"/>
      <c r="D600" s="42"/>
      <c r="E600" s="26"/>
      <c r="G600" s="54"/>
      <c r="N600" s="42"/>
    </row>
    <row r="601" spans="2:14" s="13" customFormat="1" x14ac:dyDescent="0.4">
      <c r="B601" s="25"/>
      <c r="D601" s="42"/>
      <c r="E601" s="26"/>
      <c r="G601" s="54"/>
      <c r="N601" s="42"/>
    </row>
    <row r="602" spans="2:14" s="13" customFormat="1" x14ac:dyDescent="0.4">
      <c r="B602" s="25"/>
      <c r="D602" s="42"/>
      <c r="E602" s="26"/>
      <c r="G602" s="54"/>
      <c r="N602" s="42"/>
    </row>
    <row r="603" spans="2:14" s="13" customFormat="1" x14ac:dyDescent="0.4">
      <c r="B603" s="25"/>
      <c r="D603" s="42"/>
      <c r="E603" s="26"/>
      <c r="G603" s="54"/>
      <c r="N603" s="42"/>
    </row>
    <row r="604" spans="2:14" s="13" customFormat="1" x14ac:dyDescent="0.4">
      <c r="B604" s="25"/>
      <c r="D604" s="42"/>
      <c r="E604" s="26"/>
      <c r="G604" s="54"/>
      <c r="N604" s="42"/>
    </row>
    <row r="605" spans="2:14" s="13" customFormat="1" x14ac:dyDescent="0.4">
      <c r="B605" s="25"/>
      <c r="D605" s="42"/>
      <c r="E605" s="26"/>
      <c r="G605" s="54"/>
      <c r="N605" s="42"/>
    </row>
    <row r="606" spans="2:14" s="13" customFormat="1" x14ac:dyDescent="0.4">
      <c r="B606" s="25"/>
      <c r="D606" s="42"/>
      <c r="E606" s="26"/>
      <c r="G606" s="54"/>
      <c r="N606" s="42"/>
    </row>
    <row r="607" spans="2:14" s="13" customFormat="1" x14ac:dyDescent="0.4">
      <c r="B607" s="25"/>
      <c r="D607" s="42"/>
      <c r="E607" s="26"/>
      <c r="G607" s="54"/>
      <c r="N607" s="42"/>
    </row>
    <row r="608" spans="2:14" s="13" customFormat="1" x14ac:dyDescent="0.4">
      <c r="B608" s="25"/>
      <c r="D608" s="42"/>
      <c r="E608" s="26"/>
      <c r="G608" s="54"/>
      <c r="N608" s="42"/>
    </row>
    <row r="609" spans="2:14" s="13" customFormat="1" x14ac:dyDescent="0.4">
      <c r="B609" s="25"/>
      <c r="D609" s="42"/>
      <c r="E609" s="26"/>
      <c r="G609" s="54"/>
      <c r="N609" s="42"/>
    </row>
    <row r="610" spans="2:14" s="13" customFormat="1" x14ac:dyDescent="0.4">
      <c r="B610" s="25"/>
      <c r="D610" s="42"/>
      <c r="E610" s="26"/>
      <c r="G610" s="54"/>
      <c r="N610" s="42"/>
    </row>
    <row r="611" spans="2:14" s="13" customFormat="1" x14ac:dyDescent="0.4">
      <c r="B611" s="25"/>
      <c r="D611" s="42"/>
      <c r="E611" s="26"/>
      <c r="G611" s="54"/>
      <c r="N611" s="42"/>
    </row>
    <row r="612" spans="2:14" s="13" customFormat="1" x14ac:dyDescent="0.4">
      <c r="B612" s="25"/>
      <c r="D612" s="42"/>
      <c r="E612" s="26"/>
      <c r="G612" s="54"/>
      <c r="N612" s="42"/>
    </row>
    <row r="613" spans="2:14" s="13" customFormat="1" x14ac:dyDescent="0.4">
      <c r="B613" s="25"/>
      <c r="D613" s="42"/>
      <c r="E613" s="26"/>
      <c r="G613" s="54"/>
      <c r="N613" s="42"/>
    </row>
    <row r="614" spans="2:14" s="13" customFormat="1" x14ac:dyDescent="0.4">
      <c r="B614" s="25"/>
      <c r="D614" s="42"/>
      <c r="E614" s="26"/>
      <c r="G614" s="54"/>
      <c r="N614" s="42"/>
    </row>
    <row r="615" spans="2:14" s="13" customFormat="1" x14ac:dyDescent="0.4">
      <c r="B615" s="25"/>
      <c r="D615" s="42"/>
      <c r="E615" s="26"/>
      <c r="G615" s="54"/>
      <c r="N615" s="42"/>
    </row>
    <row r="616" spans="2:14" s="13" customFormat="1" x14ac:dyDescent="0.4">
      <c r="B616" s="25"/>
      <c r="D616" s="42"/>
      <c r="E616" s="26"/>
      <c r="G616" s="54"/>
      <c r="N616" s="42"/>
    </row>
    <row r="617" spans="2:14" s="13" customFormat="1" x14ac:dyDescent="0.4">
      <c r="B617" s="25"/>
      <c r="D617" s="42"/>
      <c r="E617" s="26"/>
      <c r="G617" s="54"/>
      <c r="N617" s="42"/>
    </row>
    <row r="618" spans="2:14" s="13" customFormat="1" x14ac:dyDescent="0.4">
      <c r="B618" s="25"/>
      <c r="D618" s="42"/>
      <c r="E618" s="26"/>
      <c r="G618" s="54"/>
      <c r="N618" s="42"/>
    </row>
    <row r="619" spans="2:14" s="13" customFormat="1" x14ac:dyDescent="0.4">
      <c r="B619" s="25"/>
      <c r="D619" s="42"/>
      <c r="E619" s="26"/>
      <c r="G619" s="54"/>
      <c r="N619" s="42"/>
    </row>
    <row r="620" spans="2:14" s="13" customFormat="1" x14ac:dyDescent="0.4">
      <c r="B620" s="25"/>
      <c r="D620" s="42"/>
      <c r="E620" s="26"/>
      <c r="G620" s="54"/>
      <c r="N620" s="42"/>
    </row>
    <row r="621" spans="2:14" s="13" customFormat="1" x14ac:dyDescent="0.4">
      <c r="B621" s="25"/>
      <c r="D621" s="42"/>
      <c r="E621" s="26"/>
      <c r="G621" s="54"/>
      <c r="N621" s="42"/>
    </row>
    <row r="622" spans="2:14" s="13" customFormat="1" x14ac:dyDescent="0.4">
      <c r="B622" s="25"/>
      <c r="D622" s="42"/>
      <c r="E622" s="26"/>
      <c r="G622" s="54"/>
      <c r="N622" s="42"/>
    </row>
    <row r="623" spans="2:14" s="13" customFormat="1" x14ac:dyDescent="0.4">
      <c r="B623" s="25"/>
      <c r="D623" s="42"/>
      <c r="E623" s="26"/>
      <c r="G623" s="54"/>
      <c r="N623" s="42"/>
    </row>
    <row r="624" spans="2:14" s="13" customFormat="1" x14ac:dyDescent="0.4">
      <c r="B624" s="25"/>
      <c r="D624" s="42"/>
      <c r="E624" s="26"/>
      <c r="G624" s="54"/>
      <c r="N624" s="42"/>
    </row>
    <row r="625" spans="2:14" s="13" customFormat="1" x14ac:dyDescent="0.4">
      <c r="B625" s="25"/>
      <c r="D625" s="42"/>
      <c r="E625" s="26"/>
      <c r="G625" s="54"/>
      <c r="N625" s="42"/>
    </row>
    <row r="626" spans="2:14" s="13" customFormat="1" x14ac:dyDescent="0.4">
      <c r="B626" s="25"/>
      <c r="D626" s="42"/>
      <c r="E626" s="26"/>
      <c r="G626" s="54"/>
      <c r="N626" s="42"/>
    </row>
    <row r="627" spans="2:14" s="13" customFormat="1" x14ac:dyDescent="0.4">
      <c r="B627" s="25"/>
      <c r="D627" s="42"/>
      <c r="E627" s="26"/>
      <c r="G627" s="54"/>
      <c r="N627" s="42"/>
    </row>
    <row r="628" spans="2:14" s="13" customFormat="1" x14ac:dyDescent="0.4">
      <c r="B628" s="25"/>
      <c r="D628" s="42"/>
      <c r="E628" s="26"/>
      <c r="G628" s="54"/>
      <c r="N628" s="42"/>
    </row>
    <row r="629" spans="2:14" s="13" customFormat="1" x14ac:dyDescent="0.4">
      <c r="B629" s="25"/>
      <c r="D629" s="42"/>
      <c r="E629" s="26"/>
      <c r="G629" s="54"/>
      <c r="N629" s="42"/>
    </row>
    <row r="630" spans="2:14" s="13" customFormat="1" x14ac:dyDescent="0.4">
      <c r="B630" s="25"/>
      <c r="D630" s="42"/>
      <c r="E630" s="26"/>
      <c r="G630" s="54"/>
      <c r="N630" s="42"/>
    </row>
    <row r="631" spans="2:14" s="13" customFormat="1" x14ac:dyDescent="0.4">
      <c r="B631" s="25"/>
      <c r="D631" s="42"/>
      <c r="E631" s="26"/>
      <c r="G631" s="54"/>
      <c r="N631" s="42"/>
    </row>
    <row r="632" spans="2:14" s="13" customFormat="1" x14ac:dyDescent="0.4">
      <c r="B632" s="25"/>
      <c r="D632" s="42"/>
      <c r="E632" s="26"/>
      <c r="G632" s="54"/>
      <c r="N632" s="42"/>
    </row>
    <row r="633" spans="2:14" s="13" customFormat="1" x14ac:dyDescent="0.4">
      <c r="B633" s="25"/>
      <c r="D633" s="42"/>
      <c r="E633" s="26"/>
      <c r="G633" s="54"/>
      <c r="N633" s="42"/>
    </row>
    <row r="634" spans="2:14" s="13" customFormat="1" x14ac:dyDescent="0.4">
      <c r="B634" s="25"/>
      <c r="D634" s="42"/>
      <c r="E634" s="26"/>
      <c r="G634" s="54"/>
      <c r="N634" s="42"/>
    </row>
    <row r="635" spans="2:14" s="13" customFormat="1" x14ac:dyDescent="0.4">
      <c r="B635" s="25"/>
      <c r="D635" s="42"/>
      <c r="E635" s="26"/>
      <c r="G635" s="54"/>
      <c r="N635" s="42"/>
    </row>
    <row r="636" spans="2:14" s="13" customFormat="1" x14ac:dyDescent="0.4">
      <c r="B636" s="25"/>
      <c r="D636" s="42"/>
      <c r="E636" s="26"/>
      <c r="G636" s="54"/>
      <c r="N636" s="42"/>
    </row>
    <row r="637" spans="2:14" s="13" customFormat="1" x14ac:dyDescent="0.4">
      <c r="B637" s="25"/>
      <c r="D637" s="42"/>
      <c r="E637" s="26"/>
      <c r="G637" s="54"/>
      <c r="N637" s="42"/>
    </row>
    <row r="638" spans="2:14" s="13" customFormat="1" x14ac:dyDescent="0.4">
      <c r="B638" s="25"/>
      <c r="D638" s="42"/>
      <c r="E638" s="26"/>
      <c r="G638" s="54"/>
      <c r="N638" s="42"/>
    </row>
    <row r="639" spans="2:14" s="13" customFormat="1" x14ac:dyDescent="0.4">
      <c r="B639" s="25"/>
      <c r="D639" s="42"/>
      <c r="E639" s="26"/>
      <c r="G639" s="54"/>
      <c r="N639" s="42"/>
    </row>
    <row r="640" spans="2:14" s="13" customFormat="1" x14ac:dyDescent="0.4">
      <c r="B640" s="25"/>
      <c r="D640" s="42"/>
      <c r="E640" s="26"/>
      <c r="G640" s="54"/>
      <c r="N640" s="42"/>
    </row>
    <row r="641" spans="2:14" s="13" customFormat="1" x14ac:dyDescent="0.4">
      <c r="B641" s="25"/>
      <c r="D641" s="42"/>
      <c r="E641" s="26"/>
      <c r="G641" s="54"/>
      <c r="N641" s="42"/>
    </row>
    <row r="642" spans="2:14" s="13" customFormat="1" x14ac:dyDescent="0.4">
      <c r="B642" s="25"/>
      <c r="D642" s="42"/>
      <c r="E642" s="26"/>
      <c r="G642" s="54"/>
      <c r="N642" s="42"/>
    </row>
    <row r="643" spans="2:14" s="13" customFormat="1" x14ac:dyDescent="0.4">
      <c r="B643" s="25"/>
      <c r="D643" s="42"/>
      <c r="E643" s="26"/>
      <c r="G643" s="54"/>
      <c r="N643" s="42"/>
    </row>
    <row r="644" spans="2:14" s="13" customFormat="1" x14ac:dyDescent="0.4">
      <c r="B644" s="25"/>
      <c r="D644" s="42"/>
      <c r="E644" s="26"/>
      <c r="G644" s="54"/>
      <c r="N644" s="42"/>
    </row>
    <row r="645" spans="2:14" s="13" customFormat="1" x14ac:dyDescent="0.4">
      <c r="B645" s="25"/>
      <c r="D645" s="42"/>
      <c r="E645" s="26"/>
      <c r="G645" s="54"/>
      <c r="N645" s="42"/>
    </row>
    <row r="646" spans="2:14" s="13" customFormat="1" x14ac:dyDescent="0.4">
      <c r="B646" s="25"/>
      <c r="D646" s="42"/>
      <c r="E646" s="26"/>
      <c r="G646" s="54"/>
      <c r="N646" s="42"/>
    </row>
    <row r="647" spans="2:14" s="13" customFormat="1" x14ac:dyDescent="0.4">
      <c r="B647" s="25"/>
      <c r="D647" s="42"/>
      <c r="E647" s="26"/>
      <c r="G647" s="54"/>
      <c r="N647" s="42"/>
    </row>
    <row r="648" spans="2:14" s="13" customFormat="1" x14ac:dyDescent="0.4">
      <c r="B648" s="25"/>
      <c r="D648" s="42"/>
      <c r="E648" s="26"/>
      <c r="G648" s="54"/>
      <c r="N648" s="42"/>
    </row>
    <row r="649" spans="2:14" s="13" customFormat="1" x14ac:dyDescent="0.4">
      <c r="B649" s="25"/>
      <c r="D649" s="42"/>
      <c r="E649" s="26"/>
      <c r="G649" s="54"/>
      <c r="N649" s="42"/>
    </row>
  </sheetData>
  <sheetProtection algorithmName="SHA-512" hashValue="PSz9MbXIfrLjW2Y/pQs5sLsVE19rLW9o6weH4Li8EfJgzw8OWGB+9G18TzXSLIUgywac72HQo7Xf326BGQtYrg==" saltValue="+EjVaO9Tw7by61uE2SfAZA==" spinCount="100000" sheet="1" formatCells="0" formatColumns="0" formatRows="0"/>
  <mergeCells count="9">
    <mergeCell ref="D14:D16"/>
    <mergeCell ref="A7:A16"/>
    <mergeCell ref="B7:B16"/>
    <mergeCell ref="M7:M16"/>
    <mergeCell ref="C7:C11"/>
    <mergeCell ref="D7:D11"/>
    <mergeCell ref="C12:C13"/>
    <mergeCell ref="D12:D13"/>
    <mergeCell ref="C14:C16"/>
  </mergeCells>
  <dataValidations count="1">
    <dataValidation type="list" allowBlank="1" showInputMessage="1" showErrorMessage="1" errorTitle="ASVS Test Result" error="Invalid selection!" promptTitle="ASVS Test Result" prompt="Please select test result from the list." sqref="G7:G16" xr:uid="{FCB6D2E9-C7A8-4F7F-B7C4-B01F7F589110}">
      <formula1>testResult</formula1>
    </dataValidation>
  </dataValidations>
  <hyperlinks>
    <hyperlink ref="F9" r:id="rId1" location="tab=Formal_Numbering" display="https://www.owasp.org/index.php/OWASP_Proactive_Controls - tab=Formal_Numbering" xr:uid="{030F9FE6-1125-4E18-B1C8-9C5FBCA7D520}"/>
    <hyperlink ref="F10" r:id="rId2" location="tab=Formal_Numbering" display="https://www.owasp.org/index.php/OWASP_Proactive_Controls - tab=Formal_Numbering" xr:uid="{2EC5173D-F798-4F1D-9E7E-4A3BD7CA4D0F}"/>
    <hyperlink ref="F11" r:id="rId3" location="tab=Formal_Numbering" display="https://www.owasp.org/index.php/OWASP_Proactive_Controls - tab=Formal_Numbering" xr:uid="{38BAF50F-E739-414D-88A9-F5F4E463B540}"/>
  </hyperlinks>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19457" r:id="rId6" name="Button 1">
              <controlPr defaultSize="0" print="0" autoFill="0" autoPict="0" macro="[0]!Sheet10.Confirm_Reset_Answers_V4">
                <anchor moveWithCells="1" sizeWithCells="1">
                  <from>
                    <xdr:col>0</xdr:col>
                    <xdr:colOff>88900</xdr:colOff>
                    <xdr:row>0</xdr:row>
                    <xdr:rowOff>38100</xdr:rowOff>
                  </from>
                  <to>
                    <xdr:col>1</xdr:col>
                    <xdr:colOff>1441450</xdr:colOff>
                    <xdr:row>2</xdr:row>
                    <xdr:rowOff>50800</xdr:rowOff>
                  </to>
                </anchor>
              </controlPr>
            </control>
          </mc:Choice>
        </mc:AlternateContent>
        <mc:AlternateContent xmlns:mc="http://schemas.openxmlformats.org/markup-compatibility/2006">
          <mc:Choice Requires="x14">
            <control shapeId="19460" r:id="rId7" name="Button 4">
              <controlPr defaultSize="0" print="0" autoFill="0" autoPict="0" macro="[0]!Confirm_Reset_All_Answers">
                <anchor moveWithCells="1" sizeWithCells="1">
                  <from>
                    <xdr:col>0</xdr:col>
                    <xdr:colOff>88900</xdr:colOff>
                    <xdr:row>2</xdr:row>
                    <xdr:rowOff>107950</xdr:rowOff>
                  </from>
                  <to>
                    <xdr:col>1</xdr:col>
                    <xdr:colOff>1441450</xdr:colOff>
                    <xdr:row>4</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6B5F3-7FB2-4292-A9CE-73500996A7D9}">
  <sheetPr codeName="Sheet11">
    <tabColor theme="7" tint="0.39997558519241921"/>
  </sheetPr>
  <dimension ref="A1:CRF669"/>
  <sheetViews>
    <sheetView showGridLines="0" showRowColHeaders="0" workbookViewId="0">
      <pane ySplit="6" topLeftCell="A7" activePane="bottomLeft" state="frozen"/>
      <selection pane="bottomLeft" activeCell="A7" sqref="A7:A36"/>
    </sheetView>
  </sheetViews>
  <sheetFormatPr defaultRowHeight="15" x14ac:dyDescent="0.4"/>
  <cols>
    <col min="1" max="1" width="10.7265625" customWidth="1"/>
    <col min="2" max="2" width="24.1796875" style="20" customWidth="1"/>
    <col min="3" max="3" width="10.453125" customWidth="1"/>
    <col min="4" max="4" width="31.81640625" style="43" customWidth="1"/>
    <col min="5" max="5" width="9.1796875" style="21"/>
    <col min="6" max="6" width="56.1796875" customWidth="1"/>
    <col min="7" max="7" width="19.1796875" style="55" customWidth="1"/>
    <col min="8" max="10" width="3.7265625" bestFit="1" customWidth="1"/>
    <col min="12" max="12" width="13.1796875" customWidth="1"/>
    <col min="13" max="13" width="33.7265625"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0</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0</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TOTAL_ASVS_V5</f>
        <v>30</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52" x14ac:dyDescent="0.35">
      <c r="A7" s="113" t="s">
        <v>44</v>
      </c>
      <c r="B7" s="116" t="s">
        <v>412</v>
      </c>
      <c r="C7" s="113" t="s">
        <v>413</v>
      </c>
      <c r="D7" s="109" t="s">
        <v>414</v>
      </c>
      <c r="E7" s="22" t="s">
        <v>415</v>
      </c>
      <c r="F7" s="4" t="s">
        <v>416</v>
      </c>
      <c r="G7" s="91" t="s">
        <v>32</v>
      </c>
      <c r="H7" s="38" t="s">
        <v>812</v>
      </c>
      <c r="I7" s="39" t="s">
        <v>812</v>
      </c>
      <c r="J7" s="40" t="s">
        <v>812</v>
      </c>
      <c r="K7" s="5">
        <v>235</v>
      </c>
      <c r="L7" s="24"/>
      <c r="M7" s="119" t="s">
        <v>843</v>
      </c>
      <c r="N7" s="41"/>
    </row>
    <row r="8" spans="1:2502" ht="52" x14ac:dyDescent="0.35">
      <c r="A8" s="114"/>
      <c r="B8" s="117"/>
      <c r="C8" s="114"/>
      <c r="D8" s="110"/>
      <c r="E8" s="22" t="s">
        <v>417</v>
      </c>
      <c r="F8" s="23" t="s">
        <v>418</v>
      </c>
      <c r="G8" s="91" t="s">
        <v>32</v>
      </c>
      <c r="H8" s="38" t="s">
        <v>812</v>
      </c>
      <c r="I8" s="39" t="s">
        <v>812</v>
      </c>
      <c r="J8" s="40" t="s">
        <v>812</v>
      </c>
      <c r="K8" s="5">
        <v>915</v>
      </c>
      <c r="L8" s="24"/>
      <c r="M8" s="120"/>
      <c r="N8" s="41"/>
    </row>
    <row r="9" spans="1:2502" ht="39" x14ac:dyDescent="0.35">
      <c r="A9" s="114"/>
      <c r="B9" s="117"/>
      <c r="C9" s="114"/>
      <c r="D9" s="110"/>
      <c r="E9" s="22" t="s">
        <v>419</v>
      </c>
      <c r="F9" s="23" t="s">
        <v>420</v>
      </c>
      <c r="G9" s="91" t="s">
        <v>32</v>
      </c>
      <c r="H9" s="38" t="s">
        <v>812</v>
      </c>
      <c r="I9" s="39" t="s">
        <v>812</v>
      </c>
      <c r="J9" s="40" t="s">
        <v>812</v>
      </c>
      <c r="K9" s="5">
        <v>20</v>
      </c>
      <c r="L9" s="24"/>
      <c r="M9" s="120"/>
      <c r="N9" s="41"/>
    </row>
    <row r="10" spans="1:2502" ht="65" x14ac:dyDescent="0.35">
      <c r="A10" s="114"/>
      <c r="B10" s="117"/>
      <c r="C10" s="114"/>
      <c r="D10" s="110"/>
      <c r="E10" s="22" t="s">
        <v>421</v>
      </c>
      <c r="F10" s="23" t="s">
        <v>422</v>
      </c>
      <c r="G10" s="91" t="s">
        <v>32</v>
      </c>
      <c r="H10" s="38" t="s">
        <v>812</v>
      </c>
      <c r="I10" s="39" t="s">
        <v>812</v>
      </c>
      <c r="J10" s="40" t="s">
        <v>812</v>
      </c>
      <c r="K10" s="5">
        <v>20</v>
      </c>
      <c r="L10" s="24"/>
      <c r="M10" s="120"/>
      <c r="N10" s="41"/>
    </row>
    <row r="11" spans="1:2502" ht="39" x14ac:dyDescent="0.35">
      <c r="A11" s="114"/>
      <c r="B11" s="117"/>
      <c r="C11" s="115"/>
      <c r="D11" s="111"/>
      <c r="E11" s="22" t="s">
        <v>423</v>
      </c>
      <c r="F11" s="4" t="s">
        <v>23</v>
      </c>
      <c r="G11" s="91" t="s">
        <v>32</v>
      </c>
      <c r="H11" s="38" t="s">
        <v>812</v>
      </c>
      <c r="I11" s="39" t="s">
        <v>812</v>
      </c>
      <c r="J11" s="40" t="s">
        <v>812</v>
      </c>
      <c r="K11" s="5">
        <v>601</v>
      </c>
      <c r="L11" s="24"/>
      <c r="M11" s="120"/>
      <c r="N11" s="41"/>
    </row>
    <row r="12" spans="1:2502" ht="39" x14ac:dyDescent="0.35">
      <c r="A12" s="114"/>
      <c r="B12" s="117"/>
      <c r="C12" s="113" t="s">
        <v>809</v>
      </c>
      <c r="D12" s="109" t="s">
        <v>810</v>
      </c>
      <c r="E12" s="22" t="s">
        <v>304</v>
      </c>
      <c r="F12" s="37" t="s">
        <v>424</v>
      </c>
      <c r="G12" s="91" t="s">
        <v>32</v>
      </c>
      <c r="H12" s="38" t="s">
        <v>812</v>
      </c>
      <c r="I12" s="39" t="s">
        <v>812</v>
      </c>
      <c r="J12" s="40" t="s">
        <v>812</v>
      </c>
      <c r="K12" s="5">
        <v>116</v>
      </c>
      <c r="L12" s="24"/>
      <c r="M12" s="120"/>
      <c r="N12" s="41"/>
    </row>
    <row r="13" spans="1:2502" ht="26" x14ac:dyDescent="0.35">
      <c r="A13" s="114"/>
      <c r="B13" s="117"/>
      <c r="C13" s="114"/>
      <c r="D13" s="110"/>
      <c r="E13" s="22" t="s">
        <v>425</v>
      </c>
      <c r="F13" s="4" t="s">
        <v>426</v>
      </c>
      <c r="G13" s="91" t="s">
        <v>32</v>
      </c>
      <c r="H13" s="38" t="s">
        <v>812</v>
      </c>
      <c r="I13" s="39" t="s">
        <v>812</v>
      </c>
      <c r="J13" s="40" t="s">
        <v>812</v>
      </c>
      <c r="K13" s="5">
        <v>138</v>
      </c>
      <c r="L13" s="24"/>
      <c r="M13" s="120"/>
      <c r="N13" s="41"/>
    </row>
    <row r="14" spans="1:2502" ht="26" x14ac:dyDescent="0.35">
      <c r="A14" s="114"/>
      <c r="B14" s="117"/>
      <c r="C14" s="114"/>
      <c r="D14" s="110"/>
      <c r="E14" s="22" t="s">
        <v>307</v>
      </c>
      <c r="F14" s="4" t="s">
        <v>427</v>
      </c>
      <c r="G14" s="91" t="s">
        <v>32</v>
      </c>
      <c r="H14" s="38" t="s">
        <v>812</v>
      </c>
      <c r="I14" s="39" t="s">
        <v>812</v>
      </c>
      <c r="J14" s="40" t="s">
        <v>812</v>
      </c>
      <c r="K14" s="5">
        <v>147</v>
      </c>
      <c r="L14" s="24"/>
      <c r="M14" s="120"/>
      <c r="N14" s="41"/>
    </row>
    <row r="15" spans="1:2502" ht="39" x14ac:dyDescent="0.35">
      <c r="A15" s="114"/>
      <c r="B15" s="117"/>
      <c r="C15" s="114"/>
      <c r="D15" s="110"/>
      <c r="E15" s="22" t="s">
        <v>428</v>
      </c>
      <c r="F15" s="4" t="s">
        <v>429</v>
      </c>
      <c r="G15" s="91" t="s">
        <v>32</v>
      </c>
      <c r="H15" s="38" t="s">
        <v>812</v>
      </c>
      <c r="I15" s="39" t="s">
        <v>812</v>
      </c>
      <c r="J15" s="40" t="s">
        <v>812</v>
      </c>
      <c r="K15" s="5">
        <v>95</v>
      </c>
      <c r="L15" s="24"/>
      <c r="M15" s="120"/>
      <c r="N15" s="41"/>
    </row>
    <row r="16" spans="1:2502" ht="39" x14ac:dyDescent="0.35">
      <c r="A16" s="114"/>
      <c r="B16" s="117"/>
      <c r="C16" s="114"/>
      <c r="D16" s="110"/>
      <c r="E16" s="22" t="s">
        <v>214</v>
      </c>
      <c r="F16" s="4" t="s">
        <v>430</v>
      </c>
      <c r="G16" s="91" t="s">
        <v>32</v>
      </c>
      <c r="H16" s="38" t="s">
        <v>812</v>
      </c>
      <c r="I16" s="39" t="s">
        <v>812</v>
      </c>
      <c r="J16" s="40" t="s">
        <v>812</v>
      </c>
      <c r="K16" s="5">
        <v>94</v>
      </c>
      <c r="L16" s="24"/>
      <c r="M16" s="120"/>
      <c r="N16" s="41"/>
    </row>
    <row r="17" spans="1:14" ht="52" x14ac:dyDescent="0.35">
      <c r="A17" s="114"/>
      <c r="B17" s="117"/>
      <c r="C17" s="114"/>
      <c r="D17" s="110"/>
      <c r="E17" s="22" t="s">
        <v>217</v>
      </c>
      <c r="F17" s="4" t="s">
        <v>431</v>
      </c>
      <c r="G17" s="91" t="s">
        <v>32</v>
      </c>
      <c r="H17" s="38" t="s">
        <v>812</v>
      </c>
      <c r="I17" s="39" t="s">
        <v>812</v>
      </c>
      <c r="J17" s="40" t="s">
        <v>812</v>
      </c>
      <c r="K17" s="5">
        <v>918</v>
      </c>
      <c r="L17" s="24"/>
      <c r="M17" s="120"/>
      <c r="N17" s="41"/>
    </row>
    <row r="18" spans="1:14" ht="39" x14ac:dyDescent="0.35">
      <c r="A18" s="114"/>
      <c r="B18" s="117"/>
      <c r="C18" s="114"/>
      <c r="D18" s="110"/>
      <c r="E18" s="22" t="s">
        <v>432</v>
      </c>
      <c r="F18" s="4" t="s">
        <v>433</v>
      </c>
      <c r="G18" s="91" t="s">
        <v>32</v>
      </c>
      <c r="H18" s="38" t="s">
        <v>812</v>
      </c>
      <c r="I18" s="39" t="s">
        <v>812</v>
      </c>
      <c r="J18" s="40" t="s">
        <v>812</v>
      </c>
      <c r="K18" s="5">
        <v>159</v>
      </c>
      <c r="L18" s="24"/>
      <c r="M18" s="120"/>
      <c r="N18" s="41"/>
    </row>
    <row r="19" spans="1:14" ht="39" x14ac:dyDescent="0.35">
      <c r="A19" s="114"/>
      <c r="B19" s="117"/>
      <c r="C19" s="115"/>
      <c r="D19" s="111"/>
      <c r="E19" s="22" t="s">
        <v>220</v>
      </c>
      <c r="F19" s="4" t="s">
        <v>434</v>
      </c>
      <c r="G19" s="91" t="s">
        <v>32</v>
      </c>
      <c r="H19" s="38" t="s">
        <v>812</v>
      </c>
      <c r="I19" s="39" t="s">
        <v>812</v>
      </c>
      <c r="J19" s="40" t="s">
        <v>812</v>
      </c>
      <c r="K19" s="5">
        <v>94</v>
      </c>
      <c r="L19" s="24"/>
      <c r="M19" s="120"/>
      <c r="N19" s="41"/>
    </row>
    <row r="20" spans="1:14" ht="65" x14ac:dyDescent="0.35">
      <c r="A20" s="114"/>
      <c r="B20" s="117"/>
      <c r="C20" s="113" t="s">
        <v>436</v>
      </c>
      <c r="D20" s="109" t="s">
        <v>435</v>
      </c>
      <c r="E20" s="22" t="s">
        <v>437</v>
      </c>
      <c r="F20" s="23" t="s">
        <v>438</v>
      </c>
      <c r="G20" s="91" t="s">
        <v>32</v>
      </c>
      <c r="H20" s="38" t="s">
        <v>812</v>
      </c>
      <c r="I20" s="39" t="s">
        <v>812</v>
      </c>
      <c r="J20" s="40" t="s">
        <v>812</v>
      </c>
      <c r="K20" s="5">
        <v>116</v>
      </c>
      <c r="L20" s="24"/>
      <c r="M20" s="120"/>
      <c r="N20" s="41"/>
    </row>
    <row r="21" spans="1:14" ht="39" x14ac:dyDescent="0.35">
      <c r="A21" s="114"/>
      <c r="B21" s="117"/>
      <c r="C21" s="114"/>
      <c r="D21" s="110"/>
      <c r="E21" s="22" t="s">
        <v>439</v>
      </c>
      <c r="F21" s="23" t="s">
        <v>440</v>
      </c>
      <c r="G21" s="91" t="s">
        <v>32</v>
      </c>
      <c r="H21" s="38" t="s">
        <v>812</v>
      </c>
      <c r="I21" s="39" t="s">
        <v>812</v>
      </c>
      <c r="J21" s="40" t="s">
        <v>812</v>
      </c>
      <c r="K21" s="5">
        <v>176</v>
      </c>
      <c r="L21" s="24"/>
      <c r="M21" s="120"/>
      <c r="N21" s="41"/>
    </row>
    <row r="22" spans="1:14" ht="39" x14ac:dyDescent="0.35">
      <c r="A22" s="114"/>
      <c r="B22" s="117"/>
      <c r="C22" s="114"/>
      <c r="D22" s="110"/>
      <c r="E22" s="22" t="s">
        <v>441</v>
      </c>
      <c r="F22" s="23" t="s">
        <v>442</v>
      </c>
      <c r="G22" s="91" t="s">
        <v>32</v>
      </c>
      <c r="H22" s="38" t="s">
        <v>812</v>
      </c>
      <c r="I22" s="39" t="s">
        <v>812</v>
      </c>
      <c r="J22" s="40" t="s">
        <v>812</v>
      </c>
      <c r="K22" s="5">
        <v>79</v>
      </c>
      <c r="L22" s="24"/>
      <c r="M22" s="120"/>
      <c r="N22" s="41"/>
    </row>
    <row r="23" spans="1:14" ht="39" x14ac:dyDescent="0.35">
      <c r="A23" s="114"/>
      <c r="B23" s="117"/>
      <c r="C23" s="114"/>
      <c r="D23" s="110"/>
      <c r="E23" s="22" t="s">
        <v>443</v>
      </c>
      <c r="F23" s="23" t="s">
        <v>444</v>
      </c>
      <c r="G23" s="91" t="s">
        <v>32</v>
      </c>
      <c r="H23" s="38" t="s">
        <v>812</v>
      </c>
      <c r="I23" s="39" t="s">
        <v>812</v>
      </c>
      <c r="J23" s="40" t="s">
        <v>812</v>
      </c>
      <c r="K23" s="5">
        <v>89</v>
      </c>
      <c r="L23" s="24"/>
      <c r="M23" s="120"/>
      <c r="N23" s="41"/>
    </row>
    <row r="24" spans="1:14" ht="52" x14ac:dyDescent="0.35">
      <c r="A24" s="114"/>
      <c r="B24" s="117"/>
      <c r="C24" s="114"/>
      <c r="D24" s="110"/>
      <c r="E24" s="22" t="s">
        <v>445</v>
      </c>
      <c r="F24" s="23" t="s">
        <v>446</v>
      </c>
      <c r="G24" s="91" t="s">
        <v>32</v>
      </c>
      <c r="H24" s="38" t="s">
        <v>812</v>
      </c>
      <c r="I24" s="39" t="s">
        <v>812</v>
      </c>
      <c r="J24" s="40" t="s">
        <v>812</v>
      </c>
      <c r="K24" s="5">
        <v>89</v>
      </c>
      <c r="L24" s="24"/>
      <c r="M24" s="120"/>
      <c r="N24" s="41"/>
    </row>
    <row r="25" spans="1:14" ht="39" x14ac:dyDescent="0.35">
      <c r="A25" s="114"/>
      <c r="B25" s="117"/>
      <c r="C25" s="114"/>
      <c r="D25" s="110"/>
      <c r="E25" s="22" t="s">
        <v>447</v>
      </c>
      <c r="F25" s="23" t="s">
        <v>448</v>
      </c>
      <c r="G25" s="91" t="s">
        <v>32</v>
      </c>
      <c r="H25" s="38" t="s">
        <v>812</v>
      </c>
      <c r="I25" s="39" t="s">
        <v>812</v>
      </c>
      <c r="J25" s="40" t="s">
        <v>812</v>
      </c>
      <c r="K25" s="5">
        <v>830</v>
      </c>
      <c r="L25" s="24"/>
      <c r="M25" s="120"/>
      <c r="N25" s="41"/>
    </row>
    <row r="26" spans="1:14" ht="39" x14ac:dyDescent="0.35">
      <c r="A26" s="114"/>
      <c r="B26" s="117"/>
      <c r="C26" s="114"/>
      <c r="D26" s="110"/>
      <c r="E26" s="22" t="s">
        <v>449</v>
      </c>
      <c r="F26" s="23" t="s">
        <v>450</v>
      </c>
      <c r="G26" s="91" t="s">
        <v>32</v>
      </c>
      <c r="H26" s="38" t="s">
        <v>812</v>
      </c>
      <c r="I26" s="39" t="s">
        <v>812</v>
      </c>
      <c r="J26" s="40" t="s">
        <v>812</v>
      </c>
      <c r="K26" s="5">
        <v>943</v>
      </c>
      <c r="L26" s="24"/>
      <c r="M26" s="120"/>
      <c r="N26" s="41"/>
    </row>
    <row r="27" spans="1:14" ht="39" x14ac:dyDescent="0.35">
      <c r="A27" s="114"/>
      <c r="B27" s="117"/>
      <c r="C27" s="114"/>
      <c r="D27" s="110"/>
      <c r="E27" s="22" t="s">
        <v>451</v>
      </c>
      <c r="F27" s="23" t="s">
        <v>452</v>
      </c>
      <c r="G27" s="91" t="s">
        <v>32</v>
      </c>
      <c r="H27" s="38" t="s">
        <v>812</v>
      </c>
      <c r="I27" s="39" t="s">
        <v>812</v>
      </c>
      <c r="J27" s="40" t="s">
        <v>812</v>
      </c>
      <c r="K27" s="5">
        <v>78</v>
      </c>
      <c r="L27" s="24"/>
      <c r="M27" s="120"/>
      <c r="N27" s="41"/>
    </row>
    <row r="28" spans="1:14" ht="26" x14ac:dyDescent="0.35">
      <c r="A28" s="114"/>
      <c r="B28" s="117"/>
      <c r="C28" s="114"/>
      <c r="D28" s="110"/>
      <c r="E28" s="22" t="s">
        <v>453</v>
      </c>
      <c r="F28" s="4" t="s">
        <v>454</v>
      </c>
      <c r="G28" s="91" t="s">
        <v>32</v>
      </c>
      <c r="H28" s="38" t="s">
        <v>812</v>
      </c>
      <c r="I28" s="39" t="s">
        <v>812</v>
      </c>
      <c r="J28" s="40" t="s">
        <v>812</v>
      </c>
      <c r="K28" s="5">
        <v>829</v>
      </c>
      <c r="L28" s="24"/>
      <c r="M28" s="120"/>
      <c r="N28" s="41"/>
    </row>
    <row r="29" spans="1:14" ht="26" x14ac:dyDescent="0.35">
      <c r="A29" s="114"/>
      <c r="B29" s="117"/>
      <c r="C29" s="115"/>
      <c r="D29" s="111"/>
      <c r="E29" s="22" t="s">
        <v>455</v>
      </c>
      <c r="F29" s="23" t="s">
        <v>456</v>
      </c>
      <c r="G29" s="91" t="s">
        <v>32</v>
      </c>
      <c r="H29" s="38" t="s">
        <v>812</v>
      </c>
      <c r="I29" s="39" t="s">
        <v>812</v>
      </c>
      <c r="J29" s="40" t="s">
        <v>812</v>
      </c>
      <c r="K29" s="5">
        <v>643</v>
      </c>
      <c r="L29" s="24"/>
      <c r="M29" s="120"/>
      <c r="N29" s="41"/>
    </row>
    <row r="30" spans="1:14" ht="39" customHeight="1" x14ac:dyDescent="0.35">
      <c r="A30" s="114"/>
      <c r="B30" s="117"/>
      <c r="C30" s="113" t="s">
        <v>457</v>
      </c>
      <c r="D30" s="109" t="s">
        <v>458</v>
      </c>
      <c r="E30" s="22" t="s">
        <v>459</v>
      </c>
      <c r="F30" s="4" t="s">
        <v>460</v>
      </c>
      <c r="G30" s="91" t="s">
        <v>32</v>
      </c>
      <c r="H30" s="4"/>
      <c r="I30" s="39" t="s">
        <v>812</v>
      </c>
      <c r="J30" s="40" t="s">
        <v>812</v>
      </c>
      <c r="K30" s="5">
        <v>120</v>
      </c>
      <c r="L30" s="24"/>
      <c r="M30" s="120"/>
      <c r="N30" s="41"/>
    </row>
    <row r="31" spans="1:14" ht="26" x14ac:dyDescent="0.35">
      <c r="A31" s="114"/>
      <c r="B31" s="117"/>
      <c r="C31" s="114"/>
      <c r="D31" s="110"/>
      <c r="E31" s="22" t="s">
        <v>461</v>
      </c>
      <c r="F31" s="4" t="s">
        <v>462</v>
      </c>
      <c r="G31" s="91" t="s">
        <v>32</v>
      </c>
      <c r="H31" s="4"/>
      <c r="I31" s="39" t="s">
        <v>812</v>
      </c>
      <c r="J31" s="40" t="s">
        <v>812</v>
      </c>
      <c r="K31" s="5">
        <v>134</v>
      </c>
      <c r="L31" s="24"/>
      <c r="M31" s="120"/>
      <c r="N31" s="41"/>
    </row>
    <row r="32" spans="1:14" ht="26" x14ac:dyDescent="0.35">
      <c r="A32" s="114"/>
      <c r="B32" s="117"/>
      <c r="C32" s="115"/>
      <c r="D32" s="111"/>
      <c r="E32" s="22" t="s">
        <v>463</v>
      </c>
      <c r="F32" s="4" t="s">
        <v>464</v>
      </c>
      <c r="G32" s="91" t="s">
        <v>32</v>
      </c>
      <c r="H32" s="4"/>
      <c r="I32" s="39" t="s">
        <v>812</v>
      </c>
      <c r="J32" s="40" t="s">
        <v>812</v>
      </c>
      <c r="K32" s="5">
        <v>190</v>
      </c>
      <c r="L32" s="24"/>
      <c r="M32" s="120"/>
      <c r="N32" s="41"/>
    </row>
    <row r="33" spans="1:14" ht="26.25" customHeight="1" x14ac:dyDescent="0.35">
      <c r="A33" s="114"/>
      <c r="B33" s="117"/>
      <c r="C33" s="113" t="s">
        <v>465</v>
      </c>
      <c r="D33" s="109" t="s">
        <v>466</v>
      </c>
      <c r="E33" s="22" t="s">
        <v>467</v>
      </c>
      <c r="F33" s="23" t="s">
        <v>468</v>
      </c>
      <c r="G33" s="91" t="s">
        <v>32</v>
      </c>
      <c r="H33" s="38" t="s">
        <v>812</v>
      </c>
      <c r="I33" s="39" t="s">
        <v>812</v>
      </c>
      <c r="J33" s="40" t="s">
        <v>812</v>
      </c>
      <c r="K33" s="5">
        <v>502</v>
      </c>
      <c r="L33" s="24"/>
      <c r="M33" s="120"/>
      <c r="N33" s="41"/>
    </row>
    <row r="34" spans="1:14" ht="39" x14ac:dyDescent="0.35">
      <c r="A34" s="114"/>
      <c r="B34" s="117"/>
      <c r="C34" s="114"/>
      <c r="D34" s="110"/>
      <c r="E34" s="22" t="s">
        <v>469</v>
      </c>
      <c r="F34" s="4" t="s">
        <v>470</v>
      </c>
      <c r="G34" s="91" t="s">
        <v>32</v>
      </c>
      <c r="H34" s="38" t="s">
        <v>812</v>
      </c>
      <c r="I34" s="39" t="s">
        <v>812</v>
      </c>
      <c r="J34" s="40" t="s">
        <v>812</v>
      </c>
      <c r="K34" s="5">
        <v>611</v>
      </c>
      <c r="L34" s="24"/>
      <c r="M34" s="120"/>
      <c r="N34" s="41"/>
    </row>
    <row r="35" spans="1:14" ht="39" x14ac:dyDescent="0.35">
      <c r="A35" s="114"/>
      <c r="B35" s="117"/>
      <c r="C35" s="114"/>
      <c r="D35" s="110"/>
      <c r="E35" s="22" t="s">
        <v>471</v>
      </c>
      <c r="F35" s="4" t="s">
        <v>472</v>
      </c>
      <c r="G35" s="91" t="s">
        <v>32</v>
      </c>
      <c r="H35" s="38" t="s">
        <v>812</v>
      </c>
      <c r="I35" s="39" t="s">
        <v>812</v>
      </c>
      <c r="J35" s="40" t="s">
        <v>812</v>
      </c>
      <c r="K35" s="5">
        <v>502</v>
      </c>
      <c r="L35" s="24"/>
      <c r="M35" s="120"/>
      <c r="N35" s="41"/>
    </row>
    <row r="36" spans="1:14" ht="39" x14ac:dyDescent="0.35">
      <c r="A36" s="115"/>
      <c r="B36" s="118"/>
      <c r="C36" s="115"/>
      <c r="D36" s="111"/>
      <c r="E36" s="22" t="s">
        <v>473</v>
      </c>
      <c r="F36" s="4" t="s">
        <v>474</v>
      </c>
      <c r="G36" s="91" t="s">
        <v>32</v>
      </c>
      <c r="H36" s="38" t="s">
        <v>812</v>
      </c>
      <c r="I36" s="39" t="s">
        <v>812</v>
      </c>
      <c r="J36" s="40" t="s">
        <v>812</v>
      </c>
      <c r="K36" s="5">
        <v>95</v>
      </c>
      <c r="L36" s="24"/>
      <c r="M36" s="121"/>
      <c r="N36" s="41"/>
    </row>
    <row r="37" spans="1:14" s="13" customFormat="1" x14ac:dyDescent="0.4">
      <c r="B37" s="25"/>
      <c r="D37" s="42"/>
      <c r="E37" s="26"/>
      <c r="G37" s="54"/>
      <c r="N37" s="42"/>
    </row>
    <row r="38" spans="1:14" s="13" customFormat="1" x14ac:dyDescent="0.4">
      <c r="B38" s="25"/>
      <c r="D38" s="42"/>
      <c r="E38" s="26"/>
      <c r="G38" s="54"/>
      <c r="N38" s="42"/>
    </row>
    <row r="39" spans="1:14" s="13" customFormat="1" x14ac:dyDescent="0.4">
      <c r="B39" s="25"/>
      <c r="D39" s="42"/>
      <c r="E39" s="26"/>
      <c r="G39" s="54"/>
      <c r="N39" s="42"/>
    </row>
    <row r="40" spans="1:14" s="13" customFormat="1" x14ac:dyDescent="0.4">
      <c r="B40" s="25"/>
      <c r="D40" s="42"/>
      <c r="E40" s="26"/>
      <c r="G40" s="54"/>
      <c r="N40" s="42"/>
    </row>
    <row r="41" spans="1:14" s="13" customFormat="1" x14ac:dyDescent="0.4">
      <c r="B41" s="25"/>
      <c r="D41" s="42"/>
      <c r="E41" s="26"/>
      <c r="G41" s="54"/>
      <c r="N41" s="42"/>
    </row>
    <row r="42" spans="1:14" s="13" customFormat="1" x14ac:dyDescent="0.4">
      <c r="B42" s="25"/>
      <c r="D42" s="42"/>
      <c r="E42" s="26"/>
      <c r="G42" s="54"/>
      <c r="N42" s="42"/>
    </row>
    <row r="43" spans="1:14" s="13" customFormat="1" x14ac:dyDescent="0.4">
      <c r="B43" s="25"/>
      <c r="D43" s="42"/>
      <c r="E43" s="26"/>
      <c r="G43" s="54"/>
      <c r="N43" s="42"/>
    </row>
    <row r="44" spans="1:14" s="13" customFormat="1" x14ac:dyDescent="0.4">
      <c r="B44" s="25"/>
      <c r="D44" s="42"/>
      <c r="E44" s="26"/>
      <c r="G44" s="54"/>
      <c r="N44" s="42"/>
    </row>
    <row r="45" spans="1:14" s="13" customFormat="1" x14ac:dyDescent="0.4">
      <c r="B45" s="25"/>
      <c r="D45" s="42"/>
      <c r="E45" s="26"/>
      <c r="G45" s="54"/>
      <c r="N45" s="42"/>
    </row>
    <row r="46" spans="1:14" s="13" customFormat="1" x14ac:dyDescent="0.4">
      <c r="B46" s="25"/>
      <c r="D46" s="42"/>
      <c r="E46" s="26"/>
      <c r="G46" s="54"/>
      <c r="N46" s="42"/>
    </row>
    <row r="47" spans="1:14" s="13" customFormat="1" x14ac:dyDescent="0.4">
      <c r="B47" s="25"/>
      <c r="D47" s="42"/>
      <c r="E47" s="26"/>
      <c r="G47" s="54"/>
      <c r="N47" s="42"/>
    </row>
    <row r="48" spans="1:14" s="13" customFormat="1" x14ac:dyDescent="0.4">
      <c r="B48" s="25"/>
      <c r="D48" s="42"/>
      <c r="E48" s="26"/>
      <c r="G48" s="54"/>
      <c r="N48" s="42"/>
    </row>
    <row r="49" spans="2:14" s="13" customFormat="1" x14ac:dyDescent="0.4">
      <c r="B49" s="25"/>
      <c r="D49" s="42"/>
      <c r="E49" s="26"/>
      <c r="G49" s="54"/>
      <c r="N49" s="42"/>
    </row>
    <row r="50" spans="2:14" s="13" customFormat="1" x14ac:dyDescent="0.4">
      <c r="B50" s="25"/>
      <c r="D50" s="42"/>
      <c r="E50" s="26"/>
      <c r="G50" s="54"/>
      <c r="N50" s="42"/>
    </row>
    <row r="51" spans="2:14" s="13" customFormat="1" x14ac:dyDescent="0.4">
      <c r="B51" s="25"/>
      <c r="D51" s="42"/>
      <c r="E51" s="26"/>
      <c r="G51" s="54"/>
      <c r="N51" s="42"/>
    </row>
    <row r="52" spans="2:14" s="13" customFormat="1" x14ac:dyDescent="0.4">
      <c r="B52" s="25"/>
      <c r="D52" s="42"/>
      <c r="E52" s="26"/>
      <c r="G52" s="54"/>
      <c r="N52" s="42"/>
    </row>
    <row r="53" spans="2:14" s="13" customFormat="1" x14ac:dyDescent="0.4">
      <c r="B53" s="25"/>
      <c r="D53" s="42"/>
      <c r="E53" s="26"/>
      <c r="G53" s="54"/>
      <c r="N53" s="42"/>
    </row>
    <row r="54" spans="2:14" s="13" customFormat="1" x14ac:dyDescent="0.4">
      <c r="B54" s="25"/>
      <c r="D54" s="42"/>
      <c r="E54" s="26"/>
      <c r="G54" s="54"/>
      <c r="N54" s="42"/>
    </row>
    <row r="55" spans="2:14" s="13" customFormat="1" x14ac:dyDescent="0.4">
      <c r="B55" s="25"/>
      <c r="D55" s="42"/>
      <c r="E55" s="26"/>
      <c r="G55" s="54"/>
      <c r="N55" s="42"/>
    </row>
    <row r="56" spans="2:14" s="13" customFormat="1" x14ac:dyDescent="0.4">
      <c r="B56" s="25"/>
      <c r="D56" s="42"/>
      <c r="E56" s="26"/>
      <c r="G56" s="54"/>
      <c r="N56" s="42"/>
    </row>
    <row r="57" spans="2:14" s="13" customFormat="1" x14ac:dyDescent="0.4">
      <c r="B57" s="25"/>
      <c r="D57" s="42"/>
      <c r="E57" s="26"/>
      <c r="G57" s="54"/>
      <c r="N57" s="42"/>
    </row>
    <row r="58" spans="2:14" s="13" customFormat="1" x14ac:dyDescent="0.4">
      <c r="B58" s="25"/>
      <c r="D58" s="42"/>
      <c r="E58" s="26"/>
      <c r="G58" s="54"/>
      <c r="N58" s="42"/>
    </row>
    <row r="59" spans="2:14" s="13" customFormat="1" x14ac:dyDescent="0.4">
      <c r="B59" s="25"/>
      <c r="D59" s="42"/>
      <c r="E59" s="26"/>
      <c r="G59" s="54"/>
      <c r="N59" s="42"/>
    </row>
    <row r="60" spans="2:14" s="13" customFormat="1" x14ac:dyDescent="0.4">
      <c r="B60" s="25"/>
      <c r="D60" s="42"/>
      <c r="E60" s="26"/>
      <c r="G60" s="54"/>
      <c r="N60" s="42"/>
    </row>
    <row r="61" spans="2:14" s="13" customFormat="1" x14ac:dyDescent="0.4">
      <c r="B61" s="25"/>
      <c r="D61" s="42"/>
      <c r="E61" s="26"/>
      <c r="G61" s="54"/>
      <c r="N61" s="42"/>
    </row>
    <row r="62" spans="2:14" s="13" customFormat="1" x14ac:dyDescent="0.4">
      <c r="B62" s="25"/>
      <c r="D62" s="42"/>
      <c r="E62" s="26"/>
      <c r="G62" s="54"/>
      <c r="N62" s="42"/>
    </row>
    <row r="63" spans="2:14" s="13" customFormat="1" x14ac:dyDescent="0.4">
      <c r="B63" s="25"/>
      <c r="D63" s="42"/>
      <c r="E63" s="26"/>
      <c r="G63" s="54"/>
      <c r="N63" s="42"/>
    </row>
    <row r="64" spans="2:14" s="13" customFormat="1" x14ac:dyDescent="0.4">
      <c r="B64" s="25"/>
      <c r="D64" s="42"/>
      <c r="E64" s="26"/>
      <c r="G64" s="54"/>
      <c r="N64" s="42"/>
    </row>
    <row r="65" spans="2:14" s="13" customFormat="1" x14ac:dyDescent="0.4">
      <c r="B65" s="25"/>
      <c r="D65" s="42"/>
      <c r="E65" s="26"/>
      <c r="G65" s="54"/>
      <c r="N65" s="42"/>
    </row>
    <row r="66" spans="2:14" s="13" customFormat="1" x14ac:dyDescent="0.4">
      <c r="B66" s="25"/>
      <c r="D66" s="42"/>
      <c r="E66" s="26"/>
      <c r="G66" s="54"/>
      <c r="N66" s="42"/>
    </row>
    <row r="67" spans="2:14" s="13" customFormat="1" x14ac:dyDescent="0.4">
      <c r="B67" s="25"/>
      <c r="D67" s="42"/>
      <c r="E67" s="26"/>
      <c r="G67" s="54"/>
      <c r="N67" s="42"/>
    </row>
    <row r="68" spans="2:14" s="13" customFormat="1" x14ac:dyDescent="0.4">
      <c r="B68" s="25"/>
      <c r="D68" s="42"/>
      <c r="E68" s="26"/>
      <c r="G68" s="54"/>
      <c r="N68" s="42"/>
    </row>
    <row r="69" spans="2:14" s="13" customFormat="1" x14ac:dyDescent="0.4">
      <c r="B69" s="25"/>
      <c r="D69" s="42"/>
      <c r="E69" s="26"/>
      <c r="G69" s="54"/>
      <c r="N69" s="42"/>
    </row>
    <row r="70" spans="2:14" s="13" customFormat="1" x14ac:dyDescent="0.4">
      <c r="B70" s="25"/>
      <c r="D70" s="42"/>
      <c r="E70" s="26"/>
      <c r="G70" s="54"/>
      <c r="N70" s="42"/>
    </row>
    <row r="71" spans="2:14" s="13" customFormat="1" x14ac:dyDescent="0.4">
      <c r="B71" s="25"/>
      <c r="D71" s="42"/>
      <c r="E71" s="26"/>
      <c r="G71" s="54"/>
      <c r="N71" s="42"/>
    </row>
    <row r="72" spans="2:14" s="13" customFormat="1" x14ac:dyDescent="0.4">
      <c r="B72" s="25"/>
      <c r="D72" s="42"/>
      <c r="E72" s="26"/>
      <c r="G72" s="54"/>
      <c r="N72" s="42"/>
    </row>
    <row r="73" spans="2:14" s="13" customFormat="1" x14ac:dyDescent="0.4">
      <c r="B73" s="25"/>
      <c r="D73" s="42"/>
      <c r="E73" s="26"/>
      <c r="G73" s="54"/>
      <c r="N73" s="42"/>
    </row>
    <row r="74" spans="2:14" s="13" customFormat="1" x14ac:dyDescent="0.4">
      <c r="B74" s="25"/>
      <c r="D74" s="42"/>
      <c r="E74" s="26"/>
      <c r="G74" s="54"/>
      <c r="N74" s="42"/>
    </row>
    <row r="75" spans="2:14" s="13" customFormat="1" x14ac:dyDescent="0.4">
      <c r="B75" s="25"/>
      <c r="D75" s="42"/>
      <c r="E75" s="26"/>
      <c r="G75" s="54"/>
      <c r="N75" s="42"/>
    </row>
    <row r="76" spans="2:14" s="13" customFormat="1" x14ac:dyDescent="0.4">
      <c r="B76" s="25"/>
      <c r="D76" s="42"/>
      <c r="E76" s="26"/>
      <c r="G76" s="54"/>
      <c r="N76" s="42"/>
    </row>
    <row r="77" spans="2:14" s="13" customFormat="1" x14ac:dyDescent="0.4">
      <c r="B77" s="25"/>
      <c r="D77" s="42"/>
      <c r="E77" s="26"/>
      <c r="G77" s="54"/>
      <c r="N77" s="42"/>
    </row>
    <row r="78" spans="2:14" s="13" customFormat="1" x14ac:dyDescent="0.4">
      <c r="B78" s="25"/>
      <c r="D78" s="42"/>
      <c r="E78" s="26"/>
      <c r="G78" s="54"/>
      <c r="N78" s="42"/>
    </row>
    <row r="79" spans="2:14" s="13" customFormat="1" x14ac:dyDescent="0.4">
      <c r="B79" s="25"/>
      <c r="D79" s="42"/>
      <c r="E79" s="26"/>
      <c r="G79" s="54"/>
      <c r="N79" s="42"/>
    </row>
    <row r="80" spans="2:14" s="13" customFormat="1" x14ac:dyDescent="0.4">
      <c r="B80" s="25"/>
      <c r="D80" s="42"/>
      <c r="E80" s="26"/>
      <c r="G80" s="54"/>
      <c r="N80" s="42"/>
    </row>
    <row r="81" spans="2:14" s="13" customFormat="1" x14ac:dyDescent="0.4">
      <c r="B81" s="25"/>
      <c r="D81" s="42"/>
      <c r="E81" s="26"/>
      <c r="G81" s="54"/>
      <c r="N81" s="42"/>
    </row>
    <row r="82" spans="2:14" s="13" customFormat="1" x14ac:dyDescent="0.4">
      <c r="B82" s="25"/>
      <c r="D82" s="42"/>
      <c r="E82" s="26"/>
      <c r="G82" s="54"/>
      <c r="N82" s="42"/>
    </row>
    <row r="83" spans="2:14" s="13" customFormat="1" x14ac:dyDescent="0.4">
      <c r="B83" s="25"/>
      <c r="D83" s="42"/>
      <c r="E83" s="26"/>
      <c r="G83" s="54"/>
      <c r="N83" s="42"/>
    </row>
    <row r="84" spans="2:14" s="13" customFormat="1" x14ac:dyDescent="0.4">
      <c r="B84" s="25"/>
      <c r="D84" s="42"/>
      <c r="E84" s="26"/>
      <c r="G84" s="54"/>
      <c r="N84" s="42"/>
    </row>
    <row r="85" spans="2:14" s="13" customFormat="1" x14ac:dyDescent="0.4">
      <c r="B85" s="25"/>
      <c r="D85" s="42"/>
      <c r="E85" s="26"/>
      <c r="G85" s="54"/>
      <c r="N85" s="42"/>
    </row>
    <row r="86" spans="2:14" s="13" customFormat="1" x14ac:dyDescent="0.4">
      <c r="B86" s="25"/>
      <c r="D86" s="42"/>
      <c r="E86" s="26"/>
      <c r="G86" s="54"/>
      <c r="N86" s="42"/>
    </row>
    <row r="87" spans="2:14" s="13" customFormat="1" x14ac:dyDescent="0.4">
      <c r="B87" s="25"/>
      <c r="D87" s="42"/>
      <c r="E87" s="26"/>
      <c r="G87" s="54"/>
      <c r="N87" s="42"/>
    </row>
    <row r="88" spans="2:14" s="13" customFormat="1" x14ac:dyDescent="0.4">
      <c r="B88" s="25"/>
      <c r="D88" s="42"/>
      <c r="E88" s="26"/>
      <c r="G88" s="54"/>
      <c r="N88" s="42"/>
    </row>
    <row r="89" spans="2:14" s="13" customFormat="1" x14ac:dyDescent="0.4">
      <c r="B89" s="25"/>
      <c r="D89" s="42"/>
      <c r="E89" s="26"/>
      <c r="G89" s="54"/>
      <c r="N89" s="42"/>
    </row>
    <row r="90" spans="2:14" s="13" customFormat="1" x14ac:dyDescent="0.4">
      <c r="B90" s="25"/>
      <c r="D90" s="42"/>
      <c r="E90" s="26"/>
      <c r="G90" s="54"/>
      <c r="N90" s="42"/>
    </row>
    <row r="91" spans="2:14" s="13" customFormat="1" x14ac:dyDescent="0.4">
      <c r="B91" s="25"/>
      <c r="D91" s="42"/>
      <c r="E91" s="26"/>
      <c r="G91" s="54"/>
      <c r="N91" s="42"/>
    </row>
    <row r="92" spans="2:14" s="13" customFormat="1" x14ac:dyDescent="0.4">
      <c r="B92" s="25"/>
      <c r="D92" s="42"/>
      <c r="E92" s="26"/>
      <c r="G92" s="54"/>
      <c r="N92" s="42"/>
    </row>
    <row r="93" spans="2:14" s="13" customFormat="1" x14ac:dyDescent="0.4">
      <c r="B93" s="25"/>
      <c r="D93" s="42"/>
      <c r="E93" s="26"/>
      <c r="G93" s="54"/>
      <c r="N93" s="42"/>
    </row>
    <row r="94" spans="2:14" s="13" customFormat="1" x14ac:dyDescent="0.4">
      <c r="B94" s="25"/>
      <c r="D94" s="42"/>
      <c r="E94" s="26"/>
      <c r="G94" s="54"/>
      <c r="N94" s="42"/>
    </row>
    <row r="95" spans="2:14" s="13" customFormat="1" x14ac:dyDescent="0.4">
      <c r="B95" s="25"/>
      <c r="D95" s="42"/>
      <c r="E95" s="26"/>
      <c r="G95" s="54"/>
      <c r="N95" s="42"/>
    </row>
    <row r="96" spans="2:14" s="13" customFormat="1" x14ac:dyDescent="0.4">
      <c r="B96" s="25"/>
      <c r="D96" s="42"/>
      <c r="E96" s="26"/>
      <c r="G96" s="54"/>
      <c r="N96" s="42"/>
    </row>
    <row r="97" spans="2:14" s="13" customFormat="1" x14ac:dyDescent="0.4">
      <c r="B97" s="25"/>
      <c r="D97" s="42"/>
      <c r="E97" s="26"/>
      <c r="G97" s="54"/>
      <c r="N97" s="42"/>
    </row>
    <row r="98" spans="2:14" s="13" customFormat="1" x14ac:dyDescent="0.4">
      <c r="B98" s="25"/>
      <c r="D98" s="42"/>
      <c r="E98" s="26"/>
      <c r="G98" s="54"/>
      <c r="N98" s="42"/>
    </row>
    <row r="99" spans="2:14" s="13" customFormat="1" x14ac:dyDescent="0.4">
      <c r="B99" s="25"/>
      <c r="D99" s="42"/>
      <c r="E99" s="26"/>
      <c r="G99" s="54"/>
      <c r="N99" s="42"/>
    </row>
    <row r="100" spans="2:14" s="13" customFormat="1" x14ac:dyDescent="0.4">
      <c r="B100" s="25"/>
      <c r="D100" s="42"/>
      <c r="E100" s="26"/>
      <c r="G100" s="54"/>
      <c r="N100" s="42"/>
    </row>
    <row r="101" spans="2:14" s="13" customFormat="1" x14ac:dyDescent="0.4">
      <c r="B101" s="25"/>
      <c r="D101" s="42"/>
      <c r="E101" s="26"/>
      <c r="G101" s="54"/>
      <c r="N101" s="42"/>
    </row>
    <row r="102" spans="2:14" s="13" customFormat="1" x14ac:dyDescent="0.4">
      <c r="B102" s="25"/>
      <c r="D102" s="42"/>
      <c r="E102" s="26"/>
      <c r="G102" s="54"/>
      <c r="N102" s="42"/>
    </row>
    <row r="103" spans="2:14" s="13" customFormat="1" x14ac:dyDescent="0.4">
      <c r="B103" s="25"/>
      <c r="D103" s="42"/>
      <c r="E103" s="26"/>
      <c r="G103" s="54"/>
      <c r="N103" s="42"/>
    </row>
    <row r="104" spans="2:14" s="13" customFormat="1" x14ac:dyDescent="0.4">
      <c r="B104" s="25"/>
      <c r="D104" s="42"/>
      <c r="E104" s="26"/>
      <c r="G104" s="54"/>
      <c r="N104" s="42"/>
    </row>
    <row r="105" spans="2:14" s="13" customFormat="1" x14ac:dyDescent="0.4">
      <c r="B105" s="25"/>
      <c r="D105" s="42"/>
      <c r="E105" s="26"/>
      <c r="G105" s="54"/>
      <c r="N105" s="42"/>
    </row>
    <row r="106" spans="2:14" s="13" customFormat="1" x14ac:dyDescent="0.4">
      <c r="B106" s="25"/>
      <c r="D106" s="42"/>
      <c r="E106" s="26"/>
      <c r="G106" s="54"/>
      <c r="N106" s="42"/>
    </row>
    <row r="107" spans="2:14" s="13" customFormat="1" x14ac:dyDescent="0.4">
      <c r="B107" s="25"/>
      <c r="D107" s="42"/>
      <c r="E107" s="26"/>
      <c r="G107" s="54"/>
      <c r="N107" s="42"/>
    </row>
    <row r="108" spans="2:14" s="13" customFormat="1" x14ac:dyDescent="0.4">
      <c r="B108" s="25"/>
      <c r="D108" s="42"/>
      <c r="E108" s="26"/>
      <c r="G108" s="54"/>
      <c r="N108" s="42"/>
    </row>
    <row r="109" spans="2:14" s="13" customFormat="1" x14ac:dyDescent="0.4">
      <c r="B109" s="25"/>
      <c r="D109" s="42"/>
      <c r="E109" s="26"/>
      <c r="G109" s="54"/>
      <c r="N109" s="42"/>
    </row>
    <row r="110" spans="2:14" s="13" customFormat="1" x14ac:dyDescent="0.4">
      <c r="B110" s="25"/>
      <c r="D110" s="42"/>
      <c r="E110" s="26"/>
      <c r="G110" s="54"/>
      <c r="N110" s="42"/>
    </row>
    <row r="111" spans="2:14" s="13" customFormat="1" x14ac:dyDescent="0.4">
      <c r="B111" s="25"/>
      <c r="D111" s="42"/>
      <c r="E111" s="26"/>
      <c r="G111" s="54"/>
      <c r="N111" s="42"/>
    </row>
    <row r="112" spans="2:14" s="13" customFormat="1" x14ac:dyDescent="0.4">
      <c r="B112" s="25"/>
      <c r="D112" s="42"/>
      <c r="E112" s="26"/>
      <c r="G112" s="54"/>
      <c r="N112" s="42"/>
    </row>
    <row r="113" spans="2:14" s="13" customFormat="1" x14ac:dyDescent="0.4">
      <c r="B113" s="25"/>
      <c r="D113" s="42"/>
      <c r="E113" s="26"/>
      <c r="G113" s="54"/>
      <c r="N113" s="42"/>
    </row>
    <row r="114" spans="2:14" s="13" customFormat="1" x14ac:dyDescent="0.4">
      <c r="B114" s="25"/>
      <c r="D114" s="42"/>
      <c r="E114" s="26"/>
      <c r="G114" s="54"/>
      <c r="N114" s="42"/>
    </row>
    <row r="115" spans="2:14" s="13" customFormat="1" x14ac:dyDescent="0.4">
      <c r="B115" s="25"/>
      <c r="D115" s="42"/>
      <c r="E115" s="26"/>
      <c r="G115" s="54"/>
      <c r="N115" s="42"/>
    </row>
    <row r="116" spans="2:14" s="13" customFormat="1" x14ac:dyDescent="0.4">
      <c r="B116" s="25"/>
      <c r="D116" s="42"/>
      <c r="E116" s="26"/>
      <c r="G116" s="54"/>
      <c r="N116" s="42"/>
    </row>
    <row r="117" spans="2:14" s="13" customFormat="1" x14ac:dyDescent="0.4">
      <c r="B117" s="25"/>
      <c r="D117" s="42"/>
      <c r="E117" s="26"/>
      <c r="G117" s="54"/>
      <c r="N117" s="42"/>
    </row>
    <row r="118" spans="2:14" s="13" customFormat="1" x14ac:dyDescent="0.4">
      <c r="B118" s="25"/>
      <c r="D118" s="42"/>
      <c r="E118" s="26"/>
      <c r="G118" s="54"/>
      <c r="N118" s="42"/>
    </row>
    <row r="119" spans="2:14" s="13" customFormat="1" x14ac:dyDescent="0.4">
      <c r="B119" s="25"/>
      <c r="D119" s="42"/>
      <c r="E119" s="26"/>
      <c r="G119" s="54"/>
      <c r="N119" s="42"/>
    </row>
    <row r="120" spans="2:14" s="13" customFormat="1" x14ac:dyDescent="0.4">
      <c r="B120" s="25"/>
      <c r="D120" s="42"/>
      <c r="E120" s="26"/>
      <c r="G120" s="54"/>
      <c r="N120" s="42"/>
    </row>
    <row r="121" spans="2:14" s="13" customFormat="1" x14ac:dyDescent="0.4">
      <c r="B121" s="25"/>
      <c r="D121" s="42"/>
      <c r="E121" s="26"/>
      <c r="G121" s="54"/>
      <c r="N121" s="42"/>
    </row>
    <row r="122" spans="2:14" s="13" customFormat="1" x14ac:dyDescent="0.4">
      <c r="B122" s="25"/>
      <c r="D122" s="42"/>
      <c r="E122" s="26"/>
      <c r="G122" s="54"/>
      <c r="N122" s="42"/>
    </row>
    <row r="123" spans="2:14" s="13" customFormat="1" x14ac:dyDescent="0.4">
      <c r="B123" s="25"/>
      <c r="D123" s="42"/>
      <c r="E123" s="26"/>
      <c r="G123" s="54"/>
      <c r="N123" s="42"/>
    </row>
    <row r="124" spans="2:14" s="13" customFormat="1" x14ac:dyDescent="0.4">
      <c r="B124" s="25"/>
      <c r="D124" s="42"/>
      <c r="E124" s="26"/>
      <c r="G124" s="54"/>
      <c r="N124" s="42"/>
    </row>
    <row r="125" spans="2:14" s="13" customFormat="1" x14ac:dyDescent="0.4">
      <c r="B125" s="25"/>
      <c r="D125" s="42"/>
      <c r="E125" s="26"/>
      <c r="G125" s="54"/>
      <c r="N125" s="42"/>
    </row>
    <row r="126" spans="2:14" s="13" customFormat="1" x14ac:dyDescent="0.4">
      <c r="B126" s="25"/>
      <c r="D126" s="42"/>
      <c r="E126" s="26"/>
      <c r="G126" s="54"/>
      <c r="N126" s="42"/>
    </row>
    <row r="127" spans="2:14" s="13" customFormat="1" x14ac:dyDescent="0.4">
      <c r="B127" s="25"/>
      <c r="D127" s="42"/>
      <c r="E127" s="26"/>
      <c r="G127" s="54"/>
      <c r="N127" s="42"/>
    </row>
    <row r="128" spans="2:14" s="13" customFormat="1" x14ac:dyDescent="0.4">
      <c r="B128" s="25"/>
      <c r="D128" s="42"/>
      <c r="E128" s="26"/>
      <c r="G128" s="54"/>
      <c r="N128" s="42"/>
    </row>
    <row r="129" spans="2:14" s="13" customFormat="1" x14ac:dyDescent="0.4">
      <c r="B129" s="25"/>
      <c r="D129" s="42"/>
      <c r="E129" s="26"/>
      <c r="G129" s="54"/>
      <c r="N129" s="42"/>
    </row>
    <row r="130" spans="2:14" s="13" customFormat="1" x14ac:dyDescent="0.4">
      <c r="B130" s="25"/>
      <c r="D130" s="42"/>
      <c r="E130" s="26"/>
      <c r="G130" s="54"/>
      <c r="N130" s="42"/>
    </row>
    <row r="131" spans="2:14" s="13" customFormat="1" x14ac:dyDescent="0.4">
      <c r="B131" s="25"/>
      <c r="D131" s="42"/>
      <c r="E131" s="26"/>
      <c r="G131" s="54"/>
      <c r="N131" s="42"/>
    </row>
    <row r="132" spans="2:14" s="13" customFormat="1" x14ac:dyDescent="0.4">
      <c r="B132" s="25"/>
      <c r="D132" s="42"/>
      <c r="E132" s="26"/>
      <c r="G132" s="54"/>
      <c r="N132" s="42"/>
    </row>
    <row r="133" spans="2:14" s="13" customFormat="1" x14ac:dyDescent="0.4">
      <c r="B133" s="25"/>
      <c r="D133" s="42"/>
      <c r="E133" s="26"/>
      <c r="G133" s="54"/>
      <c r="N133" s="42"/>
    </row>
    <row r="134" spans="2:14" s="13" customFormat="1" x14ac:dyDescent="0.4">
      <c r="B134" s="25"/>
      <c r="D134" s="42"/>
      <c r="E134" s="26"/>
      <c r="G134" s="54"/>
      <c r="N134" s="42"/>
    </row>
    <row r="135" spans="2:14" s="13" customFormat="1" x14ac:dyDescent="0.4">
      <c r="B135" s="25"/>
      <c r="D135" s="42"/>
      <c r="E135" s="26"/>
      <c r="G135" s="54"/>
      <c r="N135" s="42"/>
    </row>
    <row r="136" spans="2:14" s="13" customFormat="1" x14ac:dyDescent="0.4">
      <c r="B136" s="25"/>
      <c r="D136" s="42"/>
      <c r="E136" s="26"/>
      <c r="G136" s="54"/>
      <c r="N136" s="42"/>
    </row>
    <row r="137" spans="2:14" s="13" customFormat="1" x14ac:dyDescent="0.4">
      <c r="B137" s="25"/>
      <c r="D137" s="42"/>
      <c r="E137" s="26"/>
      <c r="G137" s="54"/>
      <c r="N137" s="42"/>
    </row>
    <row r="138" spans="2:14" s="13" customFormat="1" x14ac:dyDescent="0.4">
      <c r="B138" s="25"/>
      <c r="D138" s="42"/>
      <c r="E138" s="26"/>
      <c r="G138" s="54"/>
      <c r="N138" s="42"/>
    </row>
    <row r="139" spans="2:14" s="13" customFormat="1" x14ac:dyDescent="0.4">
      <c r="B139" s="25"/>
      <c r="D139" s="42"/>
      <c r="E139" s="26"/>
      <c r="G139" s="54"/>
      <c r="N139" s="42"/>
    </row>
    <row r="140" spans="2:14" s="13" customFormat="1" x14ac:dyDescent="0.4">
      <c r="B140" s="25"/>
      <c r="D140" s="42"/>
      <c r="E140" s="26"/>
      <c r="G140" s="54"/>
      <c r="N140" s="42"/>
    </row>
    <row r="141" spans="2:14" s="13" customFormat="1" x14ac:dyDescent="0.4">
      <c r="B141" s="25"/>
      <c r="D141" s="42"/>
      <c r="E141" s="26"/>
      <c r="G141" s="54"/>
      <c r="N141" s="42"/>
    </row>
    <row r="142" spans="2:14" s="13" customFormat="1" x14ac:dyDescent="0.4">
      <c r="B142" s="25"/>
      <c r="D142" s="42"/>
      <c r="E142" s="26"/>
      <c r="G142" s="54"/>
      <c r="N142" s="42"/>
    </row>
    <row r="143" spans="2:14" s="13" customFormat="1" x14ac:dyDescent="0.4">
      <c r="B143" s="25"/>
      <c r="D143" s="42"/>
      <c r="E143" s="26"/>
      <c r="G143" s="54"/>
      <c r="N143" s="42"/>
    </row>
    <row r="144" spans="2:14" s="13" customFormat="1" x14ac:dyDescent="0.4">
      <c r="B144" s="25"/>
      <c r="D144" s="42"/>
      <c r="E144" s="26"/>
      <c r="G144" s="54"/>
      <c r="N144" s="42"/>
    </row>
    <row r="145" spans="2:14" s="13" customFormat="1" x14ac:dyDescent="0.4">
      <c r="B145" s="25"/>
      <c r="D145" s="42"/>
      <c r="E145" s="26"/>
      <c r="G145" s="54"/>
      <c r="N145" s="42"/>
    </row>
    <row r="146" spans="2:14" s="13" customFormat="1" x14ac:dyDescent="0.4">
      <c r="B146" s="25"/>
      <c r="D146" s="42"/>
      <c r="E146" s="26"/>
      <c r="G146" s="54"/>
      <c r="N146" s="42"/>
    </row>
    <row r="147" spans="2:14" s="13" customFormat="1" x14ac:dyDescent="0.4">
      <c r="B147" s="25"/>
      <c r="D147" s="42"/>
      <c r="E147" s="26"/>
      <c r="G147" s="54"/>
      <c r="N147" s="42"/>
    </row>
    <row r="148" spans="2:14" s="13" customFormat="1" x14ac:dyDescent="0.4">
      <c r="B148" s="25"/>
      <c r="D148" s="42"/>
      <c r="E148" s="26"/>
      <c r="G148" s="54"/>
      <c r="N148" s="42"/>
    </row>
    <row r="149" spans="2:14" s="13" customFormat="1" x14ac:dyDescent="0.4">
      <c r="B149" s="25"/>
      <c r="D149" s="42"/>
      <c r="E149" s="26"/>
      <c r="G149" s="54"/>
      <c r="N149" s="42"/>
    </row>
    <row r="150" spans="2:14" s="13" customFormat="1" x14ac:dyDescent="0.4">
      <c r="B150" s="25"/>
      <c r="D150" s="42"/>
      <c r="E150" s="26"/>
      <c r="G150" s="54"/>
      <c r="N150" s="42"/>
    </row>
    <row r="151" spans="2:14" s="13" customFormat="1" x14ac:dyDescent="0.4">
      <c r="B151" s="25"/>
      <c r="D151" s="42"/>
      <c r="E151" s="26"/>
      <c r="G151" s="54"/>
      <c r="N151" s="42"/>
    </row>
    <row r="152" spans="2:14" s="13" customFormat="1" x14ac:dyDescent="0.4">
      <c r="B152" s="25"/>
      <c r="D152" s="42"/>
      <c r="E152" s="26"/>
      <c r="G152" s="54"/>
      <c r="N152" s="42"/>
    </row>
    <row r="153" spans="2:14" s="13" customFormat="1" x14ac:dyDescent="0.4">
      <c r="B153" s="25"/>
      <c r="D153" s="42"/>
      <c r="E153" s="26"/>
      <c r="G153" s="54"/>
      <c r="N153" s="42"/>
    </row>
    <row r="154" spans="2:14" s="13" customFormat="1" x14ac:dyDescent="0.4">
      <c r="B154" s="25"/>
      <c r="D154" s="42"/>
      <c r="E154" s="26"/>
      <c r="G154" s="54"/>
      <c r="N154" s="42"/>
    </row>
    <row r="155" spans="2:14" s="13" customFormat="1" x14ac:dyDescent="0.4">
      <c r="B155" s="25"/>
      <c r="D155" s="42"/>
      <c r="E155" s="26"/>
      <c r="G155" s="54"/>
      <c r="N155" s="42"/>
    </row>
    <row r="156" spans="2:14" s="13" customFormat="1" x14ac:dyDescent="0.4">
      <c r="B156" s="25"/>
      <c r="D156" s="42"/>
      <c r="E156" s="26"/>
      <c r="G156" s="54"/>
      <c r="N156" s="42"/>
    </row>
    <row r="157" spans="2:14" s="13" customFormat="1" x14ac:dyDescent="0.4">
      <c r="B157" s="25"/>
      <c r="D157" s="42"/>
      <c r="E157" s="26"/>
      <c r="G157" s="54"/>
      <c r="N157" s="42"/>
    </row>
    <row r="158" spans="2:14" s="13" customFormat="1" x14ac:dyDescent="0.4">
      <c r="B158" s="25"/>
      <c r="D158" s="42"/>
      <c r="E158" s="26"/>
      <c r="G158" s="54"/>
      <c r="N158" s="42"/>
    </row>
    <row r="159" spans="2:14" s="13" customFormat="1" x14ac:dyDescent="0.4">
      <c r="B159" s="25"/>
      <c r="D159" s="42"/>
      <c r="E159" s="26"/>
      <c r="G159" s="54"/>
      <c r="N159" s="42"/>
    </row>
    <row r="160" spans="2:14" s="13" customFormat="1" x14ac:dyDescent="0.4">
      <c r="B160" s="25"/>
      <c r="D160" s="42"/>
      <c r="E160" s="26"/>
      <c r="G160" s="54"/>
      <c r="N160" s="42"/>
    </row>
    <row r="161" spans="2:14" s="13" customFormat="1" x14ac:dyDescent="0.4">
      <c r="B161" s="25"/>
      <c r="D161" s="42"/>
      <c r="E161" s="26"/>
      <c r="G161" s="54"/>
      <c r="N161" s="42"/>
    </row>
    <row r="162" spans="2:14" s="13" customFormat="1" x14ac:dyDescent="0.4">
      <c r="B162" s="25"/>
      <c r="D162" s="42"/>
      <c r="E162" s="26"/>
      <c r="G162" s="54"/>
      <c r="N162" s="42"/>
    </row>
    <row r="163" spans="2:14" s="13" customFormat="1" x14ac:dyDescent="0.4">
      <c r="B163" s="25"/>
      <c r="D163" s="42"/>
      <c r="E163" s="26"/>
      <c r="G163" s="54"/>
      <c r="N163" s="42"/>
    </row>
    <row r="164" spans="2:14" s="13" customFormat="1" x14ac:dyDescent="0.4">
      <c r="B164" s="25"/>
      <c r="D164" s="42"/>
      <c r="E164" s="26"/>
      <c r="G164" s="54"/>
      <c r="N164" s="42"/>
    </row>
    <row r="165" spans="2:14" s="13" customFormat="1" x14ac:dyDescent="0.4">
      <c r="B165" s="25"/>
      <c r="D165" s="42"/>
      <c r="E165" s="26"/>
      <c r="G165" s="54"/>
      <c r="N165" s="42"/>
    </row>
    <row r="166" spans="2:14" s="13" customFormat="1" x14ac:dyDescent="0.4">
      <c r="B166" s="25"/>
      <c r="D166" s="42"/>
      <c r="E166" s="26"/>
      <c r="G166" s="54"/>
      <c r="N166" s="42"/>
    </row>
    <row r="167" spans="2:14" s="13" customFormat="1" x14ac:dyDescent="0.4">
      <c r="B167" s="25"/>
      <c r="D167" s="42"/>
      <c r="E167" s="26"/>
      <c r="G167" s="54"/>
      <c r="N167" s="42"/>
    </row>
    <row r="168" spans="2:14" s="13" customFormat="1" x14ac:dyDescent="0.4">
      <c r="B168" s="25"/>
      <c r="D168" s="42"/>
      <c r="E168" s="26"/>
      <c r="G168" s="54"/>
      <c r="N168" s="42"/>
    </row>
    <row r="169" spans="2:14" s="13" customFormat="1" x14ac:dyDescent="0.4">
      <c r="B169" s="25"/>
      <c r="D169" s="42"/>
      <c r="E169" s="26"/>
      <c r="G169" s="54"/>
      <c r="N169" s="42"/>
    </row>
    <row r="170" spans="2:14" s="13" customFormat="1" x14ac:dyDescent="0.4">
      <c r="B170" s="25"/>
      <c r="D170" s="42"/>
      <c r="E170" s="26"/>
      <c r="G170" s="54"/>
      <c r="N170" s="42"/>
    </row>
    <row r="171" spans="2:14" s="13" customFormat="1" x14ac:dyDescent="0.4">
      <c r="B171" s="25"/>
      <c r="D171" s="42"/>
      <c r="E171" s="26"/>
      <c r="G171" s="54"/>
      <c r="N171" s="42"/>
    </row>
    <row r="172" spans="2:14" s="13" customFormat="1" x14ac:dyDescent="0.4">
      <c r="B172" s="25"/>
      <c r="D172" s="42"/>
      <c r="E172" s="26"/>
      <c r="G172" s="54"/>
      <c r="N172" s="42"/>
    </row>
    <row r="173" spans="2:14" s="13" customFormat="1" x14ac:dyDescent="0.4">
      <c r="B173" s="25"/>
      <c r="D173" s="42"/>
      <c r="E173" s="26"/>
      <c r="G173" s="54"/>
      <c r="N173" s="42"/>
    </row>
    <row r="174" spans="2:14" s="13" customFormat="1" x14ac:dyDescent="0.4">
      <c r="B174" s="25"/>
      <c r="D174" s="42"/>
      <c r="E174" s="26"/>
      <c r="G174" s="54"/>
      <c r="N174" s="42"/>
    </row>
    <row r="175" spans="2:14" s="13" customFormat="1" x14ac:dyDescent="0.4">
      <c r="B175" s="25"/>
      <c r="D175" s="42"/>
      <c r="E175" s="26"/>
      <c r="G175" s="54"/>
      <c r="N175" s="42"/>
    </row>
    <row r="176" spans="2:14" s="13" customFormat="1" x14ac:dyDescent="0.4">
      <c r="B176" s="25"/>
      <c r="D176" s="42"/>
      <c r="E176" s="26"/>
      <c r="G176" s="54"/>
      <c r="N176" s="42"/>
    </row>
    <row r="177" spans="2:14" s="13" customFormat="1" x14ac:dyDescent="0.4">
      <c r="B177" s="25"/>
      <c r="D177" s="42"/>
      <c r="E177" s="26"/>
      <c r="G177" s="54"/>
      <c r="N177" s="42"/>
    </row>
    <row r="178" spans="2:14" s="13" customFormat="1" x14ac:dyDescent="0.4">
      <c r="B178" s="25"/>
      <c r="D178" s="42"/>
      <c r="E178" s="26"/>
      <c r="G178" s="54"/>
      <c r="N178" s="42"/>
    </row>
    <row r="179" spans="2:14" s="13" customFormat="1" x14ac:dyDescent="0.4">
      <c r="B179" s="25"/>
      <c r="D179" s="42"/>
      <c r="E179" s="26"/>
      <c r="G179" s="54"/>
      <c r="N179" s="42"/>
    </row>
    <row r="180" spans="2:14" s="13" customFormat="1" x14ac:dyDescent="0.4">
      <c r="B180" s="25"/>
      <c r="D180" s="42"/>
      <c r="E180" s="26"/>
      <c r="G180" s="54"/>
      <c r="N180" s="42"/>
    </row>
    <row r="181" spans="2:14" s="13" customFormat="1" x14ac:dyDescent="0.4">
      <c r="B181" s="25"/>
      <c r="D181" s="42"/>
      <c r="E181" s="26"/>
      <c r="G181" s="54"/>
      <c r="N181" s="42"/>
    </row>
    <row r="182" spans="2:14" s="13" customFormat="1" x14ac:dyDescent="0.4">
      <c r="B182" s="25"/>
      <c r="D182" s="42"/>
      <c r="E182" s="26"/>
      <c r="G182" s="54"/>
      <c r="N182" s="42"/>
    </row>
    <row r="183" spans="2:14" s="13" customFormat="1" x14ac:dyDescent="0.4">
      <c r="B183" s="25"/>
      <c r="D183" s="42"/>
      <c r="E183" s="26"/>
      <c r="G183" s="54"/>
      <c r="N183" s="42"/>
    </row>
    <row r="184" spans="2:14" s="13" customFormat="1" x14ac:dyDescent="0.4">
      <c r="B184" s="25"/>
      <c r="D184" s="42"/>
      <c r="E184" s="26"/>
      <c r="G184" s="54"/>
      <c r="N184" s="42"/>
    </row>
    <row r="185" spans="2:14" s="13" customFormat="1" x14ac:dyDescent="0.4">
      <c r="B185" s="25"/>
      <c r="D185" s="42"/>
      <c r="E185" s="26"/>
      <c r="G185" s="54"/>
      <c r="N185" s="42"/>
    </row>
    <row r="186" spans="2:14" s="13" customFormat="1" x14ac:dyDescent="0.4">
      <c r="B186" s="25"/>
      <c r="D186" s="42"/>
      <c r="E186" s="26"/>
      <c r="G186" s="54"/>
      <c r="N186" s="42"/>
    </row>
    <row r="187" spans="2:14" s="13" customFormat="1" x14ac:dyDescent="0.4">
      <c r="B187" s="25"/>
      <c r="D187" s="42"/>
      <c r="E187" s="26"/>
      <c r="G187" s="54"/>
      <c r="N187" s="42"/>
    </row>
    <row r="188" spans="2:14" s="13" customFormat="1" x14ac:dyDescent="0.4">
      <c r="B188" s="25"/>
      <c r="D188" s="42"/>
      <c r="E188" s="26"/>
      <c r="G188" s="54"/>
      <c r="N188" s="42"/>
    </row>
    <row r="189" spans="2:14" s="13" customFormat="1" x14ac:dyDescent="0.4">
      <c r="B189" s="25"/>
      <c r="D189" s="42"/>
      <c r="E189" s="26"/>
      <c r="G189" s="54"/>
      <c r="N189" s="42"/>
    </row>
    <row r="190" spans="2:14" s="13" customFormat="1" x14ac:dyDescent="0.4">
      <c r="B190" s="25"/>
      <c r="D190" s="42"/>
      <c r="E190" s="26"/>
      <c r="G190" s="54"/>
      <c r="N190" s="42"/>
    </row>
    <row r="191" spans="2:14" s="13" customFormat="1" x14ac:dyDescent="0.4">
      <c r="B191" s="25"/>
      <c r="D191" s="42"/>
      <c r="E191" s="26"/>
      <c r="G191" s="54"/>
      <c r="N191" s="42"/>
    </row>
    <row r="192" spans="2:14" s="13" customFormat="1" x14ac:dyDescent="0.4">
      <c r="B192" s="25"/>
      <c r="D192" s="42"/>
      <c r="E192" s="26"/>
      <c r="G192" s="54"/>
      <c r="N192" s="42"/>
    </row>
    <row r="193" spans="2:14" s="13" customFormat="1" x14ac:dyDescent="0.4">
      <c r="B193" s="25"/>
      <c r="D193" s="42"/>
      <c r="E193" s="26"/>
      <c r="G193" s="54"/>
      <c r="N193" s="42"/>
    </row>
    <row r="194" spans="2:14" s="13" customFormat="1" x14ac:dyDescent="0.4">
      <c r="B194" s="25"/>
      <c r="D194" s="42"/>
      <c r="E194" s="26"/>
      <c r="G194" s="54"/>
      <c r="N194" s="42"/>
    </row>
    <row r="195" spans="2:14" s="13" customFormat="1" x14ac:dyDescent="0.4">
      <c r="B195" s="25"/>
      <c r="D195" s="42"/>
      <c r="E195" s="26"/>
      <c r="G195" s="54"/>
      <c r="N195" s="42"/>
    </row>
    <row r="196" spans="2:14" s="13" customFormat="1" x14ac:dyDescent="0.4">
      <c r="B196" s="25"/>
      <c r="D196" s="42"/>
      <c r="E196" s="26"/>
      <c r="G196" s="54"/>
      <c r="N196" s="42"/>
    </row>
    <row r="197" spans="2:14" s="13" customFormat="1" x14ac:dyDescent="0.4">
      <c r="B197" s="25"/>
      <c r="D197" s="42"/>
      <c r="E197" s="26"/>
      <c r="G197" s="54"/>
      <c r="N197" s="42"/>
    </row>
    <row r="198" spans="2:14" s="13" customFormat="1" x14ac:dyDescent="0.4">
      <c r="B198" s="25"/>
      <c r="D198" s="42"/>
      <c r="E198" s="26"/>
      <c r="G198" s="54"/>
      <c r="N198" s="42"/>
    </row>
    <row r="199" spans="2:14" s="13" customFormat="1" x14ac:dyDescent="0.4">
      <c r="B199" s="25"/>
      <c r="D199" s="42"/>
      <c r="E199" s="26"/>
      <c r="G199" s="54"/>
      <c r="N199" s="42"/>
    </row>
    <row r="200" spans="2:14" s="13" customFormat="1" x14ac:dyDescent="0.4">
      <c r="B200" s="25"/>
      <c r="D200" s="42"/>
      <c r="E200" s="26"/>
      <c r="G200" s="54"/>
      <c r="N200" s="42"/>
    </row>
    <row r="201" spans="2:14" s="13" customFormat="1" x14ac:dyDescent="0.4">
      <c r="B201" s="25"/>
      <c r="D201" s="42"/>
      <c r="E201" s="26"/>
      <c r="G201" s="54"/>
      <c r="N201" s="42"/>
    </row>
    <row r="202" spans="2:14" s="13" customFormat="1" x14ac:dyDescent="0.4">
      <c r="B202" s="25"/>
      <c r="D202" s="42"/>
      <c r="E202" s="26"/>
      <c r="G202" s="54"/>
      <c r="N202" s="42"/>
    </row>
    <row r="203" spans="2:14" s="13" customFormat="1" x14ac:dyDescent="0.4">
      <c r="B203" s="25"/>
      <c r="D203" s="42"/>
      <c r="E203" s="26"/>
      <c r="G203" s="54"/>
      <c r="N203" s="42"/>
    </row>
    <row r="204" spans="2:14" s="13" customFormat="1" x14ac:dyDescent="0.4">
      <c r="B204" s="25"/>
      <c r="D204" s="42"/>
      <c r="E204" s="26"/>
      <c r="G204" s="54"/>
      <c r="N204" s="42"/>
    </row>
    <row r="205" spans="2:14" s="13" customFormat="1" x14ac:dyDescent="0.4">
      <c r="B205" s="25"/>
      <c r="D205" s="42"/>
      <c r="E205" s="26"/>
      <c r="G205" s="54"/>
      <c r="N205" s="42"/>
    </row>
    <row r="206" spans="2:14" s="13" customFormat="1" x14ac:dyDescent="0.4">
      <c r="B206" s="25"/>
      <c r="D206" s="42"/>
      <c r="E206" s="26"/>
      <c r="G206" s="54"/>
      <c r="N206" s="42"/>
    </row>
    <row r="207" spans="2:14" s="13" customFormat="1" x14ac:dyDescent="0.4">
      <c r="B207" s="25"/>
      <c r="D207" s="42"/>
      <c r="E207" s="26"/>
      <c r="G207" s="54"/>
      <c r="N207" s="42"/>
    </row>
    <row r="208" spans="2:14" s="13" customFormat="1" x14ac:dyDescent="0.4">
      <c r="B208" s="25"/>
      <c r="D208" s="42"/>
      <c r="E208" s="26"/>
      <c r="G208" s="54"/>
      <c r="N208" s="42"/>
    </row>
    <row r="209" spans="2:14" s="13" customFormat="1" x14ac:dyDescent="0.4">
      <c r="B209" s="25"/>
      <c r="D209" s="42"/>
      <c r="E209" s="26"/>
      <c r="G209" s="54"/>
      <c r="N209" s="42"/>
    </row>
    <row r="210" spans="2:14" s="13" customFormat="1" x14ac:dyDescent="0.4">
      <c r="B210" s="25"/>
      <c r="D210" s="42"/>
      <c r="E210" s="26"/>
      <c r="G210" s="54"/>
      <c r="N210" s="42"/>
    </row>
    <row r="211" spans="2:14" s="13" customFormat="1" x14ac:dyDescent="0.4">
      <c r="B211" s="25"/>
      <c r="D211" s="42"/>
      <c r="E211" s="26"/>
      <c r="G211" s="54"/>
      <c r="N211" s="42"/>
    </row>
    <row r="212" spans="2:14" s="13" customFormat="1" x14ac:dyDescent="0.4">
      <c r="B212" s="25"/>
      <c r="D212" s="42"/>
      <c r="E212" s="26"/>
      <c r="G212" s="54"/>
      <c r="N212" s="42"/>
    </row>
    <row r="213" spans="2:14" s="13" customFormat="1" x14ac:dyDescent="0.4">
      <c r="B213" s="25"/>
      <c r="D213" s="42"/>
      <c r="E213" s="26"/>
      <c r="G213" s="54"/>
      <c r="N213" s="42"/>
    </row>
    <row r="214" spans="2:14" s="13" customFormat="1" x14ac:dyDescent="0.4">
      <c r="B214" s="25"/>
      <c r="D214" s="42"/>
      <c r="E214" s="26"/>
      <c r="G214" s="54"/>
      <c r="N214" s="42"/>
    </row>
    <row r="215" spans="2:14" s="13" customFormat="1" x14ac:dyDescent="0.4">
      <c r="B215" s="25"/>
      <c r="D215" s="42"/>
      <c r="E215" s="26"/>
      <c r="G215" s="54"/>
      <c r="N215" s="42"/>
    </row>
    <row r="216" spans="2:14" s="13" customFormat="1" x14ac:dyDescent="0.4">
      <c r="B216" s="25"/>
      <c r="D216" s="42"/>
      <c r="E216" s="26"/>
      <c r="G216" s="54"/>
      <c r="N216" s="42"/>
    </row>
    <row r="217" spans="2:14" s="13" customFormat="1" x14ac:dyDescent="0.4">
      <c r="B217" s="25"/>
      <c r="D217" s="42"/>
      <c r="E217" s="26"/>
      <c r="G217" s="54"/>
      <c r="N217" s="42"/>
    </row>
    <row r="218" spans="2:14" s="13" customFormat="1" x14ac:dyDescent="0.4">
      <c r="B218" s="25"/>
      <c r="D218" s="42"/>
      <c r="E218" s="26"/>
      <c r="G218" s="54"/>
      <c r="N218" s="42"/>
    </row>
    <row r="219" spans="2:14" s="13" customFormat="1" x14ac:dyDescent="0.4">
      <c r="B219" s="25"/>
      <c r="D219" s="42"/>
      <c r="E219" s="26"/>
      <c r="G219" s="54"/>
      <c r="N219" s="42"/>
    </row>
    <row r="220" spans="2:14" s="13" customFormat="1" x14ac:dyDescent="0.4">
      <c r="B220" s="25"/>
      <c r="D220" s="42"/>
      <c r="E220" s="26"/>
      <c r="G220" s="54"/>
      <c r="N220" s="42"/>
    </row>
    <row r="221" spans="2:14" s="13" customFormat="1" x14ac:dyDescent="0.4">
      <c r="B221" s="25"/>
      <c r="D221" s="42"/>
      <c r="E221" s="26"/>
      <c r="G221" s="54"/>
      <c r="N221" s="42"/>
    </row>
    <row r="222" spans="2:14" s="13" customFormat="1" x14ac:dyDescent="0.4">
      <c r="B222" s="25"/>
      <c r="D222" s="42"/>
      <c r="E222" s="26"/>
      <c r="G222" s="54"/>
      <c r="N222" s="42"/>
    </row>
    <row r="223" spans="2:14" s="13" customFormat="1" x14ac:dyDescent="0.4">
      <c r="B223" s="25"/>
      <c r="D223" s="42"/>
      <c r="E223" s="26"/>
      <c r="G223" s="54"/>
      <c r="N223" s="42"/>
    </row>
    <row r="224" spans="2:14" s="13" customFormat="1" x14ac:dyDescent="0.4">
      <c r="B224" s="25"/>
      <c r="D224" s="42"/>
      <c r="E224" s="26"/>
      <c r="G224" s="54"/>
      <c r="N224" s="42"/>
    </row>
    <row r="225" spans="2:14" s="13" customFormat="1" x14ac:dyDescent="0.4">
      <c r="B225" s="25"/>
      <c r="D225" s="42"/>
      <c r="E225" s="26"/>
      <c r="G225" s="54"/>
      <c r="N225" s="42"/>
    </row>
    <row r="226" spans="2:14" s="13" customFormat="1" x14ac:dyDescent="0.4">
      <c r="B226" s="25"/>
      <c r="D226" s="42"/>
      <c r="E226" s="26"/>
      <c r="G226" s="54"/>
      <c r="N226" s="42"/>
    </row>
    <row r="227" spans="2:14" s="13" customFormat="1" x14ac:dyDescent="0.4">
      <c r="B227" s="25"/>
      <c r="D227" s="42"/>
      <c r="E227" s="26"/>
      <c r="G227" s="54"/>
      <c r="N227" s="42"/>
    </row>
    <row r="228" spans="2:14" s="13" customFormat="1" x14ac:dyDescent="0.4">
      <c r="B228" s="25"/>
      <c r="D228" s="42"/>
      <c r="E228" s="26"/>
      <c r="G228" s="54"/>
      <c r="N228" s="42"/>
    </row>
    <row r="229" spans="2:14" s="13" customFormat="1" x14ac:dyDescent="0.4">
      <c r="B229" s="25"/>
      <c r="D229" s="42"/>
      <c r="E229" s="26"/>
      <c r="G229" s="54"/>
      <c r="N229" s="42"/>
    </row>
    <row r="230" spans="2:14" s="13" customFormat="1" x14ac:dyDescent="0.4">
      <c r="B230" s="25"/>
      <c r="D230" s="42"/>
      <c r="E230" s="26"/>
      <c r="G230" s="54"/>
      <c r="N230" s="42"/>
    </row>
    <row r="231" spans="2:14" s="13" customFormat="1" x14ac:dyDescent="0.4">
      <c r="B231" s="25"/>
      <c r="D231" s="42"/>
      <c r="E231" s="26"/>
      <c r="G231" s="54"/>
      <c r="N231" s="42"/>
    </row>
    <row r="232" spans="2:14" s="13" customFormat="1" x14ac:dyDescent="0.4">
      <c r="B232" s="25"/>
      <c r="D232" s="42"/>
      <c r="E232" s="26"/>
      <c r="G232" s="54"/>
      <c r="N232" s="42"/>
    </row>
    <row r="233" spans="2:14" s="13" customFormat="1" x14ac:dyDescent="0.4">
      <c r="B233" s="25"/>
      <c r="D233" s="42"/>
      <c r="E233" s="26"/>
      <c r="G233" s="54"/>
      <c r="N233" s="42"/>
    </row>
    <row r="234" spans="2:14" s="13" customFormat="1" x14ac:dyDescent="0.4">
      <c r="B234" s="25"/>
      <c r="D234" s="42"/>
      <c r="E234" s="26"/>
      <c r="G234" s="54"/>
      <c r="N234" s="42"/>
    </row>
    <row r="235" spans="2:14" s="13" customFormat="1" x14ac:dyDescent="0.4">
      <c r="B235" s="25"/>
      <c r="D235" s="42"/>
      <c r="E235" s="26"/>
      <c r="G235" s="54"/>
      <c r="N235" s="42"/>
    </row>
    <row r="236" spans="2:14" s="13" customFormat="1" x14ac:dyDescent="0.4">
      <c r="B236" s="25"/>
      <c r="D236" s="42"/>
      <c r="E236" s="26"/>
      <c r="G236" s="54"/>
      <c r="N236" s="42"/>
    </row>
    <row r="237" spans="2:14" s="13" customFormat="1" x14ac:dyDescent="0.4">
      <c r="B237" s="25"/>
      <c r="D237" s="42"/>
      <c r="E237" s="26"/>
      <c r="G237" s="54"/>
      <c r="N237" s="42"/>
    </row>
    <row r="238" spans="2:14" s="13" customFormat="1" x14ac:dyDescent="0.4">
      <c r="B238" s="25"/>
      <c r="D238" s="42"/>
      <c r="E238" s="26"/>
      <c r="G238" s="54"/>
      <c r="N238" s="42"/>
    </row>
    <row r="239" spans="2:14" s="13" customFormat="1" x14ac:dyDescent="0.4">
      <c r="B239" s="25"/>
      <c r="D239" s="42"/>
      <c r="E239" s="26"/>
      <c r="G239" s="54"/>
      <c r="N239" s="42"/>
    </row>
    <row r="240" spans="2:14" s="13" customFormat="1" x14ac:dyDescent="0.4">
      <c r="B240" s="25"/>
      <c r="D240" s="42"/>
      <c r="E240" s="26"/>
      <c r="G240" s="54"/>
      <c r="N240" s="42"/>
    </row>
    <row r="241" spans="2:14" s="13" customFormat="1" x14ac:dyDescent="0.4">
      <c r="B241" s="25"/>
      <c r="D241" s="42"/>
      <c r="E241" s="26"/>
      <c r="G241" s="54"/>
      <c r="N241" s="42"/>
    </row>
    <row r="242" spans="2:14" s="13" customFormat="1" x14ac:dyDescent="0.4">
      <c r="B242" s="25"/>
      <c r="D242" s="42"/>
      <c r="E242" s="26"/>
      <c r="G242" s="54"/>
      <c r="N242" s="42"/>
    </row>
    <row r="243" spans="2:14" s="13" customFormat="1" x14ac:dyDescent="0.4">
      <c r="B243" s="25"/>
      <c r="D243" s="42"/>
      <c r="E243" s="26"/>
      <c r="G243" s="54"/>
      <c r="N243" s="42"/>
    </row>
    <row r="244" spans="2:14" s="13" customFormat="1" x14ac:dyDescent="0.4">
      <c r="B244" s="25"/>
      <c r="D244" s="42"/>
      <c r="E244" s="26"/>
      <c r="G244" s="54"/>
      <c r="N244" s="42"/>
    </row>
    <row r="245" spans="2:14" s="13" customFormat="1" x14ac:dyDescent="0.4">
      <c r="B245" s="25"/>
      <c r="D245" s="42"/>
      <c r="E245" s="26"/>
      <c r="G245" s="54"/>
      <c r="N245" s="42"/>
    </row>
    <row r="246" spans="2:14" s="13" customFormat="1" x14ac:dyDescent="0.4">
      <c r="B246" s="25"/>
      <c r="D246" s="42"/>
      <c r="E246" s="26"/>
      <c r="G246" s="54"/>
      <c r="N246" s="42"/>
    </row>
    <row r="247" spans="2:14" s="13" customFormat="1" x14ac:dyDescent="0.4">
      <c r="B247" s="25"/>
      <c r="D247" s="42"/>
      <c r="E247" s="26"/>
      <c r="G247" s="54"/>
      <c r="N247" s="42"/>
    </row>
    <row r="248" spans="2:14" s="13" customFormat="1" x14ac:dyDescent="0.4">
      <c r="B248" s="25"/>
      <c r="D248" s="42"/>
      <c r="E248" s="26"/>
      <c r="G248" s="54"/>
      <c r="N248" s="42"/>
    </row>
    <row r="249" spans="2:14" s="13" customFormat="1" x14ac:dyDescent="0.4">
      <c r="B249" s="25"/>
      <c r="D249" s="42"/>
      <c r="E249" s="26"/>
      <c r="G249" s="54"/>
      <c r="N249" s="42"/>
    </row>
    <row r="250" spans="2:14" s="13" customFormat="1" x14ac:dyDescent="0.4">
      <c r="B250" s="25"/>
      <c r="D250" s="42"/>
      <c r="E250" s="26"/>
      <c r="G250" s="54"/>
      <c r="N250" s="42"/>
    </row>
    <row r="251" spans="2:14" s="13" customFormat="1" x14ac:dyDescent="0.4">
      <c r="B251" s="25"/>
      <c r="D251" s="42"/>
      <c r="E251" s="26"/>
      <c r="G251" s="54"/>
      <c r="N251" s="42"/>
    </row>
    <row r="252" spans="2:14" s="13" customFormat="1" x14ac:dyDescent="0.4">
      <c r="B252" s="25"/>
      <c r="D252" s="42"/>
      <c r="E252" s="26"/>
      <c r="G252" s="54"/>
      <c r="N252" s="42"/>
    </row>
    <row r="253" spans="2:14" s="13" customFormat="1" x14ac:dyDescent="0.4">
      <c r="B253" s="25"/>
      <c r="D253" s="42"/>
      <c r="E253" s="26"/>
      <c r="G253" s="54"/>
      <c r="N253" s="42"/>
    </row>
    <row r="254" spans="2:14" s="13" customFormat="1" x14ac:dyDescent="0.4">
      <c r="B254" s="25"/>
      <c r="D254" s="42"/>
      <c r="E254" s="26"/>
      <c r="G254" s="54"/>
      <c r="N254" s="42"/>
    </row>
    <row r="255" spans="2:14" s="13" customFormat="1" x14ac:dyDescent="0.4">
      <c r="B255" s="25"/>
      <c r="D255" s="42"/>
      <c r="E255" s="26"/>
      <c r="G255" s="54"/>
      <c r="N255" s="42"/>
    </row>
    <row r="256" spans="2:14" s="13" customFormat="1" x14ac:dyDescent="0.4">
      <c r="B256" s="25"/>
      <c r="D256" s="42"/>
      <c r="E256" s="26"/>
      <c r="G256" s="54"/>
      <c r="N256" s="42"/>
    </row>
    <row r="257" spans="2:14" s="13" customFormat="1" x14ac:dyDescent="0.4">
      <c r="B257" s="25"/>
      <c r="D257" s="42"/>
      <c r="E257" s="26"/>
      <c r="G257" s="54"/>
      <c r="N257" s="42"/>
    </row>
    <row r="258" spans="2:14" s="13" customFormat="1" x14ac:dyDescent="0.4">
      <c r="B258" s="25"/>
      <c r="D258" s="42"/>
      <c r="E258" s="26"/>
      <c r="G258" s="54"/>
      <c r="N258" s="42"/>
    </row>
    <row r="259" spans="2:14" s="13" customFormat="1" x14ac:dyDescent="0.4">
      <c r="B259" s="25"/>
      <c r="D259" s="42"/>
      <c r="E259" s="26"/>
      <c r="G259" s="54"/>
      <c r="N259" s="42"/>
    </row>
    <row r="260" spans="2:14" s="13" customFormat="1" x14ac:dyDescent="0.4">
      <c r="B260" s="25"/>
      <c r="D260" s="42"/>
      <c r="E260" s="26"/>
      <c r="G260" s="54"/>
      <c r="N260" s="42"/>
    </row>
    <row r="261" spans="2:14" s="13" customFormat="1" x14ac:dyDescent="0.4">
      <c r="B261" s="25"/>
      <c r="D261" s="42"/>
      <c r="E261" s="26"/>
      <c r="G261" s="54"/>
      <c r="N261" s="42"/>
    </row>
    <row r="262" spans="2:14" s="13" customFormat="1" x14ac:dyDescent="0.4">
      <c r="B262" s="25"/>
      <c r="D262" s="42"/>
      <c r="E262" s="26"/>
      <c r="G262" s="54"/>
      <c r="N262" s="42"/>
    </row>
    <row r="263" spans="2:14" s="13" customFormat="1" x14ac:dyDescent="0.4">
      <c r="B263" s="25"/>
      <c r="D263" s="42"/>
      <c r="E263" s="26"/>
      <c r="G263" s="54"/>
      <c r="N263" s="42"/>
    </row>
    <row r="264" spans="2:14" s="13" customFormat="1" x14ac:dyDescent="0.4">
      <c r="B264" s="25"/>
      <c r="D264" s="42"/>
      <c r="E264" s="26"/>
      <c r="G264" s="54"/>
      <c r="N264" s="42"/>
    </row>
    <row r="265" spans="2:14" s="13" customFormat="1" x14ac:dyDescent="0.4">
      <c r="B265" s="25"/>
      <c r="D265" s="42"/>
      <c r="E265" s="26"/>
      <c r="G265" s="54"/>
      <c r="N265" s="42"/>
    </row>
    <row r="266" spans="2:14" s="13" customFormat="1" x14ac:dyDescent="0.4">
      <c r="B266" s="25"/>
      <c r="D266" s="42"/>
      <c r="E266" s="26"/>
      <c r="G266" s="54"/>
      <c r="N266" s="42"/>
    </row>
    <row r="267" spans="2:14" s="13" customFormat="1" x14ac:dyDescent="0.4">
      <c r="B267" s="25"/>
      <c r="D267" s="42"/>
      <c r="E267" s="26"/>
      <c r="G267" s="54"/>
      <c r="N267" s="42"/>
    </row>
    <row r="268" spans="2:14" s="13" customFormat="1" x14ac:dyDescent="0.4">
      <c r="B268" s="25"/>
      <c r="D268" s="42"/>
      <c r="E268" s="26"/>
      <c r="G268" s="54"/>
      <c r="N268" s="42"/>
    </row>
    <row r="269" spans="2:14" s="13" customFormat="1" x14ac:dyDescent="0.4">
      <c r="B269" s="25"/>
      <c r="D269" s="42"/>
      <c r="E269" s="26"/>
      <c r="G269" s="54"/>
      <c r="N269" s="42"/>
    </row>
    <row r="270" spans="2:14" s="13" customFormat="1" x14ac:dyDescent="0.4">
      <c r="B270" s="25"/>
      <c r="D270" s="42"/>
      <c r="E270" s="26"/>
      <c r="G270" s="54"/>
      <c r="N270" s="42"/>
    </row>
    <row r="271" spans="2:14" s="13" customFormat="1" x14ac:dyDescent="0.4">
      <c r="B271" s="25"/>
      <c r="D271" s="42"/>
      <c r="E271" s="26"/>
      <c r="G271" s="54"/>
      <c r="N271" s="42"/>
    </row>
    <row r="272" spans="2:14" s="13" customFormat="1" x14ac:dyDescent="0.4">
      <c r="B272" s="25"/>
      <c r="D272" s="42"/>
      <c r="E272" s="26"/>
      <c r="G272" s="54"/>
      <c r="N272" s="42"/>
    </row>
    <row r="273" spans="2:14" s="13" customFormat="1" x14ac:dyDescent="0.4">
      <c r="B273" s="25"/>
      <c r="D273" s="42"/>
      <c r="E273" s="26"/>
      <c r="G273" s="54"/>
      <c r="N273" s="42"/>
    </row>
    <row r="274" spans="2:14" s="13" customFormat="1" x14ac:dyDescent="0.4">
      <c r="B274" s="25"/>
      <c r="D274" s="42"/>
      <c r="E274" s="26"/>
      <c r="G274" s="54"/>
      <c r="N274" s="42"/>
    </row>
    <row r="275" spans="2:14" s="13" customFormat="1" x14ac:dyDescent="0.4">
      <c r="B275" s="25"/>
      <c r="D275" s="42"/>
      <c r="E275" s="26"/>
      <c r="G275" s="54"/>
      <c r="N275" s="42"/>
    </row>
    <row r="276" spans="2:14" s="13" customFormat="1" x14ac:dyDescent="0.4">
      <c r="B276" s="25"/>
      <c r="D276" s="42"/>
      <c r="E276" s="26"/>
      <c r="G276" s="54"/>
      <c r="N276" s="42"/>
    </row>
    <row r="277" spans="2:14" s="13" customFormat="1" x14ac:dyDescent="0.4">
      <c r="B277" s="25"/>
      <c r="D277" s="42"/>
      <c r="E277" s="26"/>
      <c r="G277" s="54"/>
      <c r="N277" s="42"/>
    </row>
    <row r="278" spans="2:14" s="13" customFormat="1" x14ac:dyDescent="0.4">
      <c r="B278" s="25"/>
      <c r="D278" s="42"/>
      <c r="E278" s="26"/>
      <c r="G278" s="54"/>
      <c r="N278" s="42"/>
    </row>
    <row r="279" spans="2:14" s="13" customFormat="1" x14ac:dyDescent="0.4">
      <c r="B279" s="25"/>
      <c r="D279" s="42"/>
      <c r="E279" s="26"/>
      <c r="G279" s="54"/>
      <c r="N279" s="42"/>
    </row>
    <row r="280" spans="2:14" s="13" customFormat="1" x14ac:dyDescent="0.4">
      <c r="B280" s="25"/>
      <c r="D280" s="42"/>
      <c r="E280" s="26"/>
      <c r="G280" s="54"/>
      <c r="N280" s="42"/>
    </row>
    <row r="281" spans="2:14" s="13" customFormat="1" x14ac:dyDescent="0.4">
      <c r="B281" s="25"/>
      <c r="D281" s="42"/>
      <c r="E281" s="26"/>
      <c r="G281" s="54"/>
      <c r="N281" s="42"/>
    </row>
    <row r="282" spans="2:14" s="13" customFormat="1" x14ac:dyDescent="0.4">
      <c r="B282" s="25"/>
      <c r="D282" s="42"/>
      <c r="E282" s="26"/>
      <c r="G282" s="54"/>
      <c r="N282" s="42"/>
    </row>
    <row r="283" spans="2:14" s="13" customFormat="1" x14ac:dyDescent="0.4">
      <c r="B283" s="25"/>
      <c r="D283" s="42"/>
      <c r="E283" s="26"/>
      <c r="G283" s="54"/>
      <c r="N283" s="42"/>
    </row>
    <row r="284" spans="2:14" s="13" customFormat="1" x14ac:dyDescent="0.4">
      <c r="B284" s="25"/>
      <c r="D284" s="42"/>
      <c r="E284" s="26"/>
      <c r="G284" s="54"/>
      <c r="N284" s="42"/>
    </row>
    <row r="285" spans="2:14" s="13" customFormat="1" x14ac:dyDescent="0.4">
      <c r="B285" s="25"/>
      <c r="D285" s="42"/>
      <c r="E285" s="26"/>
      <c r="G285" s="54"/>
      <c r="N285" s="42"/>
    </row>
    <row r="286" spans="2:14" s="13" customFormat="1" x14ac:dyDescent="0.4">
      <c r="B286" s="25"/>
      <c r="D286" s="42"/>
      <c r="E286" s="26"/>
      <c r="G286" s="54"/>
      <c r="N286" s="42"/>
    </row>
    <row r="287" spans="2:14" s="13" customFormat="1" x14ac:dyDescent="0.4">
      <c r="B287" s="25"/>
      <c r="D287" s="42"/>
      <c r="E287" s="26"/>
      <c r="G287" s="54"/>
      <c r="N287" s="42"/>
    </row>
    <row r="288" spans="2:14" s="13" customFormat="1" x14ac:dyDescent="0.4">
      <c r="B288" s="25"/>
      <c r="D288" s="42"/>
      <c r="E288" s="26"/>
      <c r="G288" s="54"/>
      <c r="N288" s="42"/>
    </row>
    <row r="289" spans="2:14" s="13" customFormat="1" x14ac:dyDescent="0.4">
      <c r="B289" s="25"/>
      <c r="D289" s="42"/>
      <c r="E289" s="26"/>
      <c r="G289" s="54"/>
      <c r="N289" s="42"/>
    </row>
    <row r="290" spans="2:14" s="13" customFormat="1" x14ac:dyDescent="0.4">
      <c r="B290" s="25"/>
      <c r="D290" s="42"/>
      <c r="E290" s="26"/>
      <c r="G290" s="54"/>
      <c r="N290" s="42"/>
    </row>
    <row r="291" spans="2:14" s="13" customFormat="1" x14ac:dyDescent="0.4">
      <c r="B291" s="25"/>
      <c r="D291" s="42"/>
      <c r="E291" s="26"/>
      <c r="G291" s="54"/>
      <c r="N291" s="42"/>
    </row>
    <row r="292" spans="2:14" s="13" customFormat="1" x14ac:dyDescent="0.4">
      <c r="B292" s="25"/>
      <c r="D292" s="42"/>
      <c r="E292" s="26"/>
      <c r="G292" s="54"/>
      <c r="N292" s="42"/>
    </row>
    <row r="293" spans="2:14" s="13" customFormat="1" x14ac:dyDescent="0.4">
      <c r="B293" s="25"/>
      <c r="D293" s="42"/>
      <c r="E293" s="26"/>
      <c r="G293" s="54"/>
      <c r="N293" s="42"/>
    </row>
    <row r="294" spans="2:14" s="13" customFormat="1" x14ac:dyDescent="0.4">
      <c r="B294" s="25"/>
      <c r="D294" s="42"/>
      <c r="E294" s="26"/>
      <c r="G294" s="54"/>
      <c r="N294" s="42"/>
    </row>
    <row r="295" spans="2:14" s="13" customFormat="1" x14ac:dyDescent="0.4">
      <c r="B295" s="25"/>
      <c r="D295" s="42"/>
      <c r="E295" s="26"/>
      <c r="G295" s="54"/>
      <c r="N295" s="42"/>
    </row>
    <row r="296" spans="2:14" s="13" customFormat="1" x14ac:dyDescent="0.4">
      <c r="B296" s="25"/>
      <c r="D296" s="42"/>
      <c r="E296" s="26"/>
      <c r="G296" s="54"/>
      <c r="N296" s="42"/>
    </row>
    <row r="297" spans="2:14" s="13" customFormat="1" x14ac:dyDescent="0.4">
      <c r="B297" s="25"/>
      <c r="D297" s="42"/>
      <c r="E297" s="26"/>
      <c r="G297" s="54"/>
      <c r="N297" s="42"/>
    </row>
    <row r="298" spans="2:14" s="13" customFormat="1" x14ac:dyDescent="0.4">
      <c r="B298" s="25"/>
      <c r="D298" s="42"/>
      <c r="E298" s="26"/>
      <c r="G298" s="54"/>
      <c r="N298" s="42"/>
    </row>
    <row r="299" spans="2:14" s="13" customFormat="1" x14ac:dyDescent="0.4">
      <c r="B299" s="25"/>
      <c r="D299" s="42"/>
      <c r="E299" s="26"/>
      <c r="G299" s="54"/>
      <c r="N299" s="42"/>
    </row>
    <row r="300" spans="2:14" s="13" customFormat="1" x14ac:dyDescent="0.4">
      <c r="B300" s="25"/>
      <c r="D300" s="42"/>
      <c r="E300" s="26"/>
      <c r="G300" s="54"/>
      <c r="N300" s="42"/>
    </row>
    <row r="301" spans="2:14" s="13" customFormat="1" x14ac:dyDescent="0.4">
      <c r="B301" s="25"/>
      <c r="D301" s="42"/>
      <c r="E301" s="26"/>
      <c r="G301" s="54"/>
      <c r="N301" s="42"/>
    </row>
    <row r="302" spans="2:14" s="13" customFormat="1" x14ac:dyDescent="0.4">
      <c r="B302" s="25"/>
      <c r="D302" s="42"/>
      <c r="E302" s="26"/>
      <c r="G302" s="54"/>
      <c r="N302" s="42"/>
    </row>
    <row r="303" spans="2:14" s="13" customFormat="1" x14ac:dyDescent="0.4">
      <c r="B303" s="25"/>
      <c r="D303" s="42"/>
      <c r="E303" s="26"/>
      <c r="G303" s="54"/>
      <c r="N303" s="42"/>
    </row>
    <row r="304" spans="2:14" s="13" customFormat="1" x14ac:dyDescent="0.4">
      <c r="B304" s="25"/>
      <c r="D304" s="42"/>
      <c r="E304" s="26"/>
      <c r="G304" s="54"/>
      <c r="N304" s="42"/>
    </row>
    <row r="305" spans="2:14" s="13" customFormat="1" x14ac:dyDescent="0.4">
      <c r="B305" s="25"/>
      <c r="D305" s="42"/>
      <c r="E305" s="26"/>
      <c r="G305" s="54"/>
      <c r="N305" s="42"/>
    </row>
    <row r="306" spans="2:14" s="13" customFormat="1" x14ac:dyDescent="0.4">
      <c r="B306" s="25"/>
      <c r="D306" s="42"/>
      <c r="E306" s="26"/>
      <c r="G306" s="54"/>
      <c r="N306" s="42"/>
    </row>
    <row r="307" spans="2:14" s="13" customFormat="1" x14ac:dyDescent="0.4">
      <c r="B307" s="25"/>
      <c r="D307" s="42"/>
      <c r="E307" s="26"/>
      <c r="G307" s="54"/>
      <c r="N307" s="42"/>
    </row>
    <row r="308" spans="2:14" s="13" customFormat="1" x14ac:dyDescent="0.4">
      <c r="B308" s="25"/>
      <c r="D308" s="42"/>
      <c r="E308" s="26"/>
      <c r="G308" s="54"/>
      <c r="N308" s="42"/>
    </row>
    <row r="309" spans="2:14" s="13" customFormat="1" x14ac:dyDescent="0.4">
      <c r="B309" s="25"/>
      <c r="D309" s="42"/>
      <c r="E309" s="26"/>
      <c r="G309" s="54"/>
      <c r="N309" s="42"/>
    </row>
    <row r="310" spans="2:14" s="13" customFormat="1" x14ac:dyDescent="0.4">
      <c r="B310" s="25"/>
      <c r="D310" s="42"/>
      <c r="E310" s="26"/>
      <c r="G310" s="54"/>
      <c r="N310" s="42"/>
    </row>
    <row r="311" spans="2:14" s="13" customFormat="1" x14ac:dyDescent="0.4">
      <c r="B311" s="25"/>
      <c r="D311" s="42"/>
      <c r="E311" s="26"/>
      <c r="G311" s="54"/>
      <c r="N311" s="42"/>
    </row>
    <row r="312" spans="2:14" s="13" customFormat="1" x14ac:dyDescent="0.4">
      <c r="B312" s="25"/>
      <c r="D312" s="42"/>
      <c r="E312" s="26"/>
      <c r="G312" s="54"/>
      <c r="N312" s="42"/>
    </row>
    <row r="313" spans="2:14" s="13" customFormat="1" x14ac:dyDescent="0.4">
      <c r="B313" s="25"/>
      <c r="D313" s="42"/>
      <c r="E313" s="26"/>
      <c r="G313" s="54"/>
      <c r="N313" s="42"/>
    </row>
    <row r="314" spans="2:14" s="13" customFormat="1" x14ac:dyDescent="0.4">
      <c r="B314" s="25"/>
      <c r="D314" s="42"/>
      <c r="E314" s="26"/>
      <c r="G314" s="54"/>
      <c r="N314" s="42"/>
    </row>
    <row r="315" spans="2:14" s="13" customFormat="1" x14ac:dyDescent="0.4">
      <c r="B315" s="25"/>
      <c r="D315" s="42"/>
      <c r="E315" s="26"/>
      <c r="G315" s="54"/>
      <c r="N315" s="42"/>
    </row>
    <row r="316" spans="2:14" s="13" customFormat="1" x14ac:dyDescent="0.4">
      <c r="B316" s="25"/>
      <c r="D316" s="42"/>
      <c r="E316" s="26"/>
      <c r="G316" s="54"/>
      <c r="N316" s="42"/>
    </row>
    <row r="317" spans="2:14" s="13" customFormat="1" x14ac:dyDescent="0.4">
      <c r="B317" s="25"/>
      <c r="D317" s="42"/>
      <c r="E317" s="26"/>
      <c r="G317" s="54"/>
      <c r="N317" s="42"/>
    </row>
    <row r="318" spans="2:14" s="13" customFormat="1" x14ac:dyDescent="0.4">
      <c r="B318" s="25"/>
      <c r="D318" s="42"/>
      <c r="E318" s="26"/>
      <c r="G318" s="54"/>
      <c r="N318" s="42"/>
    </row>
    <row r="319" spans="2:14" s="13" customFormat="1" x14ac:dyDescent="0.4">
      <c r="B319" s="25"/>
      <c r="D319" s="42"/>
      <c r="E319" s="26"/>
      <c r="G319" s="54"/>
      <c r="N319" s="42"/>
    </row>
    <row r="320" spans="2:14" s="13" customFormat="1" x14ac:dyDescent="0.4">
      <c r="B320" s="25"/>
      <c r="D320" s="42"/>
      <c r="E320" s="26"/>
      <c r="G320" s="54"/>
      <c r="N320" s="42"/>
    </row>
    <row r="321" spans="2:14" s="13" customFormat="1" x14ac:dyDescent="0.4">
      <c r="B321" s="25"/>
      <c r="D321" s="42"/>
      <c r="E321" s="26"/>
      <c r="G321" s="54"/>
      <c r="N321" s="42"/>
    </row>
    <row r="322" spans="2:14" s="13" customFormat="1" x14ac:dyDescent="0.4">
      <c r="B322" s="25"/>
      <c r="D322" s="42"/>
      <c r="E322" s="26"/>
      <c r="G322" s="54"/>
      <c r="N322" s="42"/>
    </row>
    <row r="323" spans="2:14" s="13" customFormat="1" x14ac:dyDescent="0.4">
      <c r="B323" s="25"/>
      <c r="D323" s="42"/>
      <c r="E323" s="26"/>
      <c r="G323" s="54"/>
      <c r="N323" s="42"/>
    </row>
    <row r="324" spans="2:14" s="13" customFormat="1" x14ac:dyDescent="0.4">
      <c r="B324" s="25"/>
      <c r="D324" s="42"/>
      <c r="E324" s="26"/>
      <c r="G324" s="54"/>
      <c r="N324" s="42"/>
    </row>
    <row r="325" spans="2:14" s="13" customFormat="1" x14ac:dyDescent="0.4">
      <c r="B325" s="25"/>
      <c r="D325" s="42"/>
      <c r="E325" s="26"/>
      <c r="G325" s="54"/>
      <c r="N325" s="42"/>
    </row>
    <row r="326" spans="2:14" s="13" customFormat="1" x14ac:dyDescent="0.4">
      <c r="B326" s="25"/>
      <c r="D326" s="42"/>
      <c r="E326" s="26"/>
      <c r="G326" s="54"/>
      <c r="N326" s="42"/>
    </row>
    <row r="327" spans="2:14" s="13" customFormat="1" x14ac:dyDescent="0.4">
      <c r="B327" s="25"/>
      <c r="D327" s="42"/>
      <c r="E327" s="26"/>
      <c r="G327" s="54"/>
      <c r="N327" s="42"/>
    </row>
    <row r="328" spans="2:14" s="13" customFormat="1" x14ac:dyDescent="0.4">
      <c r="B328" s="25"/>
      <c r="D328" s="42"/>
      <c r="E328" s="26"/>
      <c r="G328" s="54"/>
      <c r="N328" s="42"/>
    </row>
    <row r="329" spans="2:14" s="13" customFormat="1" x14ac:dyDescent="0.4">
      <c r="B329" s="25"/>
      <c r="D329" s="42"/>
      <c r="E329" s="26"/>
      <c r="G329" s="54"/>
      <c r="N329" s="42"/>
    </row>
    <row r="330" spans="2:14" s="13" customFormat="1" x14ac:dyDescent="0.4">
      <c r="B330" s="25"/>
      <c r="D330" s="42"/>
      <c r="E330" s="26"/>
      <c r="G330" s="54"/>
      <c r="N330" s="42"/>
    </row>
    <row r="331" spans="2:14" s="13" customFormat="1" x14ac:dyDescent="0.4">
      <c r="B331" s="25"/>
      <c r="D331" s="42"/>
      <c r="E331" s="26"/>
      <c r="G331" s="54"/>
      <c r="N331" s="42"/>
    </row>
    <row r="332" spans="2:14" s="13" customFormat="1" x14ac:dyDescent="0.4">
      <c r="B332" s="25"/>
      <c r="D332" s="42"/>
      <c r="E332" s="26"/>
      <c r="G332" s="54"/>
      <c r="N332" s="42"/>
    </row>
    <row r="333" spans="2:14" s="13" customFormat="1" x14ac:dyDescent="0.4">
      <c r="B333" s="25"/>
      <c r="D333" s="42"/>
      <c r="E333" s="26"/>
      <c r="G333" s="54"/>
      <c r="N333" s="42"/>
    </row>
    <row r="334" spans="2:14" s="13" customFormat="1" x14ac:dyDescent="0.4">
      <c r="B334" s="25"/>
      <c r="D334" s="42"/>
      <c r="E334" s="26"/>
      <c r="G334" s="54"/>
      <c r="N334" s="42"/>
    </row>
    <row r="335" spans="2:14" s="13" customFormat="1" x14ac:dyDescent="0.4">
      <c r="B335" s="25"/>
      <c r="D335" s="42"/>
      <c r="E335" s="26"/>
      <c r="G335" s="54"/>
      <c r="N335" s="42"/>
    </row>
    <row r="336" spans="2:14" s="13" customFormat="1" x14ac:dyDescent="0.4">
      <c r="B336" s="25"/>
      <c r="D336" s="42"/>
      <c r="E336" s="26"/>
      <c r="G336" s="54"/>
      <c r="N336" s="42"/>
    </row>
    <row r="337" spans="2:14" s="13" customFormat="1" x14ac:dyDescent="0.4">
      <c r="B337" s="25"/>
      <c r="D337" s="42"/>
      <c r="E337" s="26"/>
      <c r="G337" s="54"/>
      <c r="N337" s="42"/>
    </row>
    <row r="338" spans="2:14" s="13" customFormat="1" x14ac:dyDescent="0.4">
      <c r="B338" s="25"/>
      <c r="D338" s="42"/>
      <c r="E338" s="26"/>
      <c r="G338" s="54"/>
      <c r="N338" s="42"/>
    </row>
    <row r="339" spans="2:14" s="13" customFormat="1" x14ac:dyDescent="0.4">
      <c r="B339" s="25"/>
      <c r="D339" s="42"/>
      <c r="E339" s="26"/>
      <c r="G339" s="54"/>
      <c r="N339" s="42"/>
    </row>
    <row r="340" spans="2:14" s="13" customFormat="1" x14ac:dyDescent="0.4">
      <c r="B340" s="25"/>
      <c r="D340" s="42"/>
      <c r="E340" s="26"/>
      <c r="G340" s="54"/>
      <c r="N340" s="42"/>
    </row>
    <row r="341" spans="2:14" s="13" customFormat="1" x14ac:dyDescent="0.4">
      <c r="B341" s="25"/>
      <c r="D341" s="42"/>
      <c r="E341" s="26"/>
      <c r="G341" s="54"/>
      <c r="N341" s="42"/>
    </row>
    <row r="342" spans="2:14" s="13" customFormat="1" x14ac:dyDescent="0.4">
      <c r="B342" s="25"/>
      <c r="D342" s="42"/>
      <c r="E342" s="26"/>
      <c r="G342" s="54"/>
      <c r="N342" s="42"/>
    </row>
    <row r="343" spans="2:14" s="13" customFormat="1" x14ac:dyDescent="0.4">
      <c r="B343" s="25"/>
      <c r="D343" s="42"/>
      <c r="E343" s="26"/>
      <c r="G343" s="54"/>
      <c r="N343" s="42"/>
    </row>
    <row r="344" spans="2:14" s="13" customFormat="1" x14ac:dyDescent="0.4">
      <c r="B344" s="25"/>
      <c r="D344" s="42"/>
      <c r="E344" s="26"/>
      <c r="G344" s="54"/>
      <c r="N344" s="42"/>
    </row>
    <row r="345" spans="2:14" s="13" customFormat="1" x14ac:dyDescent="0.4">
      <c r="B345" s="25"/>
      <c r="D345" s="42"/>
      <c r="E345" s="26"/>
      <c r="G345" s="54"/>
      <c r="N345" s="42"/>
    </row>
    <row r="346" spans="2:14" s="13" customFormat="1" x14ac:dyDescent="0.4">
      <c r="B346" s="25"/>
      <c r="D346" s="42"/>
      <c r="E346" s="26"/>
      <c r="G346" s="54"/>
      <c r="N346" s="42"/>
    </row>
    <row r="347" spans="2:14" s="13" customFormat="1" x14ac:dyDescent="0.4">
      <c r="B347" s="25"/>
      <c r="D347" s="42"/>
      <c r="E347" s="26"/>
      <c r="G347" s="54"/>
      <c r="N347" s="42"/>
    </row>
    <row r="348" spans="2:14" s="13" customFormat="1" x14ac:dyDescent="0.4">
      <c r="B348" s="25"/>
      <c r="D348" s="42"/>
      <c r="E348" s="26"/>
      <c r="G348" s="54"/>
      <c r="N348" s="42"/>
    </row>
    <row r="349" spans="2:14" s="13" customFormat="1" x14ac:dyDescent="0.4">
      <c r="B349" s="25"/>
      <c r="D349" s="42"/>
      <c r="E349" s="26"/>
      <c r="G349" s="54"/>
      <c r="N349" s="42"/>
    </row>
    <row r="350" spans="2:14" s="13" customFormat="1" x14ac:dyDescent="0.4">
      <c r="B350" s="25"/>
      <c r="D350" s="42"/>
      <c r="E350" s="26"/>
      <c r="G350" s="54"/>
      <c r="N350" s="42"/>
    </row>
    <row r="351" spans="2:14" s="13" customFormat="1" x14ac:dyDescent="0.4">
      <c r="B351" s="25"/>
      <c r="D351" s="42"/>
      <c r="E351" s="26"/>
      <c r="G351" s="54"/>
      <c r="N351" s="42"/>
    </row>
    <row r="352" spans="2:14" s="13" customFormat="1" x14ac:dyDescent="0.4">
      <c r="B352" s="25"/>
      <c r="D352" s="42"/>
      <c r="E352" s="26"/>
      <c r="G352" s="54"/>
      <c r="N352" s="42"/>
    </row>
    <row r="353" spans="2:14" s="13" customFormat="1" x14ac:dyDescent="0.4">
      <c r="B353" s="25"/>
      <c r="D353" s="42"/>
      <c r="E353" s="26"/>
      <c r="G353" s="54"/>
      <c r="N353" s="42"/>
    </row>
    <row r="354" spans="2:14" s="13" customFormat="1" x14ac:dyDescent="0.4">
      <c r="B354" s="25"/>
      <c r="D354" s="42"/>
      <c r="E354" s="26"/>
      <c r="G354" s="54"/>
      <c r="N354" s="42"/>
    </row>
    <row r="355" spans="2:14" s="13" customFormat="1" x14ac:dyDescent="0.4">
      <c r="B355" s="25"/>
      <c r="D355" s="42"/>
      <c r="E355" s="26"/>
      <c r="G355" s="54"/>
      <c r="N355" s="42"/>
    </row>
    <row r="356" spans="2:14" s="13" customFormat="1" x14ac:dyDescent="0.4">
      <c r="B356" s="25"/>
      <c r="D356" s="42"/>
      <c r="E356" s="26"/>
      <c r="G356" s="54"/>
      <c r="N356" s="42"/>
    </row>
    <row r="357" spans="2:14" s="13" customFormat="1" x14ac:dyDescent="0.4">
      <c r="B357" s="25"/>
      <c r="D357" s="42"/>
      <c r="E357" s="26"/>
      <c r="G357" s="54"/>
      <c r="N357" s="42"/>
    </row>
    <row r="358" spans="2:14" s="13" customFormat="1" x14ac:dyDescent="0.4">
      <c r="B358" s="25"/>
      <c r="D358" s="42"/>
      <c r="E358" s="26"/>
      <c r="G358" s="54"/>
      <c r="N358" s="42"/>
    </row>
    <row r="359" spans="2:14" s="13" customFormat="1" x14ac:dyDescent="0.4">
      <c r="B359" s="25"/>
      <c r="D359" s="42"/>
      <c r="E359" s="26"/>
      <c r="G359" s="54"/>
      <c r="N359" s="42"/>
    </row>
    <row r="360" spans="2:14" s="13" customFormat="1" x14ac:dyDescent="0.4">
      <c r="B360" s="25"/>
      <c r="D360" s="42"/>
      <c r="E360" s="26"/>
      <c r="G360" s="54"/>
      <c r="N360" s="42"/>
    </row>
    <row r="361" spans="2:14" s="13" customFormat="1" x14ac:dyDescent="0.4">
      <c r="B361" s="25"/>
      <c r="D361" s="42"/>
      <c r="E361" s="26"/>
      <c r="G361" s="54"/>
      <c r="N361" s="42"/>
    </row>
    <row r="362" spans="2:14" s="13" customFormat="1" x14ac:dyDescent="0.4">
      <c r="B362" s="25"/>
      <c r="D362" s="42"/>
      <c r="E362" s="26"/>
      <c r="G362" s="54"/>
      <c r="N362" s="42"/>
    </row>
    <row r="363" spans="2:14" s="13" customFormat="1" x14ac:dyDescent="0.4">
      <c r="B363" s="25"/>
      <c r="D363" s="42"/>
      <c r="E363" s="26"/>
      <c r="G363" s="54"/>
      <c r="N363" s="42"/>
    </row>
    <row r="364" spans="2:14" s="13" customFormat="1" x14ac:dyDescent="0.4">
      <c r="B364" s="25"/>
      <c r="D364" s="42"/>
      <c r="E364" s="26"/>
      <c r="G364" s="54"/>
      <c r="N364" s="42"/>
    </row>
    <row r="365" spans="2:14" s="13" customFormat="1" x14ac:dyDescent="0.4">
      <c r="B365" s="25"/>
      <c r="D365" s="42"/>
      <c r="E365" s="26"/>
      <c r="G365" s="54"/>
      <c r="N365" s="42"/>
    </row>
    <row r="366" spans="2:14" s="13" customFormat="1" x14ac:dyDescent="0.4">
      <c r="B366" s="25"/>
      <c r="D366" s="42"/>
      <c r="E366" s="26"/>
      <c r="G366" s="54"/>
      <c r="N366" s="42"/>
    </row>
    <row r="367" spans="2:14" s="13" customFormat="1" x14ac:dyDescent="0.4">
      <c r="B367" s="25"/>
      <c r="D367" s="42"/>
      <c r="E367" s="26"/>
      <c r="G367" s="54"/>
      <c r="N367" s="42"/>
    </row>
    <row r="368" spans="2:14" s="13" customFormat="1" x14ac:dyDescent="0.4">
      <c r="B368" s="25"/>
      <c r="D368" s="42"/>
      <c r="E368" s="26"/>
      <c r="G368" s="54"/>
      <c r="N368" s="42"/>
    </row>
    <row r="369" spans="2:14" s="13" customFormat="1" x14ac:dyDescent="0.4">
      <c r="B369" s="25"/>
      <c r="D369" s="42"/>
      <c r="E369" s="26"/>
      <c r="G369" s="54"/>
      <c r="N369" s="42"/>
    </row>
    <row r="370" spans="2:14" s="13" customFormat="1" x14ac:dyDescent="0.4">
      <c r="B370" s="25"/>
      <c r="D370" s="42"/>
      <c r="E370" s="26"/>
      <c r="G370" s="54"/>
      <c r="N370" s="42"/>
    </row>
    <row r="371" spans="2:14" s="13" customFormat="1" x14ac:dyDescent="0.4">
      <c r="B371" s="25"/>
      <c r="D371" s="42"/>
      <c r="E371" s="26"/>
      <c r="G371" s="54"/>
      <c r="N371" s="42"/>
    </row>
    <row r="372" spans="2:14" s="13" customFormat="1" x14ac:dyDescent="0.4">
      <c r="B372" s="25"/>
      <c r="D372" s="42"/>
      <c r="E372" s="26"/>
      <c r="G372" s="54"/>
      <c r="N372" s="42"/>
    </row>
    <row r="373" spans="2:14" s="13" customFormat="1" x14ac:dyDescent="0.4">
      <c r="B373" s="25"/>
      <c r="D373" s="42"/>
      <c r="E373" s="26"/>
      <c r="G373" s="54"/>
      <c r="N373" s="42"/>
    </row>
    <row r="374" spans="2:14" s="13" customFormat="1" x14ac:dyDescent="0.4">
      <c r="B374" s="25"/>
      <c r="D374" s="42"/>
      <c r="E374" s="26"/>
      <c r="G374" s="54"/>
      <c r="N374" s="42"/>
    </row>
    <row r="375" spans="2:14" s="13" customFormat="1" x14ac:dyDescent="0.4">
      <c r="B375" s="25"/>
      <c r="D375" s="42"/>
      <c r="E375" s="26"/>
      <c r="G375" s="54"/>
      <c r="N375" s="42"/>
    </row>
    <row r="376" spans="2:14" s="13" customFormat="1" x14ac:dyDescent="0.4">
      <c r="B376" s="25"/>
      <c r="D376" s="42"/>
      <c r="E376" s="26"/>
      <c r="G376" s="54"/>
      <c r="N376" s="42"/>
    </row>
    <row r="377" spans="2:14" s="13" customFormat="1" x14ac:dyDescent="0.4">
      <c r="B377" s="25"/>
      <c r="D377" s="42"/>
      <c r="E377" s="26"/>
      <c r="G377" s="54"/>
      <c r="N377" s="42"/>
    </row>
    <row r="378" spans="2:14" s="13" customFormat="1" x14ac:dyDescent="0.4">
      <c r="B378" s="25"/>
      <c r="D378" s="42"/>
      <c r="E378" s="26"/>
      <c r="G378" s="54"/>
      <c r="N378" s="42"/>
    </row>
    <row r="379" spans="2:14" s="13" customFormat="1" x14ac:dyDescent="0.4">
      <c r="B379" s="25"/>
      <c r="D379" s="42"/>
      <c r="E379" s="26"/>
      <c r="G379" s="54"/>
      <c r="N379" s="42"/>
    </row>
    <row r="380" spans="2:14" s="13" customFormat="1" x14ac:dyDescent="0.4">
      <c r="B380" s="25"/>
      <c r="D380" s="42"/>
      <c r="E380" s="26"/>
      <c r="G380" s="54"/>
      <c r="N380" s="42"/>
    </row>
    <row r="381" spans="2:14" s="13" customFormat="1" x14ac:dyDescent="0.4">
      <c r="B381" s="25"/>
      <c r="D381" s="42"/>
      <c r="E381" s="26"/>
      <c r="G381" s="54"/>
      <c r="N381" s="42"/>
    </row>
    <row r="382" spans="2:14" s="13" customFormat="1" x14ac:dyDescent="0.4">
      <c r="B382" s="25"/>
      <c r="D382" s="42"/>
      <c r="E382" s="26"/>
      <c r="G382" s="54"/>
      <c r="N382" s="42"/>
    </row>
    <row r="383" spans="2:14" s="13" customFormat="1" x14ac:dyDescent="0.4">
      <c r="B383" s="25"/>
      <c r="D383" s="42"/>
      <c r="E383" s="26"/>
      <c r="G383" s="54"/>
      <c r="N383" s="42"/>
    </row>
    <row r="384" spans="2:14" s="13" customFormat="1" x14ac:dyDescent="0.4">
      <c r="B384" s="25"/>
      <c r="D384" s="42"/>
      <c r="E384" s="26"/>
      <c r="G384" s="54"/>
      <c r="N384" s="42"/>
    </row>
    <row r="385" spans="2:14" s="13" customFormat="1" x14ac:dyDescent="0.4">
      <c r="B385" s="25"/>
      <c r="D385" s="42"/>
      <c r="E385" s="26"/>
      <c r="G385" s="54"/>
      <c r="N385" s="42"/>
    </row>
    <row r="386" spans="2:14" s="13" customFormat="1" x14ac:dyDescent="0.4">
      <c r="B386" s="25"/>
      <c r="D386" s="42"/>
      <c r="E386" s="26"/>
      <c r="G386" s="54"/>
      <c r="N386" s="42"/>
    </row>
    <row r="387" spans="2:14" s="13" customFormat="1" x14ac:dyDescent="0.4">
      <c r="B387" s="25"/>
      <c r="D387" s="42"/>
      <c r="E387" s="26"/>
      <c r="G387" s="54"/>
      <c r="N387" s="42"/>
    </row>
    <row r="388" spans="2:14" s="13" customFormat="1" x14ac:dyDescent="0.4">
      <c r="B388" s="25"/>
      <c r="D388" s="42"/>
      <c r="E388" s="26"/>
      <c r="G388" s="54"/>
      <c r="N388" s="42"/>
    </row>
    <row r="389" spans="2:14" s="13" customFormat="1" x14ac:dyDescent="0.4">
      <c r="B389" s="25"/>
      <c r="D389" s="42"/>
      <c r="E389" s="26"/>
      <c r="G389" s="54"/>
      <c r="N389" s="42"/>
    </row>
    <row r="390" spans="2:14" s="13" customFormat="1" x14ac:dyDescent="0.4">
      <c r="B390" s="25"/>
      <c r="D390" s="42"/>
      <c r="E390" s="26"/>
      <c r="G390" s="54"/>
      <c r="N390" s="42"/>
    </row>
    <row r="391" spans="2:14" s="13" customFormat="1" x14ac:dyDescent="0.4">
      <c r="B391" s="25"/>
      <c r="D391" s="42"/>
      <c r="E391" s="26"/>
      <c r="G391" s="54"/>
      <c r="N391" s="42"/>
    </row>
    <row r="392" spans="2:14" s="13" customFormat="1" x14ac:dyDescent="0.4">
      <c r="B392" s="25"/>
      <c r="D392" s="42"/>
      <c r="E392" s="26"/>
      <c r="G392" s="54"/>
      <c r="N392" s="42"/>
    </row>
    <row r="393" spans="2:14" s="13" customFormat="1" x14ac:dyDescent="0.4">
      <c r="B393" s="25"/>
      <c r="D393" s="42"/>
      <c r="E393" s="26"/>
      <c r="G393" s="54"/>
      <c r="N393" s="42"/>
    </row>
    <row r="394" spans="2:14" s="13" customFormat="1" x14ac:dyDescent="0.4">
      <c r="B394" s="25"/>
      <c r="D394" s="42"/>
      <c r="E394" s="26"/>
      <c r="G394" s="54"/>
      <c r="N394" s="42"/>
    </row>
    <row r="395" spans="2:14" s="13" customFormat="1" x14ac:dyDescent="0.4">
      <c r="B395" s="25"/>
      <c r="D395" s="42"/>
      <c r="E395" s="26"/>
      <c r="G395" s="54"/>
      <c r="N395" s="42"/>
    </row>
    <row r="396" spans="2:14" s="13" customFormat="1" x14ac:dyDescent="0.4">
      <c r="B396" s="25"/>
      <c r="D396" s="42"/>
      <c r="E396" s="26"/>
      <c r="G396" s="54"/>
      <c r="N396" s="42"/>
    </row>
    <row r="397" spans="2:14" s="13" customFormat="1" x14ac:dyDescent="0.4">
      <c r="B397" s="25"/>
      <c r="D397" s="42"/>
      <c r="E397" s="26"/>
      <c r="G397" s="54"/>
      <c r="N397" s="42"/>
    </row>
    <row r="398" spans="2:14" s="13" customFormat="1" x14ac:dyDescent="0.4">
      <c r="B398" s="25"/>
      <c r="D398" s="42"/>
      <c r="E398" s="26"/>
      <c r="G398" s="54"/>
      <c r="N398" s="42"/>
    </row>
    <row r="399" spans="2:14" s="13" customFormat="1" x14ac:dyDescent="0.4">
      <c r="B399" s="25"/>
      <c r="D399" s="42"/>
      <c r="E399" s="26"/>
      <c r="G399" s="54"/>
      <c r="N399" s="42"/>
    </row>
    <row r="400" spans="2:14" s="13" customFormat="1" x14ac:dyDescent="0.4">
      <c r="B400" s="25"/>
      <c r="D400" s="42"/>
      <c r="E400" s="26"/>
      <c r="G400" s="54"/>
      <c r="N400" s="42"/>
    </row>
    <row r="401" spans="2:14" s="13" customFormat="1" x14ac:dyDescent="0.4">
      <c r="B401" s="25"/>
      <c r="D401" s="42"/>
      <c r="E401" s="26"/>
      <c r="G401" s="54"/>
      <c r="N401" s="42"/>
    </row>
    <row r="402" spans="2:14" s="13" customFormat="1" x14ac:dyDescent="0.4">
      <c r="B402" s="25"/>
      <c r="D402" s="42"/>
      <c r="E402" s="26"/>
      <c r="G402" s="54"/>
      <c r="N402" s="42"/>
    </row>
    <row r="403" spans="2:14" s="13" customFormat="1" x14ac:dyDescent="0.4">
      <c r="B403" s="25"/>
      <c r="D403" s="42"/>
      <c r="E403" s="26"/>
      <c r="G403" s="54"/>
      <c r="N403" s="42"/>
    </row>
    <row r="404" spans="2:14" s="13" customFormat="1" x14ac:dyDescent="0.4">
      <c r="B404" s="25"/>
      <c r="D404" s="42"/>
      <c r="E404" s="26"/>
      <c r="G404" s="54"/>
      <c r="N404" s="42"/>
    </row>
    <row r="405" spans="2:14" s="13" customFormat="1" x14ac:dyDescent="0.4">
      <c r="B405" s="25"/>
      <c r="D405" s="42"/>
      <c r="E405" s="26"/>
      <c r="G405" s="54"/>
      <c r="N405" s="42"/>
    </row>
    <row r="406" spans="2:14" s="13" customFormat="1" x14ac:dyDescent="0.4">
      <c r="B406" s="25"/>
      <c r="D406" s="42"/>
      <c r="E406" s="26"/>
      <c r="G406" s="54"/>
      <c r="N406" s="42"/>
    </row>
    <row r="407" spans="2:14" s="13" customFormat="1" x14ac:dyDescent="0.4">
      <c r="B407" s="25"/>
      <c r="D407" s="42"/>
      <c r="E407" s="26"/>
      <c r="G407" s="54"/>
      <c r="N407" s="42"/>
    </row>
    <row r="408" spans="2:14" s="13" customFormat="1" x14ac:dyDescent="0.4">
      <c r="B408" s="25"/>
      <c r="D408" s="42"/>
      <c r="E408" s="26"/>
      <c r="G408" s="54"/>
      <c r="N408" s="42"/>
    </row>
    <row r="409" spans="2:14" s="13" customFormat="1" x14ac:dyDescent="0.4">
      <c r="B409" s="25"/>
      <c r="D409" s="42"/>
      <c r="E409" s="26"/>
      <c r="G409" s="54"/>
      <c r="N409" s="42"/>
    </row>
    <row r="410" spans="2:14" s="13" customFormat="1" x14ac:dyDescent="0.4">
      <c r="B410" s="25"/>
      <c r="D410" s="42"/>
      <c r="E410" s="26"/>
      <c r="G410" s="54"/>
      <c r="N410" s="42"/>
    </row>
    <row r="411" spans="2:14" s="13" customFormat="1" x14ac:dyDescent="0.4">
      <c r="B411" s="25"/>
      <c r="D411" s="42"/>
      <c r="E411" s="26"/>
      <c r="G411" s="54"/>
      <c r="N411" s="42"/>
    </row>
    <row r="412" spans="2:14" s="13" customFormat="1" x14ac:dyDescent="0.4">
      <c r="B412" s="25"/>
      <c r="D412" s="42"/>
      <c r="E412" s="26"/>
      <c r="G412" s="54"/>
      <c r="N412" s="42"/>
    </row>
    <row r="413" spans="2:14" s="13" customFormat="1" x14ac:dyDescent="0.4">
      <c r="B413" s="25"/>
      <c r="D413" s="42"/>
      <c r="E413" s="26"/>
      <c r="G413" s="54"/>
      <c r="N413" s="42"/>
    </row>
    <row r="414" spans="2:14" s="13" customFormat="1" x14ac:dyDescent="0.4">
      <c r="B414" s="25"/>
      <c r="D414" s="42"/>
      <c r="E414" s="26"/>
      <c r="G414" s="54"/>
      <c r="N414" s="42"/>
    </row>
    <row r="415" spans="2:14" s="13" customFormat="1" x14ac:dyDescent="0.4">
      <c r="B415" s="25"/>
      <c r="D415" s="42"/>
      <c r="E415" s="26"/>
      <c r="G415" s="54"/>
      <c r="N415" s="42"/>
    </row>
    <row r="416" spans="2:14" s="13" customFormat="1" x14ac:dyDescent="0.4">
      <c r="B416" s="25"/>
      <c r="D416" s="42"/>
      <c r="E416" s="26"/>
      <c r="G416" s="54"/>
      <c r="N416" s="42"/>
    </row>
    <row r="417" spans="2:14" s="13" customFormat="1" x14ac:dyDescent="0.4">
      <c r="B417" s="25"/>
      <c r="D417" s="42"/>
      <c r="E417" s="26"/>
      <c r="G417" s="54"/>
      <c r="N417" s="42"/>
    </row>
    <row r="418" spans="2:14" s="13" customFormat="1" x14ac:dyDescent="0.4">
      <c r="B418" s="25"/>
      <c r="D418" s="42"/>
      <c r="E418" s="26"/>
      <c r="G418" s="54"/>
      <c r="N418" s="42"/>
    </row>
    <row r="419" spans="2:14" s="13" customFormat="1" x14ac:dyDescent="0.4">
      <c r="B419" s="25"/>
      <c r="D419" s="42"/>
      <c r="E419" s="26"/>
      <c r="G419" s="54"/>
      <c r="N419" s="42"/>
    </row>
    <row r="420" spans="2:14" s="13" customFormat="1" x14ac:dyDescent="0.4">
      <c r="B420" s="25"/>
      <c r="D420" s="42"/>
      <c r="E420" s="26"/>
      <c r="G420" s="54"/>
      <c r="N420" s="42"/>
    </row>
    <row r="421" spans="2:14" s="13" customFormat="1" x14ac:dyDescent="0.4">
      <c r="B421" s="25"/>
      <c r="D421" s="42"/>
      <c r="E421" s="26"/>
      <c r="G421" s="54"/>
      <c r="N421" s="42"/>
    </row>
    <row r="422" spans="2:14" s="13" customFormat="1" x14ac:dyDescent="0.4">
      <c r="B422" s="25"/>
      <c r="D422" s="42"/>
      <c r="E422" s="26"/>
      <c r="G422" s="54"/>
      <c r="N422" s="42"/>
    </row>
    <row r="423" spans="2:14" s="13" customFormat="1" x14ac:dyDescent="0.4">
      <c r="B423" s="25"/>
      <c r="D423" s="42"/>
      <c r="E423" s="26"/>
      <c r="G423" s="54"/>
      <c r="N423" s="42"/>
    </row>
    <row r="424" spans="2:14" s="13" customFormat="1" x14ac:dyDescent="0.4">
      <c r="B424" s="25"/>
      <c r="D424" s="42"/>
      <c r="E424" s="26"/>
      <c r="G424" s="54"/>
      <c r="N424" s="42"/>
    </row>
    <row r="425" spans="2:14" s="13" customFormat="1" x14ac:dyDescent="0.4">
      <c r="B425" s="25"/>
      <c r="D425" s="42"/>
      <c r="E425" s="26"/>
      <c r="G425" s="54"/>
      <c r="N425" s="42"/>
    </row>
    <row r="426" spans="2:14" s="13" customFormat="1" x14ac:dyDescent="0.4">
      <c r="B426" s="25"/>
      <c r="D426" s="42"/>
      <c r="E426" s="26"/>
      <c r="G426" s="54"/>
      <c r="N426" s="42"/>
    </row>
    <row r="427" spans="2:14" s="13" customFormat="1" x14ac:dyDescent="0.4">
      <c r="B427" s="25"/>
      <c r="D427" s="42"/>
      <c r="E427" s="26"/>
      <c r="G427" s="54"/>
      <c r="N427" s="42"/>
    </row>
    <row r="428" spans="2:14" s="13" customFormat="1" x14ac:dyDescent="0.4">
      <c r="B428" s="25"/>
      <c r="D428" s="42"/>
      <c r="E428" s="26"/>
      <c r="G428" s="54"/>
      <c r="N428" s="42"/>
    </row>
    <row r="429" spans="2:14" s="13" customFormat="1" x14ac:dyDescent="0.4">
      <c r="B429" s="25"/>
      <c r="D429" s="42"/>
      <c r="E429" s="26"/>
      <c r="G429" s="54"/>
      <c r="N429" s="42"/>
    </row>
    <row r="430" spans="2:14" s="13" customFormat="1" x14ac:dyDescent="0.4">
      <c r="B430" s="25"/>
      <c r="D430" s="42"/>
      <c r="E430" s="26"/>
      <c r="G430" s="54"/>
      <c r="N430" s="42"/>
    </row>
    <row r="431" spans="2:14" s="13" customFormat="1" x14ac:dyDescent="0.4">
      <c r="B431" s="25"/>
      <c r="D431" s="42"/>
      <c r="E431" s="26"/>
      <c r="G431" s="54"/>
      <c r="N431" s="42"/>
    </row>
    <row r="432" spans="2:14" s="13" customFormat="1" x14ac:dyDescent="0.4">
      <c r="B432" s="25"/>
      <c r="D432" s="42"/>
      <c r="E432" s="26"/>
      <c r="G432" s="54"/>
      <c r="N432" s="42"/>
    </row>
    <row r="433" spans="2:14" s="13" customFormat="1" x14ac:dyDescent="0.4">
      <c r="B433" s="25"/>
      <c r="D433" s="42"/>
      <c r="E433" s="26"/>
      <c r="G433" s="54"/>
      <c r="N433" s="42"/>
    </row>
    <row r="434" spans="2:14" s="13" customFormat="1" x14ac:dyDescent="0.4">
      <c r="B434" s="25"/>
      <c r="D434" s="42"/>
      <c r="E434" s="26"/>
      <c r="G434" s="54"/>
      <c r="N434" s="42"/>
    </row>
    <row r="435" spans="2:14" s="13" customFormat="1" x14ac:dyDescent="0.4">
      <c r="B435" s="25"/>
      <c r="D435" s="42"/>
      <c r="E435" s="26"/>
      <c r="G435" s="54"/>
      <c r="N435" s="42"/>
    </row>
    <row r="436" spans="2:14" s="13" customFormat="1" x14ac:dyDescent="0.4">
      <c r="B436" s="25"/>
      <c r="D436" s="42"/>
      <c r="E436" s="26"/>
      <c r="G436" s="54"/>
      <c r="N436" s="42"/>
    </row>
    <row r="437" spans="2:14" s="13" customFormat="1" x14ac:dyDescent="0.4">
      <c r="B437" s="25"/>
      <c r="D437" s="42"/>
      <c r="E437" s="26"/>
      <c r="G437" s="54"/>
      <c r="N437" s="42"/>
    </row>
    <row r="438" spans="2:14" s="13" customFormat="1" x14ac:dyDescent="0.4">
      <c r="B438" s="25"/>
      <c r="D438" s="42"/>
      <c r="E438" s="26"/>
      <c r="G438" s="54"/>
      <c r="N438" s="42"/>
    </row>
    <row r="439" spans="2:14" s="13" customFormat="1" x14ac:dyDescent="0.4">
      <c r="B439" s="25"/>
      <c r="D439" s="42"/>
      <c r="E439" s="26"/>
      <c r="G439" s="54"/>
      <c r="N439" s="42"/>
    </row>
    <row r="440" spans="2:14" s="13" customFormat="1" x14ac:dyDescent="0.4">
      <c r="B440" s="25"/>
      <c r="D440" s="42"/>
      <c r="E440" s="26"/>
      <c r="G440" s="54"/>
      <c r="N440" s="42"/>
    </row>
    <row r="441" spans="2:14" s="13" customFormat="1" x14ac:dyDescent="0.4">
      <c r="B441" s="25"/>
      <c r="D441" s="42"/>
      <c r="E441" s="26"/>
      <c r="G441" s="54"/>
      <c r="N441" s="42"/>
    </row>
    <row r="442" spans="2:14" s="13" customFormat="1" x14ac:dyDescent="0.4">
      <c r="B442" s="25"/>
      <c r="D442" s="42"/>
      <c r="E442" s="26"/>
      <c r="G442" s="54"/>
      <c r="N442" s="42"/>
    </row>
    <row r="443" spans="2:14" s="13" customFormat="1" x14ac:dyDescent="0.4">
      <c r="B443" s="25"/>
      <c r="D443" s="42"/>
      <c r="E443" s="26"/>
      <c r="G443" s="54"/>
      <c r="N443" s="42"/>
    </row>
    <row r="444" spans="2:14" s="13" customFormat="1" x14ac:dyDescent="0.4">
      <c r="B444" s="25"/>
      <c r="D444" s="42"/>
      <c r="E444" s="26"/>
      <c r="G444" s="54"/>
      <c r="N444" s="42"/>
    </row>
    <row r="445" spans="2:14" s="13" customFormat="1" x14ac:dyDescent="0.4">
      <c r="B445" s="25"/>
      <c r="D445" s="42"/>
      <c r="E445" s="26"/>
      <c r="G445" s="54"/>
      <c r="N445" s="42"/>
    </row>
    <row r="446" spans="2:14" s="13" customFormat="1" x14ac:dyDescent="0.4">
      <c r="B446" s="25"/>
      <c r="D446" s="42"/>
      <c r="E446" s="26"/>
      <c r="G446" s="54"/>
      <c r="N446" s="42"/>
    </row>
    <row r="447" spans="2:14" s="13" customFormat="1" x14ac:dyDescent="0.4">
      <c r="B447" s="25"/>
      <c r="D447" s="42"/>
      <c r="E447" s="26"/>
      <c r="G447" s="54"/>
      <c r="N447" s="42"/>
    </row>
    <row r="448" spans="2:14" s="13" customFormat="1" x14ac:dyDescent="0.4">
      <c r="B448" s="25"/>
      <c r="D448" s="42"/>
      <c r="E448" s="26"/>
      <c r="G448" s="54"/>
      <c r="N448" s="42"/>
    </row>
    <row r="449" spans="2:14" s="13" customFormat="1" x14ac:dyDescent="0.4">
      <c r="B449" s="25"/>
      <c r="D449" s="42"/>
      <c r="E449" s="26"/>
      <c r="G449" s="54"/>
      <c r="N449" s="42"/>
    </row>
    <row r="450" spans="2:14" s="13" customFormat="1" x14ac:dyDescent="0.4">
      <c r="B450" s="25"/>
      <c r="D450" s="42"/>
      <c r="E450" s="26"/>
      <c r="G450" s="54"/>
      <c r="N450" s="42"/>
    </row>
    <row r="451" spans="2:14" s="13" customFormat="1" x14ac:dyDescent="0.4">
      <c r="B451" s="25"/>
      <c r="D451" s="42"/>
      <c r="E451" s="26"/>
      <c r="G451" s="54"/>
      <c r="N451" s="42"/>
    </row>
    <row r="452" spans="2:14" s="13" customFormat="1" x14ac:dyDescent="0.4">
      <c r="B452" s="25"/>
      <c r="D452" s="42"/>
      <c r="E452" s="26"/>
      <c r="G452" s="54"/>
      <c r="N452" s="42"/>
    </row>
    <row r="453" spans="2:14" s="13" customFormat="1" x14ac:dyDescent="0.4">
      <c r="B453" s="25"/>
      <c r="D453" s="42"/>
      <c r="E453" s="26"/>
      <c r="G453" s="54"/>
      <c r="N453" s="42"/>
    </row>
    <row r="454" spans="2:14" s="13" customFormat="1" x14ac:dyDescent="0.4">
      <c r="B454" s="25"/>
      <c r="D454" s="42"/>
      <c r="E454" s="26"/>
      <c r="G454" s="54"/>
      <c r="N454" s="42"/>
    </row>
    <row r="455" spans="2:14" s="13" customFormat="1" x14ac:dyDescent="0.4">
      <c r="B455" s="25"/>
      <c r="D455" s="42"/>
      <c r="E455" s="26"/>
      <c r="G455" s="54"/>
      <c r="N455" s="42"/>
    </row>
    <row r="456" spans="2:14" s="13" customFormat="1" x14ac:dyDescent="0.4">
      <c r="B456" s="25"/>
      <c r="D456" s="42"/>
      <c r="E456" s="26"/>
      <c r="G456" s="54"/>
      <c r="N456" s="42"/>
    </row>
    <row r="457" spans="2:14" s="13" customFormat="1" x14ac:dyDescent="0.4">
      <c r="B457" s="25"/>
      <c r="D457" s="42"/>
      <c r="E457" s="26"/>
      <c r="G457" s="54"/>
      <c r="N457" s="42"/>
    </row>
    <row r="458" spans="2:14" s="13" customFormat="1" x14ac:dyDescent="0.4">
      <c r="B458" s="25"/>
      <c r="D458" s="42"/>
      <c r="E458" s="26"/>
      <c r="G458" s="54"/>
      <c r="N458" s="42"/>
    </row>
    <row r="459" spans="2:14" s="13" customFormat="1" x14ac:dyDescent="0.4">
      <c r="B459" s="25"/>
      <c r="D459" s="42"/>
      <c r="E459" s="26"/>
      <c r="G459" s="54"/>
      <c r="N459" s="42"/>
    </row>
    <row r="460" spans="2:14" s="13" customFormat="1" x14ac:dyDescent="0.4">
      <c r="B460" s="25"/>
      <c r="D460" s="42"/>
      <c r="E460" s="26"/>
      <c r="G460" s="54"/>
      <c r="N460" s="42"/>
    </row>
    <row r="461" spans="2:14" s="13" customFormat="1" x14ac:dyDescent="0.4">
      <c r="B461" s="25"/>
      <c r="D461" s="42"/>
      <c r="E461" s="26"/>
      <c r="G461" s="54"/>
      <c r="N461" s="42"/>
    </row>
    <row r="462" spans="2:14" s="13" customFormat="1" x14ac:dyDescent="0.4">
      <c r="B462" s="25"/>
      <c r="D462" s="42"/>
      <c r="E462" s="26"/>
      <c r="G462" s="54"/>
      <c r="N462" s="42"/>
    </row>
    <row r="463" spans="2:14" s="13" customFormat="1" x14ac:dyDescent="0.4">
      <c r="B463" s="25"/>
      <c r="D463" s="42"/>
      <c r="E463" s="26"/>
      <c r="G463" s="54"/>
      <c r="N463" s="42"/>
    </row>
    <row r="464" spans="2:14" s="13" customFormat="1" x14ac:dyDescent="0.4">
      <c r="B464" s="25"/>
      <c r="D464" s="42"/>
      <c r="E464" s="26"/>
      <c r="G464" s="54"/>
      <c r="N464" s="42"/>
    </row>
    <row r="465" spans="2:14" s="13" customFormat="1" x14ac:dyDescent="0.4">
      <c r="B465" s="25"/>
      <c r="D465" s="42"/>
      <c r="E465" s="26"/>
      <c r="G465" s="54"/>
      <c r="N465" s="42"/>
    </row>
    <row r="466" spans="2:14" s="13" customFormat="1" x14ac:dyDescent="0.4">
      <c r="B466" s="25"/>
      <c r="D466" s="42"/>
      <c r="E466" s="26"/>
      <c r="G466" s="54"/>
      <c r="N466" s="42"/>
    </row>
    <row r="467" spans="2:14" s="13" customFormat="1" x14ac:dyDescent="0.4">
      <c r="B467" s="25"/>
      <c r="D467" s="42"/>
      <c r="E467" s="26"/>
      <c r="G467" s="54"/>
      <c r="N467" s="42"/>
    </row>
    <row r="468" spans="2:14" s="13" customFormat="1" x14ac:dyDescent="0.4">
      <c r="B468" s="25"/>
      <c r="D468" s="42"/>
      <c r="E468" s="26"/>
      <c r="G468" s="54"/>
      <c r="N468" s="42"/>
    </row>
    <row r="469" spans="2:14" s="13" customFormat="1" x14ac:dyDescent="0.4">
      <c r="B469" s="25"/>
      <c r="D469" s="42"/>
      <c r="E469" s="26"/>
      <c r="G469" s="54"/>
      <c r="N469" s="42"/>
    </row>
    <row r="470" spans="2:14" s="13" customFormat="1" x14ac:dyDescent="0.4">
      <c r="B470" s="25"/>
      <c r="D470" s="42"/>
      <c r="E470" s="26"/>
      <c r="G470" s="54"/>
      <c r="N470" s="42"/>
    </row>
    <row r="471" spans="2:14" s="13" customFormat="1" x14ac:dyDescent="0.4">
      <c r="B471" s="25"/>
      <c r="D471" s="42"/>
      <c r="E471" s="26"/>
      <c r="G471" s="54"/>
      <c r="N471" s="42"/>
    </row>
    <row r="472" spans="2:14" s="13" customFormat="1" x14ac:dyDescent="0.4">
      <c r="B472" s="25"/>
      <c r="D472" s="42"/>
      <c r="E472" s="26"/>
      <c r="G472" s="54"/>
      <c r="N472" s="42"/>
    </row>
    <row r="473" spans="2:14" s="13" customFormat="1" x14ac:dyDescent="0.4">
      <c r="B473" s="25"/>
      <c r="D473" s="42"/>
      <c r="E473" s="26"/>
      <c r="G473" s="54"/>
      <c r="N473" s="42"/>
    </row>
    <row r="474" spans="2:14" s="13" customFormat="1" x14ac:dyDescent="0.4">
      <c r="B474" s="25"/>
      <c r="D474" s="42"/>
      <c r="E474" s="26"/>
      <c r="G474" s="54"/>
      <c r="N474" s="42"/>
    </row>
    <row r="475" spans="2:14" s="13" customFormat="1" x14ac:dyDescent="0.4">
      <c r="B475" s="25"/>
      <c r="D475" s="42"/>
      <c r="E475" s="26"/>
      <c r="G475" s="54"/>
      <c r="N475" s="42"/>
    </row>
    <row r="476" spans="2:14" s="13" customFormat="1" x14ac:dyDescent="0.4">
      <c r="B476" s="25"/>
      <c r="D476" s="42"/>
      <c r="E476" s="26"/>
      <c r="G476" s="54"/>
      <c r="N476" s="42"/>
    </row>
    <row r="477" spans="2:14" s="13" customFormat="1" x14ac:dyDescent="0.4">
      <c r="B477" s="25"/>
      <c r="D477" s="42"/>
      <c r="E477" s="26"/>
      <c r="G477" s="54"/>
      <c r="N477" s="42"/>
    </row>
    <row r="478" spans="2:14" s="13" customFormat="1" x14ac:dyDescent="0.4">
      <c r="B478" s="25"/>
      <c r="D478" s="42"/>
      <c r="E478" s="26"/>
      <c r="G478" s="54"/>
      <c r="N478" s="42"/>
    </row>
    <row r="479" spans="2:14" s="13" customFormat="1" x14ac:dyDescent="0.4">
      <c r="B479" s="25"/>
      <c r="D479" s="42"/>
      <c r="E479" s="26"/>
      <c r="G479" s="54"/>
      <c r="N479" s="42"/>
    </row>
    <row r="480" spans="2:14" s="13" customFormat="1" x14ac:dyDescent="0.4">
      <c r="B480" s="25"/>
      <c r="D480" s="42"/>
      <c r="E480" s="26"/>
      <c r="G480" s="54"/>
      <c r="N480" s="42"/>
    </row>
    <row r="481" spans="2:14" s="13" customFormat="1" x14ac:dyDescent="0.4">
      <c r="B481" s="25"/>
      <c r="D481" s="42"/>
      <c r="E481" s="26"/>
      <c r="G481" s="54"/>
      <c r="N481" s="42"/>
    </row>
    <row r="482" spans="2:14" s="13" customFormat="1" x14ac:dyDescent="0.4">
      <c r="B482" s="25"/>
      <c r="D482" s="42"/>
      <c r="E482" s="26"/>
      <c r="G482" s="54"/>
      <c r="N482" s="42"/>
    </row>
    <row r="483" spans="2:14" s="13" customFormat="1" x14ac:dyDescent="0.4">
      <c r="B483" s="25"/>
      <c r="D483" s="42"/>
      <c r="E483" s="26"/>
      <c r="G483" s="54"/>
      <c r="N483" s="42"/>
    </row>
    <row r="484" spans="2:14" s="13" customFormat="1" x14ac:dyDescent="0.4">
      <c r="B484" s="25"/>
      <c r="D484" s="42"/>
      <c r="E484" s="26"/>
      <c r="G484" s="54"/>
      <c r="N484" s="42"/>
    </row>
    <row r="485" spans="2:14" s="13" customFormat="1" x14ac:dyDescent="0.4">
      <c r="B485" s="25"/>
      <c r="D485" s="42"/>
      <c r="E485" s="26"/>
      <c r="G485" s="54"/>
      <c r="N485" s="42"/>
    </row>
    <row r="486" spans="2:14" s="13" customFormat="1" x14ac:dyDescent="0.4">
      <c r="B486" s="25"/>
      <c r="D486" s="42"/>
      <c r="E486" s="26"/>
      <c r="G486" s="54"/>
      <c r="N486" s="42"/>
    </row>
    <row r="487" spans="2:14" s="13" customFormat="1" x14ac:dyDescent="0.4">
      <c r="B487" s="25"/>
      <c r="D487" s="42"/>
      <c r="E487" s="26"/>
      <c r="G487" s="54"/>
      <c r="N487" s="42"/>
    </row>
    <row r="488" spans="2:14" s="13" customFormat="1" x14ac:dyDescent="0.4">
      <c r="B488" s="25"/>
      <c r="D488" s="42"/>
      <c r="E488" s="26"/>
      <c r="G488" s="54"/>
      <c r="N488" s="42"/>
    </row>
    <row r="489" spans="2:14" s="13" customFormat="1" x14ac:dyDescent="0.4">
      <c r="B489" s="25"/>
      <c r="D489" s="42"/>
      <c r="E489" s="26"/>
      <c r="G489" s="54"/>
      <c r="N489" s="42"/>
    </row>
    <row r="490" spans="2:14" s="13" customFormat="1" x14ac:dyDescent="0.4">
      <c r="B490" s="25"/>
      <c r="D490" s="42"/>
      <c r="E490" s="26"/>
      <c r="G490" s="54"/>
      <c r="N490" s="42"/>
    </row>
    <row r="491" spans="2:14" s="13" customFormat="1" x14ac:dyDescent="0.4">
      <c r="B491" s="25"/>
      <c r="D491" s="42"/>
      <c r="E491" s="26"/>
      <c r="G491" s="54"/>
      <c r="N491" s="42"/>
    </row>
    <row r="492" spans="2:14" s="13" customFormat="1" x14ac:dyDescent="0.4">
      <c r="B492" s="25"/>
      <c r="D492" s="42"/>
      <c r="E492" s="26"/>
      <c r="G492" s="54"/>
      <c r="N492" s="42"/>
    </row>
    <row r="493" spans="2:14" s="13" customFormat="1" x14ac:dyDescent="0.4">
      <c r="B493" s="25"/>
      <c r="D493" s="42"/>
      <c r="E493" s="26"/>
      <c r="G493" s="54"/>
      <c r="N493" s="42"/>
    </row>
    <row r="494" spans="2:14" s="13" customFormat="1" x14ac:dyDescent="0.4">
      <c r="B494" s="25"/>
      <c r="D494" s="42"/>
      <c r="E494" s="26"/>
      <c r="G494" s="54"/>
      <c r="N494" s="42"/>
    </row>
    <row r="495" spans="2:14" s="13" customFormat="1" x14ac:dyDescent="0.4">
      <c r="B495" s="25"/>
      <c r="D495" s="42"/>
      <c r="E495" s="26"/>
      <c r="G495" s="54"/>
      <c r="N495" s="42"/>
    </row>
    <row r="496" spans="2:14" s="13" customFormat="1" x14ac:dyDescent="0.4">
      <c r="B496" s="25"/>
      <c r="D496" s="42"/>
      <c r="E496" s="26"/>
      <c r="G496" s="54"/>
      <c r="N496" s="42"/>
    </row>
    <row r="497" spans="2:14" s="13" customFormat="1" x14ac:dyDescent="0.4">
      <c r="B497" s="25"/>
      <c r="D497" s="42"/>
      <c r="E497" s="26"/>
      <c r="G497" s="54"/>
      <c r="N497" s="42"/>
    </row>
    <row r="498" spans="2:14" s="13" customFormat="1" x14ac:dyDescent="0.4">
      <c r="B498" s="25"/>
      <c r="D498" s="42"/>
      <c r="E498" s="26"/>
      <c r="G498" s="54"/>
      <c r="N498" s="42"/>
    </row>
    <row r="499" spans="2:14" s="13" customFormat="1" x14ac:dyDescent="0.4">
      <c r="B499" s="25"/>
      <c r="D499" s="42"/>
      <c r="E499" s="26"/>
      <c r="G499" s="54"/>
      <c r="N499" s="42"/>
    </row>
    <row r="500" spans="2:14" s="13" customFormat="1" x14ac:dyDescent="0.4">
      <c r="B500" s="25"/>
      <c r="D500" s="42"/>
      <c r="E500" s="26"/>
      <c r="G500" s="54"/>
      <c r="N500" s="42"/>
    </row>
    <row r="501" spans="2:14" s="13" customFormat="1" x14ac:dyDescent="0.4">
      <c r="B501" s="25"/>
      <c r="D501" s="42"/>
      <c r="E501" s="26"/>
      <c r="G501" s="54"/>
      <c r="N501" s="42"/>
    </row>
    <row r="502" spans="2:14" s="13" customFormat="1" x14ac:dyDescent="0.4">
      <c r="B502" s="25"/>
      <c r="D502" s="42"/>
      <c r="E502" s="26"/>
      <c r="G502" s="54"/>
      <c r="N502" s="42"/>
    </row>
    <row r="503" spans="2:14" s="13" customFormat="1" x14ac:dyDescent="0.4">
      <c r="B503" s="25"/>
      <c r="D503" s="42"/>
      <c r="E503" s="26"/>
      <c r="G503" s="54"/>
      <c r="N503" s="42"/>
    </row>
    <row r="504" spans="2:14" s="13" customFormat="1" x14ac:dyDescent="0.4">
      <c r="B504" s="25"/>
      <c r="D504" s="42"/>
      <c r="E504" s="26"/>
      <c r="G504" s="54"/>
      <c r="N504" s="42"/>
    </row>
    <row r="505" spans="2:14" s="13" customFormat="1" x14ac:dyDescent="0.4">
      <c r="B505" s="25"/>
      <c r="D505" s="42"/>
      <c r="E505" s="26"/>
      <c r="G505" s="54"/>
      <c r="N505" s="42"/>
    </row>
    <row r="506" spans="2:14" s="13" customFormat="1" x14ac:dyDescent="0.4">
      <c r="B506" s="25"/>
      <c r="D506" s="42"/>
      <c r="E506" s="26"/>
      <c r="G506" s="54"/>
      <c r="N506" s="42"/>
    </row>
    <row r="507" spans="2:14" s="13" customFormat="1" x14ac:dyDescent="0.4">
      <c r="B507" s="25"/>
      <c r="D507" s="42"/>
      <c r="E507" s="26"/>
      <c r="G507" s="54"/>
      <c r="N507" s="42"/>
    </row>
    <row r="508" spans="2:14" s="13" customFormat="1" x14ac:dyDescent="0.4">
      <c r="B508" s="25"/>
      <c r="D508" s="42"/>
      <c r="E508" s="26"/>
      <c r="G508" s="54"/>
      <c r="N508" s="42"/>
    </row>
    <row r="509" spans="2:14" s="13" customFormat="1" x14ac:dyDescent="0.4">
      <c r="B509" s="25"/>
      <c r="D509" s="42"/>
      <c r="E509" s="26"/>
      <c r="G509" s="54"/>
      <c r="N509" s="42"/>
    </row>
    <row r="510" spans="2:14" s="13" customFormat="1" x14ac:dyDescent="0.4">
      <c r="B510" s="25"/>
      <c r="D510" s="42"/>
      <c r="E510" s="26"/>
      <c r="G510" s="54"/>
      <c r="N510" s="42"/>
    </row>
    <row r="511" spans="2:14" s="13" customFormat="1" x14ac:dyDescent="0.4">
      <c r="B511" s="25"/>
      <c r="D511" s="42"/>
      <c r="E511" s="26"/>
      <c r="G511" s="54"/>
      <c r="N511" s="42"/>
    </row>
    <row r="512" spans="2:14" s="13" customFormat="1" x14ac:dyDescent="0.4">
      <c r="B512" s="25"/>
      <c r="D512" s="42"/>
      <c r="E512" s="26"/>
      <c r="G512" s="54"/>
      <c r="N512" s="42"/>
    </row>
    <row r="513" spans="2:14" s="13" customFormat="1" x14ac:dyDescent="0.4">
      <c r="B513" s="25"/>
      <c r="D513" s="42"/>
      <c r="E513" s="26"/>
      <c r="G513" s="54"/>
      <c r="N513" s="42"/>
    </row>
    <row r="514" spans="2:14" s="13" customFormat="1" x14ac:dyDescent="0.4">
      <c r="B514" s="25"/>
      <c r="D514" s="42"/>
      <c r="E514" s="26"/>
      <c r="G514" s="54"/>
      <c r="N514" s="42"/>
    </row>
    <row r="515" spans="2:14" s="13" customFormat="1" x14ac:dyDescent="0.4">
      <c r="B515" s="25"/>
      <c r="D515" s="42"/>
      <c r="E515" s="26"/>
      <c r="G515" s="54"/>
      <c r="N515" s="42"/>
    </row>
    <row r="516" spans="2:14" s="13" customFormat="1" x14ac:dyDescent="0.4">
      <c r="B516" s="25"/>
      <c r="D516" s="42"/>
      <c r="E516" s="26"/>
      <c r="G516" s="54"/>
      <c r="N516" s="42"/>
    </row>
    <row r="517" spans="2:14" s="13" customFormat="1" x14ac:dyDescent="0.4">
      <c r="B517" s="25"/>
      <c r="D517" s="42"/>
      <c r="E517" s="26"/>
      <c r="G517" s="54"/>
      <c r="N517" s="42"/>
    </row>
    <row r="518" spans="2:14" s="13" customFormat="1" x14ac:dyDescent="0.4">
      <c r="B518" s="25"/>
      <c r="D518" s="42"/>
      <c r="E518" s="26"/>
      <c r="G518" s="54"/>
      <c r="N518" s="42"/>
    </row>
    <row r="519" spans="2:14" s="13" customFormat="1" x14ac:dyDescent="0.4">
      <c r="B519" s="25"/>
      <c r="D519" s="42"/>
      <c r="E519" s="26"/>
      <c r="G519" s="54"/>
      <c r="N519" s="42"/>
    </row>
    <row r="520" spans="2:14" s="13" customFormat="1" x14ac:dyDescent="0.4">
      <c r="B520" s="25"/>
      <c r="D520" s="42"/>
      <c r="E520" s="26"/>
      <c r="G520" s="54"/>
      <c r="N520" s="42"/>
    </row>
    <row r="521" spans="2:14" s="13" customFormat="1" x14ac:dyDescent="0.4">
      <c r="B521" s="25"/>
      <c r="D521" s="42"/>
      <c r="E521" s="26"/>
      <c r="G521" s="54"/>
      <c r="N521" s="42"/>
    </row>
    <row r="522" spans="2:14" s="13" customFormat="1" x14ac:dyDescent="0.4">
      <c r="B522" s="25"/>
      <c r="D522" s="42"/>
      <c r="E522" s="26"/>
      <c r="G522" s="54"/>
      <c r="N522" s="42"/>
    </row>
    <row r="523" spans="2:14" s="13" customFormat="1" x14ac:dyDescent="0.4">
      <c r="B523" s="25"/>
      <c r="D523" s="42"/>
      <c r="E523" s="26"/>
      <c r="G523" s="54"/>
      <c r="N523" s="42"/>
    </row>
    <row r="524" spans="2:14" s="13" customFormat="1" x14ac:dyDescent="0.4">
      <c r="B524" s="25"/>
      <c r="D524" s="42"/>
      <c r="E524" s="26"/>
      <c r="G524" s="54"/>
      <c r="N524" s="42"/>
    </row>
    <row r="525" spans="2:14" s="13" customFormat="1" x14ac:dyDescent="0.4">
      <c r="B525" s="25"/>
      <c r="D525" s="42"/>
      <c r="E525" s="26"/>
      <c r="G525" s="54"/>
      <c r="N525" s="42"/>
    </row>
    <row r="526" spans="2:14" s="13" customFormat="1" x14ac:dyDescent="0.4">
      <c r="B526" s="25"/>
      <c r="D526" s="42"/>
      <c r="E526" s="26"/>
      <c r="G526" s="54"/>
      <c r="N526" s="42"/>
    </row>
    <row r="527" spans="2:14" s="13" customFormat="1" x14ac:dyDescent="0.4">
      <c r="B527" s="25"/>
      <c r="D527" s="42"/>
      <c r="E527" s="26"/>
      <c r="G527" s="54"/>
      <c r="N527" s="42"/>
    </row>
    <row r="528" spans="2:14" s="13" customFormat="1" x14ac:dyDescent="0.4">
      <c r="B528" s="25"/>
      <c r="D528" s="42"/>
      <c r="E528" s="26"/>
      <c r="G528" s="54"/>
      <c r="N528" s="42"/>
    </row>
    <row r="529" spans="2:14" s="13" customFormat="1" x14ac:dyDescent="0.4">
      <c r="B529" s="25"/>
      <c r="D529" s="42"/>
      <c r="E529" s="26"/>
      <c r="G529" s="54"/>
      <c r="N529" s="42"/>
    </row>
    <row r="530" spans="2:14" s="13" customFormat="1" x14ac:dyDescent="0.4">
      <c r="B530" s="25"/>
      <c r="D530" s="42"/>
      <c r="E530" s="26"/>
      <c r="G530" s="54"/>
      <c r="N530" s="42"/>
    </row>
    <row r="531" spans="2:14" s="13" customFormat="1" x14ac:dyDescent="0.4">
      <c r="B531" s="25"/>
      <c r="D531" s="42"/>
      <c r="E531" s="26"/>
      <c r="G531" s="54"/>
      <c r="N531" s="42"/>
    </row>
    <row r="532" spans="2:14" s="13" customFormat="1" x14ac:dyDescent="0.4">
      <c r="B532" s="25"/>
      <c r="D532" s="42"/>
      <c r="E532" s="26"/>
      <c r="G532" s="54"/>
      <c r="N532" s="42"/>
    </row>
    <row r="533" spans="2:14" s="13" customFormat="1" x14ac:dyDescent="0.4">
      <c r="B533" s="25"/>
      <c r="D533" s="42"/>
      <c r="E533" s="26"/>
      <c r="G533" s="54"/>
      <c r="N533" s="42"/>
    </row>
    <row r="534" spans="2:14" s="13" customFormat="1" x14ac:dyDescent="0.4">
      <c r="B534" s="25"/>
      <c r="D534" s="42"/>
      <c r="E534" s="26"/>
      <c r="G534" s="54"/>
      <c r="N534" s="42"/>
    </row>
    <row r="535" spans="2:14" s="13" customFormat="1" x14ac:dyDescent="0.4">
      <c r="B535" s="25"/>
      <c r="D535" s="42"/>
      <c r="E535" s="26"/>
      <c r="G535" s="54"/>
      <c r="N535" s="42"/>
    </row>
    <row r="536" spans="2:14" s="13" customFormat="1" x14ac:dyDescent="0.4">
      <c r="B536" s="25"/>
      <c r="D536" s="42"/>
      <c r="E536" s="26"/>
      <c r="G536" s="54"/>
      <c r="N536" s="42"/>
    </row>
    <row r="537" spans="2:14" s="13" customFormat="1" x14ac:dyDescent="0.4">
      <c r="B537" s="25"/>
      <c r="D537" s="42"/>
      <c r="E537" s="26"/>
      <c r="G537" s="54"/>
      <c r="N537" s="42"/>
    </row>
    <row r="538" spans="2:14" s="13" customFormat="1" x14ac:dyDescent="0.4">
      <c r="B538" s="25"/>
      <c r="D538" s="42"/>
      <c r="E538" s="26"/>
      <c r="G538" s="54"/>
      <c r="N538" s="42"/>
    </row>
    <row r="539" spans="2:14" s="13" customFormat="1" x14ac:dyDescent="0.4">
      <c r="B539" s="25"/>
      <c r="D539" s="42"/>
      <c r="E539" s="26"/>
      <c r="G539" s="54"/>
      <c r="N539" s="42"/>
    </row>
    <row r="540" spans="2:14" s="13" customFormat="1" x14ac:dyDescent="0.4">
      <c r="B540" s="25"/>
      <c r="D540" s="42"/>
      <c r="E540" s="26"/>
      <c r="G540" s="54"/>
      <c r="N540" s="42"/>
    </row>
    <row r="541" spans="2:14" s="13" customFormat="1" x14ac:dyDescent="0.4">
      <c r="B541" s="25"/>
      <c r="D541" s="42"/>
      <c r="E541" s="26"/>
      <c r="G541" s="54"/>
      <c r="N541" s="42"/>
    </row>
    <row r="542" spans="2:14" s="13" customFormat="1" x14ac:dyDescent="0.4">
      <c r="B542" s="25"/>
      <c r="D542" s="42"/>
      <c r="E542" s="26"/>
      <c r="G542" s="54"/>
      <c r="N542" s="42"/>
    </row>
    <row r="543" spans="2:14" s="13" customFormat="1" x14ac:dyDescent="0.4">
      <c r="B543" s="25"/>
      <c r="D543" s="42"/>
      <c r="E543" s="26"/>
      <c r="G543" s="54"/>
      <c r="N543" s="42"/>
    </row>
    <row r="544" spans="2:14" s="13" customFormat="1" x14ac:dyDescent="0.4">
      <c r="B544" s="25"/>
      <c r="D544" s="42"/>
      <c r="E544" s="26"/>
      <c r="G544" s="54"/>
      <c r="N544" s="42"/>
    </row>
    <row r="545" spans="2:14" s="13" customFormat="1" x14ac:dyDescent="0.4">
      <c r="B545" s="25"/>
      <c r="D545" s="42"/>
      <c r="E545" s="26"/>
      <c r="G545" s="54"/>
      <c r="N545" s="42"/>
    </row>
    <row r="546" spans="2:14" s="13" customFormat="1" x14ac:dyDescent="0.4">
      <c r="B546" s="25"/>
      <c r="D546" s="42"/>
      <c r="E546" s="26"/>
      <c r="G546" s="54"/>
      <c r="N546" s="42"/>
    </row>
    <row r="547" spans="2:14" s="13" customFormat="1" x14ac:dyDescent="0.4">
      <c r="B547" s="25"/>
      <c r="D547" s="42"/>
      <c r="E547" s="26"/>
      <c r="G547" s="54"/>
      <c r="N547" s="42"/>
    </row>
    <row r="548" spans="2:14" s="13" customFormat="1" x14ac:dyDescent="0.4">
      <c r="B548" s="25"/>
      <c r="D548" s="42"/>
      <c r="E548" s="26"/>
      <c r="G548" s="54"/>
      <c r="N548" s="42"/>
    </row>
    <row r="549" spans="2:14" s="13" customFormat="1" x14ac:dyDescent="0.4">
      <c r="B549" s="25"/>
      <c r="D549" s="42"/>
      <c r="E549" s="26"/>
      <c r="G549" s="54"/>
      <c r="N549" s="42"/>
    </row>
    <row r="550" spans="2:14" s="13" customFormat="1" x14ac:dyDescent="0.4">
      <c r="B550" s="25"/>
      <c r="D550" s="42"/>
      <c r="E550" s="26"/>
      <c r="G550" s="54"/>
      <c r="N550" s="42"/>
    </row>
    <row r="551" spans="2:14" s="13" customFormat="1" x14ac:dyDescent="0.4">
      <c r="B551" s="25"/>
      <c r="D551" s="42"/>
      <c r="E551" s="26"/>
      <c r="G551" s="54"/>
      <c r="N551" s="42"/>
    </row>
    <row r="552" spans="2:14" s="13" customFormat="1" x14ac:dyDescent="0.4">
      <c r="B552" s="25"/>
      <c r="D552" s="42"/>
      <c r="E552" s="26"/>
      <c r="G552" s="54"/>
      <c r="N552" s="42"/>
    </row>
    <row r="553" spans="2:14" s="13" customFormat="1" x14ac:dyDescent="0.4">
      <c r="B553" s="25"/>
      <c r="D553" s="42"/>
      <c r="E553" s="26"/>
      <c r="G553" s="54"/>
      <c r="N553" s="42"/>
    </row>
    <row r="554" spans="2:14" s="13" customFormat="1" x14ac:dyDescent="0.4">
      <c r="B554" s="25"/>
      <c r="D554" s="42"/>
      <c r="E554" s="26"/>
      <c r="G554" s="54"/>
      <c r="N554" s="42"/>
    </row>
    <row r="555" spans="2:14" s="13" customFormat="1" x14ac:dyDescent="0.4">
      <c r="B555" s="25"/>
      <c r="D555" s="42"/>
      <c r="E555" s="26"/>
      <c r="G555" s="54"/>
      <c r="N555" s="42"/>
    </row>
    <row r="556" spans="2:14" s="13" customFormat="1" x14ac:dyDescent="0.4">
      <c r="B556" s="25"/>
      <c r="D556" s="42"/>
      <c r="E556" s="26"/>
      <c r="G556" s="54"/>
      <c r="N556" s="42"/>
    </row>
    <row r="557" spans="2:14" s="13" customFormat="1" x14ac:dyDescent="0.4">
      <c r="B557" s="25"/>
      <c r="D557" s="42"/>
      <c r="E557" s="26"/>
      <c r="G557" s="54"/>
      <c r="N557" s="42"/>
    </row>
    <row r="558" spans="2:14" s="13" customFormat="1" x14ac:dyDescent="0.4">
      <c r="B558" s="25"/>
      <c r="D558" s="42"/>
      <c r="E558" s="26"/>
      <c r="G558" s="54"/>
      <c r="N558" s="42"/>
    </row>
    <row r="559" spans="2:14" s="13" customFormat="1" x14ac:dyDescent="0.4">
      <c r="B559" s="25"/>
      <c r="D559" s="42"/>
      <c r="E559" s="26"/>
      <c r="G559" s="54"/>
      <c r="N559" s="42"/>
    </row>
    <row r="560" spans="2:14" s="13" customFormat="1" x14ac:dyDescent="0.4">
      <c r="B560" s="25"/>
      <c r="D560" s="42"/>
      <c r="E560" s="26"/>
      <c r="G560" s="54"/>
      <c r="N560" s="42"/>
    </row>
    <row r="561" spans="2:14" s="13" customFormat="1" x14ac:dyDescent="0.4">
      <c r="B561" s="25"/>
      <c r="D561" s="42"/>
      <c r="E561" s="26"/>
      <c r="G561" s="54"/>
      <c r="N561" s="42"/>
    </row>
    <row r="562" spans="2:14" s="13" customFormat="1" x14ac:dyDescent="0.4">
      <c r="B562" s="25"/>
      <c r="D562" s="42"/>
      <c r="E562" s="26"/>
      <c r="G562" s="54"/>
      <c r="N562" s="42"/>
    </row>
    <row r="563" spans="2:14" s="13" customFormat="1" x14ac:dyDescent="0.4">
      <c r="B563" s="25"/>
      <c r="D563" s="42"/>
      <c r="E563" s="26"/>
      <c r="G563" s="54"/>
      <c r="N563" s="42"/>
    </row>
    <row r="564" spans="2:14" s="13" customFormat="1" x14ac:dyDescent="0.4">
      <c r="B564" s="25"/>
      <c r="D564" s="42"/>
      <c r="E564" s="26"/>
      <c r="G564" s="54"/>
      <c r="N564" s="42"/>
    </row>
    <row r="565" spans="2:14" s="13" customFormat="1" x14ac:dyDescent="0.4">
      <c r="B565" s="25"/>
      <c r="D565" s="42"/>
      <c r="E565" s="26"/>
      <c r="G565" s="54"/>
      <c r="N565" s="42"/>
    </row>
    <row r="566" spans="2:14" s="13" customFormat="1" x14ac:dyDescent="0.4">
      <c r="B566" s="25"/>
      <c r="D566" s="42"/>
      <c r="E566" s="26"/>
      <c r="G566" s="54"/>
      <c r="N566" s="42"/>
    </row>
    <row r="567" spans="2:14" s="13" customFormat="1" x14ac:dyDescent="0.4">
      <c r="B567" s="25"/>
      <c r="D567" s="42"/>
      <c r="E567" s="26"/>
      <c r="G567" s="54"/>
      <c r="N567" s="42"/>
    </row>
    <row r="568" spans="2:14" s="13" customFormat="1" x14ac:dyDescent="0.4">
      <c r="B568" s="25"/>
      <c r="D568" s="42"/>
      <c r="E568" s="26"/>
      <c r="G568" s="54"/>
      <c r="N568" s="42"/>
    </row>
    <row r="569" spans="2:14" s="13" customFormat="1" x14ac:dyDescent="0.4">
      <c r="B569" s="25"/>
      <c r="D569" s="42"/>
      <c r="E569" s="26"/>
      <c r="G569" s="54"/>
      <c r="N569" s="42"/>
    </row>
    <row r="570" spans="2:14" s="13" customFormat="1" x14ac:dyDescent="0.4">
      <c r="B570" s="25"/>
      <c r="D570" s="42"/>
      <c r="E570" s="26"/>
      <c r="G570" s="54"/>
      <c r="N570" s="42"/>
    </row>
    <row r="571" spans="2:14" s="13" customFormat="1" x14ac:dyDescent="0.4">
      <c r="B571" s="25"/>
      <c r="D571" s="42"/>
      <c r="E571" s="26"/>
      <c r="G571" s="54"/>
      <c r="N571" s="42"/>
    </row>
    <row r="572" spans="2:14" s="13" customFormat="1" x14ac:dyDescent="0.4">
      <c r="B572" s="25"/>
      <c r="D572" s="42"/>
      <c r="E572" s="26"/>
      <c r="G572" s="54"/>
      <c r="N572" s="42"/>
    </row>
    <row r="573" spans="2:14" s="13" customFormat="1" x14ac:dyDescent="0.4">
      <c r="B573" s="25"/>
      <c r="D573" s="42"/>
      <c r="E573" s="26"/>
      <c r="G573" s="54"/>
      <c r="N573" s="42"/>
    </row>
    <row r="574" spans="2:14" s="13" customFormat="1" x14ac:dyDescent="0.4">
      <c r="B574" s="25"/>
      <c r="D574" s="42"/>
      <c r="E574" s="26"/>
      <c r="G574" s="54"/>
      <c r="N574" s="42"/>
    </row>
    <row r="575" spans="2:14" s="13" customFormat="1" x14ac:dyDescent="0.4">
      <c r="B575" s="25"/>
      <c r="D575" s="42"/>
      <c r="E575" s="26"/>
      <c r="G575" s="54"/>
      <c r="N575" s="42"/>
    </row>
    <row r="576" spans="2:14" s="13" customFormat="1" x14ac:dyDescent="0.4">
      <c r="B576" s="25"/>
      <c r="D576" s="42"/>
      <c r="E576" s="26"/>
      <c r="G576" s="54"/>
      <c r="N576" s="42"/>
    </row>
    <row r="577" spans="2:14" s="13" customFormat="1" x14ac:dyDescent="0.4">
      <c r="B577" s="25"/>
      <c r="D577" s="42"/>
      <c r="E577" s="26"/>
      <c r="G577" s="54"/>
      <c r="N577" s="42"/>
    </row>
    <row r="578" spans="2:14" s="13" customFormat="1" x14ac:dyDescent="0.4">
      <c r="B578" s="25"/>
      <c r="D578" s="42"/>
      <c r="E578" s="26"/>
      <c r="G578" s="54"/>
      <c r="N578" s="42"/>
    </row>
    <row r="579" spans="2:14" s="13" customFormat="1" x14ac:dyDescent="0.4">
      <c r="B579" s="25"/>
      <c r="D579" s="42"/>
      <c r="E579" s="26"/>
      <c r="G579" s="54"/>
      <c r="N579" s="42"/>
    </row>
    <row r="580" spans="2:14" s="13" customFormat="1" x14ac:dyDescent="0.4">
      <c r="B580" s="25"/>
      <c r="D580" s="42"/>
      <c r="E580" s="26"/>
      <c r="G580" s="54"/>
      <c r="N580" s="42"/>
    </row>
    <row r="581" spans="2:14" s="13" customFormat="1" x14ac:dyDescent="0.4">
      <c r="B581" s="25"/>
      <c r="D581" s="42"/>
      <c r="E581" s="26"/>
      <c r="G581" s="54"/>
      <c r="N581" s="42"/>
    </row>
    <row r="582" spans="2:14" s="13" customFormat="1" x14ac:dyDescent="0.4">
      <c r="B582" s="25"/>
      <c r="D582" s="42"/>
      <c r="E582" s="26"/>
      <c r="G582" s="54"/>
      <c r="N582" s="42"/>
    </row>
    <row r="583" spans="2:14" s="13" customFormat="1" x14ac:dyDescent="0.4">
      <c r="B583" s="25"/>
      <c r="D583" s="42"/>
      <c r="E583" s="26"/>
      <c r="G583" s="54"/>
      <c r="N583" s="42"/>
    </row>
    <row r="584" spans="2:14" s="13" customFormat="1" x14ac:dyDescent="0.4">
      <c r="B584" s="25"/>
      <c r="D584" s="42"/>
      <c r="E584" s="26"/>
      <c r="G584" s="54"/>
      <c r="N584" s="42"/>
    </row>
    <row r="585" spans="2:14" s="13" customFormat="1" x14ac:dyDescent="0.4">
      <c r="B585" s="25"/>
      <c r="D585" s="42"/>
      <c r="E585" s="26"/>
      <c r="G585" s="54"/>
      <c r="N585" s="42"/>
    </row>
    <row r="586" spans="2:14" s="13" customFormat="1" x14ac:dyDescent="0.4">
      <c r="B586" s="25"/>
      <c r="D586" s="42"/>
      <c r="E586" s="26"/>
      <c r="G586" s="54"/>
      <c r="N586" s="42"/>
    </row>
    <row r="587" spans="2:14" s="13" customFormat="1" x14ac:dyDescent="0.4">
      <c r="B587" s="25"/>
      <c r="D587" s="42"/>
      <c r="E587" s="26"/>
      <c r="G587" s="54"/>
      <c r="N587" s="42"/>
    </row>
    <row r="588" spans="2:14" s="13" customFormat="1" x14ac:dyDescent="0.4">
      <c r="B588" s="25"/>
      <c r="D588" s="42"/>
      <c r="E588" s="26"/>
      <c r="G588" s="54"/>
      <c r="N588" s="42"/>
    </row>
    <row r="589" spans="2:14" s="13" customFormat="1" x14ac:dyDescent="0.4">
      <c r="B589" s="25"/>
      <c r="D589" s="42"/>
      <c r="E589" s="26"/>
      <c r="G589" s="54"/>
      <c r="N589" s="42"/>
    </row>
    <row r="590" spans="2:14" s="13" customFormat="1" x14ac:dyDescent="0.4">
      <c r="B590" s="25"/>
      <c r="D590" s="42"/>
      <c r="E590" s="26"/>
      <c r="G590" s="54"/>
      <c r="N590" s="42"/>
    </row>
    <row r="591" spans="2:14" s="13" customFormat="1" x14ac:dyDescent="0.4">
      <c r="B591" s="25"/>
      <c r="D591" s="42"/>
      <c r="E591" s="26"/>
      <c r="G591" s="54"/>
      <c r="N591" s="42"/>
    </row>
    <row r="592" spans="2:14" s="13" customFormat="1" x14ac:dyDescent="0.4">
      <c r="B592" s="25"/>
      <c r="D592" s="42"/>
      <c r="E592" s="26"/>
      <c r="G592" s="54"/>
      <c r="N592" s="42"/>
    </row>
    <row r="593" spans="2:14" s="13" customFormat="1" x14ac:dyDescent="0.4">
      <c r="B593" s="25"/>
      <c r="D593" s="42"/>
      <c r="E593" s="26"/>
      <c r="G593" s="54"/>
      <c r="N593" s="42"/>
    </row>
    <row r="594" spans="2:14" s="13" customFormat="1" x14ac:dyDescent="0.4">
      <c r="B594" s="25"/>
      <c r="D594" s="42"/>
      <c r="E594" s="26"/>
      <c r="G594" s="54"/>
      <c r="N594" s="42"/>
    </row>
    <row r="595" spans="2:14" s="13" customFormat="1" x14ac:dyDescent="0.4">
      <c r="B595" s="25"/>
      <c r="D595" s="42"/>
      <c r="E595" s="26"/>
      <c r="G595" s="54"/>
      <c r="N595" s="42"/>
    </row>
    <row r="596" spans="2:14" s="13" customFormat="1" x14ac:dyDescent="0.4">
      <c r="B596" s="25"/>
      <c r="D596" s="42"/>
      <c r="E596" s="26"/>
      <c r="G596" s="54"/>
      <c r="N596" s="42"/>
    </row>
    <row r="597" spans="2:14" s="13" customFormat="1" x14ac:dyDescent="0.4">
      <c r="B597" s="25"/>
      <c r="D597" s="42"/>
      <c r="E597" s="26"/>
      <c r="G597" s="54"/>
      <c r="N597" s="42"/>
    </row>
    <row r="598" spans="2:14" s="13" customFormat="1" x14ac:dyDescent="0.4">
      <c r="B598" s="25"/>
      <c r="D598" s="42"/>
      <c r="E598" s="26"/>
      <c r="G598" s="54"/>
      <c r="N598" s="42"/>
    </row>
    <row r="599" spans="2:14" s="13" customFormat="1" x14ac:dyDescent="0.4">
      <c r="B599" s="25"/>
      <c r="D599" s="42"/>
      <c r="E599" s="26"/>
      <c r="G599" s="54"/>
      <c r="N599" s="42"/>
    </row>
    <row r="600" spans="2:14" s="13" customFormat="1" x14ac:dyDescent="0.4">
      <c r="B600" s="25"/>
      <c r="D600" s="42"/>
      <c r="E600" s="26"/>
      <c r="G600" s="54"/>
      <c r="N600" s="42"/>
    </row>
    <row r="601" spans="2:14" s="13" customFormat="1" x14ac:dyDescent="0.4">
      <c r="B601" s="25"/>
      <c r="D601" s="42"/>
      <c r="E601" s="26"/>
      <c r="G601" s="54"/>
      <c r="N601" s="42"/>
    </row>
    <row r="602" spans="2:14" s="13" customFormat="1" x14ac:dyDescent="0.4">
      <c r="B602" s="25"/>
      <c r="D602" s="42"/>
      <c r="E602" s="26"/>
      <c r="G602" s="54"/>
      <c r="N602" s="42"/>
    </row>
    <row r="603" spans="2:14" s="13" customFormat="1" x14ac:dyDescent="0.4">
      <c r="B603" s="25"/>
      <c r="D603" s="42"/>
      <c r="E603" s="26"/>
      <c r="G603" s="54"/>
      <c r="N603" s="42"/>
    </row>
    <row r="604" spans="2:14" s="13" customFormat="1" x14ac:dyDescent="0.4">
      <c r="B604" s="25"/>
      <c r="D604" s="42"/>
      <c r="E604" s="26"/>
      <c r="G604" s="54"/>
      <c r="N604" s="42"/>
    </row>
    <row r="605" spans="2:14" s="13" customFormat="1" x14ac:dyDescent="0.4">
      <c r="B605" s="25"/>
      <c r="D605" s="42"/>
      <c r="E605" s="26"/>
      <c r="G605" s="54"/>
      <c r="N605" s="42"/>
    </row>
    <row r="606" spans="2:14" s="13" customFormat="1" x14ac:dyDescent="0.4">
      <c r="B606" s="25"/>
      <c r="D606" s="42"/>
      <c r="E606" s="26"/>
      <c r="G606" s="54"/>
      <c r="N606" s="42"/>
    </row>
    <row r="607" spans="2:14" s="13" customFormat="1" x14ac:dyDescent="0.4">
      <c r="B607" s="25"/>
      <c r="D607" s="42"/>
      <c r="E607" s="26"/>
      <c r="G607" s="54"/>
      <c r="N607" s="42"/>
    </row>
    <row r="608" spans="2:14" s="13" customFormat="1" x14ac:dyDescent="0.4">
      <c r="B608" s="25"/>
      <c r="D608" s="42"/>
      <c r="E608" s="26"/>
      <c r="G608" s="54"/>
      <c r="N608" s="42"/>
    </row>
    <row r="609" spans="2:14" s="13" customFormat="1" x14ac:dyDescent="0.4">
      <c r="B609" s="25"/>
      <c r="D609" s="42"/>
      <c r="E609" s="26"/>
      <c r="G609" s="54"/>
      <c r="N609" s="42"/>
    </row>
    <row r="610" spans="2:14" s="13" customFormat="1" x14ac:dyDescent="0.4">
      <c r="B610" s="25"/>
      <c r="D610" s="42"/>
      <c r="E610" s="26"/>
      <c r="G610" s="54"/>
      <c r="N610" s="42"/>
    </row>
    <row r="611" spans="2:14" s="13" customFormat="1" x14ac:dyDescent="0.4">
      <c r="B611" s="25"/>
      <c r="D611" s="42"/>
      <c r="E611" s="26"/>
      <c r="G611" s="54"/>
      <c r="N611" s="42"/>
    </row>
    <row r="612" spans="2:14" s="13" customFormat="1" x14ac:dyDescent="0.4">
      <c r="B612" s="25"/>
      <c r="D612" s="42"/>
      <c r="E612" s="26"/>
      <c r="G612" s="54"/>
      <c r="N612" s="42"/>
    </row>
    <row r="613" spans="2:14" s="13" customFormat="1" x14ac:dyDescent="0.4">
      <c r="B613" s="25"/>
      <c r="D613" s="42"/>
      <c r="E613" s="26"/>
      <c r="G613" s="54"/>
      <c r="N613" s="42"/>
    </row>
    <row r="614" spans="2:14" s="13" customFormat="1" x14ac:dyDescent="0.4">
      <c r="B614" s="25"/>
      <c r="D614" s="42"/>
      <c r="E614" s="26"/>
      <c r="G614" s="54"/>
      <c r="N614" s="42"/>
    </row>
    <row r="615" spans="2:14" s="13" customFormat="1" x14ac:dyDescent="0.4">
      <c r="B615" s="25"/>
      <c r="D615" s="42"/>
      <c r="E615" s="26"/>
      <c r="G615" s="54"/>
      <c r="N615" s="42"/>
    </row>
    <row r="616" spans="2:14" s="13" customFormat="1" x14ac:dyDescent="0.4">
      <c r="B616" s="25"/>
      <c r="D616" s="42"/>
      <c r="E616" s="26"/>
      <c r="G616" s="54"/>
      <c r="N616" s="42"/>
    </row>
    <row r="617" spans="2:14" s="13" customFormat="1" x14ac:dyDescent="0.4">
      <c r="B617" s="25"/>
      <c r="D617" s="42"/>
      <c r="E617" s="26"/>
      <c r="G617" s="54"/>
      <c r="N617" s="42"/>
    </row>
    <row r="618" spans="2:14" s="13" customFormat="1" x14ac:dyDescent="0.4">
      <c r="B618" s="25"/>
      <c r="D618" s="42"/>
      <c r="E618" s="26"/>
      <c r="G618" s="54"/>
      <c r="N618" s="42"/>
    </row>
    <row r="619" spans="2:14" s="13" customFormat="1" x14ac:dyDescent="0.4">
      <c r="B619" s="25"/>
      <c r="D619" s="42"/>
      <c r="E619" s="26"/>
      <c r="G619" s="54"/>
      <c r="N619" s="42"/>
    </row>
    <row r="620" spans="2:14" s="13" customFormat="1" x14ac:dyDescent="0.4">
      <c r="B620" s="25"/>
      <c r="D620" s="42"/>
      <c r="E620" s="26"/>
      <c r="G620" s="54"/>
      <c r="N620" s="42"/>
    </row>
    <row r="621" spans="2:14" s="13" customFormat="1" x14ac:dyDescent="0.4">
      <c r="B621" s="25"/>
      <c r="D621" s="42"/>
      <c r="E621" s="26"/>
      <c r="G621" s="54"/>
      <c r="N621" s="42"/>
    </row>
    <row r="622" spans="2:14" s="13" customFormat="1" x14ac:dyDescent="0.4">
      <c r="B622" s="25"/>
      <c r="D622" s="42"/>
      <c r="E622" s="26"/>
      <c r="G622" s="54"/>
      <c r="N622" s="42"/>
    </row>
    <row r="623" spans="2:14" s="13" customFormat="1" x14ac:dyDescent="0.4">
      <c r="B623" s="25"/>
      <c r="D623" s="42"/>
      <c r="E623" s="26"/>
      <c r="G623" s="54"/>
      <c r="N623" s="42"/>
    </row>
    <row r="624" spans="2:14" s="13" customFormat="1" x14ac:dyDescent="0.4">
      <c r="B624" s="25"/>
      <c r="D624" s="42"/>
      <c r="E624" s="26"/>
      <c r="G624" s="54"/>
      <c r="N624" s="42"/>
    </row>
    <row r="625" spans="2:14" s="13" customFormat="1" x14ac:dyDescent="0.4">
      <c r="B625" s="25"/>
      <c r="D625" s="42"/>
      <c r="E625" s="26"/>
      <c r="G625" s="54"/>
      <c r="N625" s="42"/>
    </row>
    <row r="626" spans="2:14" s="13" customFormat="1" x14ac:dyDescent="0.4">
      <c r="B626" s="25"/>
      <c r="D626" s="42"/>
      <c r="E626" s="26"/>
      <c r="G626" s="54"/>
      <c r="N626" s="42"/>
    </row>
    <row r="627" spans="2:14" s="13" customFormat="1" x14ac:dyDescent="0.4">
      <c r="B627" s="25"/>
      <c r="D627" s="42"/>
      <c r="E627" s="26"/>
      <c r="G627" s="54"/>
      <c r="N627" s="42"/>
    </row>
    <row r="628" spans="2:14" s="13" customFormat="1" x14ac:dyDescent="0.4">
      <c r="B628" s="25"/>
      <c r="D628" s="42"/>
      <c r="E628" s="26"/>
      <c r="G628" s="54"/>
      <c r="N628" s="42"/>
    </row>
    <row r="629" spans="2:14" s="13" customFormat="1" x14ac:dyDescent="0.4">
      <c r="B629" s="25"/>
      <c r="D629" s="42"/>
      <c r="E629" s="26"/>
      <c r="G629" s="54"/>
      <c r="N629" s="42"/>
    </row>
    <row r="630" spans="2:14" s="13" customFormat="1" x14ac:dyDescent="0.4">
      <c r="B630" s="25"/>
      <c r="D630" s="42"/>
      <c r="E630" s="26"/>
      <c r="G630" s="54"/>
      <c r="N630" s="42"/>
    </row>
    <row r="631" spans="2:14" s="13" customFormat="1" x14ac:dyDescent="0.4">
      <c r="B631" s="25"/>
      <c r="D631" s="42"/>
      <c r="E631" s="26"/>
      <c r="G631" s="54"/>
      <c r="N631" s="42"/>
    </row>
    <row r="632" spans="2:14" s="13" customFormat="1" x14ac:dyDescent="0.4">
      <c r="B632" s="25"/>
      <c r="D632" s="42"/>
      <c r="E632" s="26"/>
      <c r="G632" s="54"/>
      <c r="N632" s="42"/>
    </row>
    <row r="633" spans="2:14" s="13" customFormat="1" x14ac:dyDescent="0.4">
      <c r="B633" s="25"/>
      <c r="D633" s="42"/>
      <c r="E633" s="26"/>
      <c r="G633" s="54"/>
      <c r="N633" s="42"/>
    </row>
    <row r="634" spans="2:14" s="13" customFormat="1" x14ac:dyDescent="0.4">
      <c r="B634" s="25"/>
      <c r="D634" s="42"/>
      <c r="E634" s="26"/>
      <c r="G634" s="54"/>
      <c r="N634" s="42"/>
    </row>
    <row r="635" spans="2:14" s="13" customFormat="1" x14ac:dyDescent="0.4">
      <c r="B635" s="25"/>
      <c r="D635" s="42"/>
      <c r="E635" s="26"/>
      <c r="G635" s="54"/>
      <c r="N635" s="42"/>
    </row>
    <row r="636" spans="2:14" s="13" customFormat="1" x14ac:dyDescent="0.4">
      <c r="B636" s="25"/>
      <c r="D636" s="42"/>
      <c r="E636" s="26"/>
      <c r="G636" s="54"/>
      <c r="N636" s="42"/>
    </row>
    <row r="637" spans="2:14" s="13" customFormat="1" x14ac:dyDescent="0.4">
      <c r="B637" s="25"/>
      <c r="D637" s="42"/>
      <c r="E637" s="26"/>
      <c r="G637" s="54"/>
      <c r="N637" s="42"/>
    </row>
    <row r="638" spans="2:14" s="13" customFormat="1" x14ac:dyDescent="0.4">
      <c r="B638" s="25"/>
      <c r="D638" s="42"/>
      <c r="E638" s="26"/>
      <c r="G638" s="54"/>
      <c r="N638" s="42"/>
    </row>
    <row r="639" spans="2:14" s="13" customFormat="1" x14ac:dyDescent="0.4">
      <c r="B639" s="25"/>
      <c r="D639" s="42"/>
      <c r="E639" s="26"/>
      <c r="G639" s="54"/>
      <c r="N639" s="42"/>
    </row>
    <row r="640" spans="2:14" s="13" customFormat="1" x14ac:dyDescent="0.4">
      <c r="B640" s="25"/>
      <c r="D640" s="42"/>
      <c r="E640" s="26"/>
      <c r="G640" s="54"/>
      <c r="N640" s="42"/>
    </row>
    <row r="641" spans="2:14" s="13" customFormat="1" x14ac:dyDescent="0.4">
      <c r="B641" s="25"/>
      <c r="D641" s="42"/>
      <c r="E641" s="26"/>
      <c r="G641" s="54"/>
      <c r="N641" s="42"/>
    </row>
    <row r="642" spans="2:14" s="13" customFormat="1" x14ac:dyDescent="0.4">
      <c r="B642" s="25"/>
      <c r="D642" s="42"/>
      <c r="E642" s="26"/>
      <c r="G642" s="54"/>
      <c r="N642" s="42"/>
    </row>
    <row r="643" spans="2:14" s="13" customFormat="1" x14ac:dyDescent="0.4">
      <c r="B643" s="25"/>
      <c r="D643" s="42"/>
      <c r="E643" s="26"/>
      <c r="G643" s="54"/>
      <c r="N643" s="42"/>
    </row>
    <row r="644" spans="2:14" s="13" customFormat="1" x14ac:dyDescent="0.4">
      <c r="B644" s="25"/>
      <c r="D644" s="42"/>
      <c r="E644" s="26"/>
      <c r="G644" s="54"/>
      <c r="N644" s="42"/>
    </row>
    <row r="645" spans="2:14" s="13" customFormat="1" x14ac:dyDescent="0.4">
      <c r="B645" s="25"/>
      <c r="D645" s="42"/>
      <c r="E645" s="26"/>
      <c r="G645" s="54"/>
      <c r="N645" s="42"/>
    </row>
    <row r="646" spans="2:14" s="13" customFormat="1" x14ac:dyDescent="0.4">
      <c r="B646" s="25"/>
      <c r="D646" s="42"/>
      <c r="E646" s="26"/>
      <c r="G646" s="54"/>
      <c r="N646" s="42"/>
    </row>
    <row r="647" spans="2:14" s="13" customFormat="1" x14ac:dyDescent="0.4">
      <c r="B647" s="25"/>
      <c r="D647" s="42"/>
      <c r="E647" s="26"/>
      <c r="G647" s="54"/>
      <c r="N647" s="42"/>
    </row>
    <row r="648" spans="2:14" s="13" customFormat="1" x14ac:dyDescent="0.4">
      <c r="B648" s="25"/>
      <c r="D648" s="42"/>
      <c r="E648" s="26"/>
      <c r="G648" s="54"/>
      <c r="N648" s="42"/>
    </row>
    <row r="649" spans="2:14" s="13" customFormat="1" x14ac:dyDescent="0.4">
      <c r="B649" s="25"/>
      <c r="D649" s="42"/>
      <c r="E649" s="26"/>
      <c r="G649" s="54"/>
      <c r="N649" s="42"/>
    </row>
    <row r="650" spans="2:14" s="13" customFormat="1" x14ac:dyDescent="0.4">
      <c r="B650" s="25"/>
      <c r="D650" s="42"/>
      <c r="E650" s="26"/>
      <c r="G650" s="54"/>
      <c r="N650" s="42"/>
    </row>
    <row r="651" spans="2:14" s="13" customFormat="1" x14ac:dyDescent="0.4">
      <c r="B651" s="25"/>
      <c r="D651" s="42"/>
      <c r="E651" s="26"/>
      <c r="G651" s="54"/>
      <c r="N651" s="42"/>
    </row>
    <row r="652" spans="2:14" s="13" customFormat="1" x14ac:dyDescent="0.4">
      <c r="B652" s="25"/>
      <c r="D652" s="42"/>
      <c r="E652" s="26"/>
      <c r="G652" s="54"/>
      <c r="N652" s="42"/>
    </row>
    <row r="653" spans="2:14" s="13" customFormat="1" x14ac:dyDescent="0.4">
      <c r="B653" s="25"/>
      <c r="D653" s="42"/>
      <c r="E653" s="26"/>
      <c r="G653" s="54"/>
      <c r="N653" s="42"/>
    </row>
    <row r="654" spans="2:14" s="13" customFormat="1" x14ac:dyDescent="0.4">
      <c r="B654" s="25"/>
      <c r="D654" s="42"/>
      <c r="E654" s="26"/>
      <c r="G654" s="54"/>
      <c r="N654" s="42"/>
    </row>
    <row r="655" spans="2:14" s="13" customFormat="1" x14ac:dyDescent="0.4">
      <c r="B655" s="25"/>
      <c r="D655" s="42"/>
      <c r="E655" s="26"/>
      <c r="G655" s="54"/>
      <c r="N655" s="42"/>
    </row>
    <row r="656" spans="2:14" s="13" customFormat="1" x14ac:dyDescent="0.4">
      <c r="B656" s="25"/>
      <c r="D656" s="42"/>
      <c r="E656" s="26"/>
      <c r="G656" s="54"/>
      <c r="N656" s="42"/>
    </row>
    <row r="657" spans="2:14" s="13" customFormat="1" x14ac:dyDescent="0.4">
      <c r="B657" s="25"/>
      <c r="D657" s="42"/>
      <c r="E657" s="26"/>
      <c r="G657" s="54"/>
      <c r="N657" s="42"/>
    </row>
    <row r="658" spans="2:14" s="13" customFormat="1" x14ac:dyDescent="0.4">
      <c r="B658" s="25"/>
      <c r="D658" s="42"/>
      <c r="E658" s="26"/>
      <c r="G658" s="54"/>
      <c r="N658" s="42"/>
    </row>
    <row r="659" spans="2:14" s="13" customFormat="1" x14ac:dyDescent="0.4">
      <c r="B659" s="25"/>
      <c r="D659" s="42"/>
      <c r="E659" s="26"/>
      <c r="G659" s="54"/>
      <c r="N659" s="42"/>
    </row>
    <row r="660" spans="2:14" s="13" customFormat="1" x14ac:dyDescent="0.4">
      <c r="B660" s="25"/>
      <c r="D660" s="42"/>
      <c r="E660" s="26"/>
      <c r="G660" s="54"/>
      <c r="N660" s="42"/>
    </row>
    <row r="661" spans="2:14" s="13" customFormat="1" x14ac:dyDescent="0.4">
      <c r="B661" s="25"/>
      <c r="D661" s="42"/>
      <c r="E661" s="26"/>
      <c r="G661" s="54"/>
      <c r="N661" s="42"/>
    </row>
    <row r="662" spans="2:14" s="13" customFormat="1" x14ac:dyDescent="0.4">
      <c r="B662" s="25"/>
      <c r="D662" s="42"/>
      <c r="E662" s="26"/>
      <c r="G662" s="54"/>
      <c r="N662" s="42"/>
    </row>
    <row r="663" spans="2:14" s="13" customFormat="1" x14ac:dyDescent="0.4">
      <c r="B663" s="25"/>
      <c r="D663" s="42"/>
      <c r="E663" s="26"/>
      <c r="G663" s="54"/>
      <c r="N663" s="42"/>
    </row>
    <row r="664" spans="2:14" s="13" customFormat="1" x14ac:dyDescent="0.4">
      <c r="B664" s="25"/>
      <c r="D664" s="42"/>
      <c r="E664" s="26"/>
      <c r="G664" s="54"/>
      <c r="N664" s="42"/>
    </row>
    <row r="665" spans="2:14" s="13" customFormat="1" x14ac:dyDescent="0.4">
      <c r="B665" s="25"/>
      <c r="D665" s="42"/>
      <c r="E665" s="26"/>
      <c r="G665" s="54"/>
      <c r="N665" s="42"/>
    </row>
    <row r="666" spans="2:14" s="13" customFormat="1" x14ac:dyDescent="0.4">
      <c r="B666" s="25"/>
      <c r="D666" s="42"/>
      <c r="E666" s="26"/>
      <c r="G666" s="54"/>
      <c r="N666" s="42"/>
    </row>
    <row r="667" spans="2:14" s="13" customFormat="1" x14ac:dyDescent="0.4">
      <c r="B667" s="25"/>
      <c r="D667" s="42"/>
      <c r="E667" s="26"/>
      <c r="G667" s="54"/>
      <c r="N667" s="42"/>
    </row>
    <row r="668" spans="2:14" s="13" customFormat="1" x14ac:dyDescent="0.4">
      <c r="B668" s="25"/>
      <c r="D668" s="42"/>
      <c r="E668" s="26"/>
      <c r="G668" s="54"/>
      <c r="N668" s="42"/>
    </row>
    <row r="669" spans="2:14" s="13" customFormat="1" x14ac:dyDescent="0.4">
      <c r="B669" s="25"/>
      <c r="D669" s="42"/>
      <c r="E669" s="26"/>
      <c r="G669" s="54"/>
      <c r="N669" s="42"/>
    </row>
  </sheetData>
  <sheetProtection algorithmName="SHA-512" hashValue="ljimVVE0aRN3xf9LFxEGga3w0n5MX1zo3hUCFgtdtbIcGoIteR502JT27WA71T2lWATMAS/5fbiG7/dqdrtipQ==" saltValue="Lnam5aXbIlUcKJnsqoDU8Q==" spinCount="100000" sheet="1" formatCells="0" formatColumns="0" formatRows="0"/>
  <mergeCells count="13">
    <mergeCell ref="M7:M36"/>
    <mergeCell ref="C30:C32"/>
    <mergeCell ref="D30:D32"/>
    <mergeCell ref="C33:C36"/>
    <mergeCell ref="D33:D36"/>
    <mergeCell ref="A7:A36"/>
    <mergeCell ref="B7:B36"/>
    <mergeCell ref="C7:C11"/>
    <mergeCell ref="D7:D11"/>
    <mergeCell ref="C12:C19"/>
    <mergeCell ref="D12:D19"/>
    <mergeCell ref="C20:C29"/>
    <mergeCell ref="D20:D29"/>
  </mergeCells>
  <dataValidations count="1">
    <dataValidation type="list" allowBlank="1" showInputMessage="1" showErrorMessage="1" errorTitle="ASVS Test Result" error="Invalid selection!" promptTitle="ASVS Test Result" prompt="Please select test result from the list." sqref="G7:G36" xr:uid="{1AB22170-2117-4DC0-AD52-29F07C0D86D0}">
      <formula1>testResult</formula1>
    </dataValidation>
  </dataValidations>
  <hyperlinks>
    <hyperlink ref="F8" r:id="rId1" location="tab=Formal_Numbering" display="https://www.owasp.org/index.php/OWASP_Proactive_Controls - tab=Formal_Numbering" xr:uid="{40112CB7-A700-44D4-83A1-7AC01D1B5396}"/>
    <hyperlink ref="F9" r:id="rId2" location="tab=Formal_Numbering" display="https://www.owasp.org/index.php/OWASP_Proactive_Controls - tab=Formal_Numbering" xr:uid="{9755EF83-EBF0-4064-AFB7-0EA460135997}"/>
    <hyperlink ref="F10" r:id="rId3" location="tab=Formal_Numbering" display="https://www.owasp.org/index.php/OWASP_Proactive_Controls - tab=Formal_Numbering" xr:uid="{81D24808-7419-448D-8371-06C5619C1167}"/>
    <hyperlink ref="F20" r:id="rId4" location="tab=Formal_Numbering" display="https://www.owasp.org/index.php/OWASP_Proactive_Controls - tab=Formal_Numbering" xr:uid="{9AD87811-EC96-454C-B1C1-D3D5C229BC8F}"/>
    <hyperlink ref="F21" r:id="rId5" location="tab=Formal_Numbering" display="https://www.owasp.org/index.php/OWASP_Proactive_Controls - tab=Formal_Numbering" xr:uid="{2974AE5D-00AD-4DA0-AFB3-F1803D638899}"/>
    <hyperlink ref="F22" r:id="rId6" location="tab=Formal_Numbering" display="https://www.owasp.org/index.php/OWASP_Proactive_Controls - tab=Formal_Numbering" xr:uid="{CD3C5B68-E4F9-4C99-95EB-50E25740A33B}"/>
    <hyperlink ref="F23" r:id="rId7" location="tab=Formal_Numbering" display="https://www.owasp.org/index.php/OWASP_Proactive_Controls - tab=Formal_Numbering" xr:uid="{EFA2ADB0-07DB-4490-8D33-BADC27EE2D31}"/>
    <hyperlink ref="F24" r:id="rId8" location="tab=Formal_Numbering" display="https://www.owasp.org/index.php/OWASP_Proactive_Controls - tab=Formal_Numbering" xr:uid="{9A51497F-2FB2-42E7-B118-04EEA6487D31}"/>
    <hyperlink ref="F25" r:id="rId9" location="tab=Formal_Numbering" display="https://www.owasp.org/index.php/OWASP_Proactive_Controls - tab=Formal_Numbering" xr:uid="{FC798794-0F75-46AC-9DDF-60A5700D7EFA}"/>
    <hyperlink ref="F26" r:id="rId10" location="tab=Formal_Numbering" display="https://www.owasp.org/index.php/OWASP_Proactive_Controls - tab=Formal_Numbering" xr:uid="{ECCEAE09-B35E-424A-8BAC-B5D00CCCD237}"/>
    <hyperlink ref="F27" r:id="rId11" location="tab=Formal_Numbering" display="https://www.owasp.org/index.php/OWASP_Proactive_Controls - tab=Formal_Numbering" xr:uid="{3D96CD53-F3FC-4E03-9908-1791BBD7F720}"/>
    <hyperlink ref="F29" r:id="rId12" location="tab=Formal_Numbering" display="https://www.owasp.org/index.php/OWASP_Proactive_Controls - tab=Formal_Numbering" xr:uid="{C1EF9AC9-86D7-4896-9B3B-E1F97E41AD22}"/>
    <hyperlink ref="F33" r:id="rId13" location="tab=Formal_Numbering" display="https://www.owasp.org/index.php/OWASP_Proactive_Controls - tab=Formal_Numbering" xr:uid="{7E357999-D76A-45C8-ABF4-23AA6B87102E}"/>
    <hyperlink ref="F12" r:id="rId14" location="tab=Formal_Numbering" display="https://www.owasp.org/index.php/OWASP_Proactive_Controls - tab=Formal_Numbering" xr:uid="{538569C2-26CE-440C-BA43-C86315599921}"/>
  </hyperlinks>
  <pageMargins left="0.7" right="0.7" top="0.75" bottom="0.75" header="0.3" footer="0.3"/>
  <drawing r:id="rId15"/>
  <legacyDrawing r:id="rId16"/>
  <mc:AlternateContent xmlns:mc="http://schemas.openxmlformats.org/markup-compatibility/2006">
    <mc:Choice Requires="x14">
      <controls>
        <mc:AlternateContent xmlns:mc="http://schemas.openxmlformats.org/markup-compatibility/2006">
          <mc:Choice Requires="x14">
            <control shapeId="20481" r:id="rId17" name="Button 1">
              <controlPr defaultSize="0" print="0" autoFill="0" autoPict="0" macro="[0]!Sheet11.Confirm_Reset_Answers_V5">
                <anchor moveWithCells="1" sizeWithCells="1">
                  <from>
                    <xdr:col>0</xdr:col>
                    <xdr:colOff>127000</xdr:colOff>
                    <xdr:row>0</xdr:row>
                    <xdr:rowOff>31750</xdr:rowOff>
                  </from>
                  <to>
                    <xdr:col>1</xdr:col>
                    <xdr:colOff>1574800</xdr:colOff>
                    <xdr:row>2</xdr:row>
                    <xdr:rowOff>38100</xdr:rowOff>
                  </to>
                </anchor>
              </controlPr>
            </control>
          </mc:Choice>
        </mc:AlternateContent>
        <mc:AlternateContent xmlns:mc="http://schemas.openxmlformats.org/markup-compatibility/2006">
          <mc:Choice Requires="x14">
            <control shapeId="20485" r:id="rId18" name="Button 5">
              <controlPr defaultSize="0" print="0" autoFill="0" autoPict="0" macro="[0]!Confirm_Reset_All_Answers">
                <anchor moveWithCells="1" sizeWithCells="1">
                  <from>
                    <xdr:col>0</xdr:col>
                    <xdr:colOff>127000</xdr:colOff>
                    <xdr:row>2</xdr:row>
                    <xdr:rowOff>88900</xdr:rowOff>
                  </from>
                  <to>
                    <xdr:col>1</xdr:col>
                    <xdr:colOff>1574800</xdr:colOff>
                    <xdr:row>4</xdr:row>
                    <xdr:rowOff>95250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3689F-137F-467D-857D-19CB6D29185D}">
  <sheetPr codeName="Sheet12">
    <tabColor theme="8" tint="0.39997558519241921"/>
  </sheetPr>
  <dimension ref="A1:CRF655"/>
  <sheetViews>
    <sheetView showGridLines="0" showRowColHeaders="0" workbookViewId="0">
      <pane ySplit="6" topLeftCell="A7" activePane="bottomLeft" state="frozen"/>
      <selection pane="bottomLeft" activeCell="A7" sqref="A7:A22"/>
    </sheetView>
  </sheetViews>
  <sheetFormatPr defaultRowHeight="15" x14ac:dyDescent="0.4"/>
  <cols>
    <col min="1" max="1" width="11.26953125" customWidth="1"/>
    <col min="2" max="2" width="24.1796875" style="20" customWidth="1"/>
    <col min="3" max="3" width="10.81640625" customWidth="1"/>
    <col min="4" max="4" width="31.81640625" style="43" customWidth="1"/>
    <col min="5" max="5" width="9.1796875" style="21"/>
    <col min="6" max="6" width="56.1796875" customWidth="1"/>
    <col min="7" max="7" width="19.1796875" style="55" customWidth="1"/>
    <col min="8" max="10" width="3.7265625" bestFit="1" customWidth="1"/>
    <col min="12" max="12" width="13.1796875" customWidth="1"/>
    <col min="13" max="13" width="31.7265625" bestFit="1"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0</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0</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TOTAL_ASVS_V6</f>
        <v>16</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39" x14ac:dyDescent="0.35">
      <c r="A7" s="113" t="s">
        <v>477</v>
      </c>
      <c r="B7" s="116" t="s">
        <v>476</v>
      </c>
      <c r="C7" s="113" t="s">
        <v>479</v>
      </c>
      <c r="D7" s="109" t="s">
        <v>480</v>
      </c>
      <c r="E7" s="22" t="s">
        <v>481</v>
      </c>
      <c r="F7" s="4" t="s">
        <v>482</v>
      </c>
      <c r="G7" s="91" t="s">
        <v>32</v>
      </c>
      <c r="H7" s="4"/>
      <c r="I7" s="39" t="s">
        <v>812</v>
      </c>
      <c r="J7" s="40" t="s">
        <v>812</v>
      </c>
      <c r="K7" s="5">
        <v>311</v>
      </c>
      <c r="L7" s="24"/>
      <c r="M7" s="128" t="s">
        <v>841</v>
      </c>
      <c r="N7" s="41"/>
    </row>
    <row r="8" spans="1:2502" ht="39" x14ac:dyDescent="0.35">
      <c r="A8" s="114"/>
      <c r="B8" s="117"/>
      <c r="C8" s="114"/>
      <c r="D8" s="110"/>
      <c r="E8" s="22" t="s">
        <v>483</v>
      </c>
      <c r="F8" s="4" t="s">
        <v>484</v>
      </c>
      <c r="G8" s="91" t="s">
        <v>32</v>
      </c>
      <c r="H8" s="4"/>
      <c r="I8" s="39" t="s">
        <v>812</v>
      </c>
      <c r="J8" s="40" t="s">
        <v>812</v>
      </c>
      <c r="K8" s="5">
        <v>311</v>
      </c>
      <c r="L8" s="24"/>
      <c r="M8" s="129"/>
      <c r="N8" s="41"/>
    </row>
    <row r="9" spans="1:2502" ht="39" x14ac:dyDescent="0.35">
      <c r="A9" s="114"/>
      <c r="B9" s="117"/>
      <c r="C9" s="115"/>
      <c r="D9" s="111"/>
      <c r="E9" s="22" t="s">
        <v>231</v>
      </c>
      <c r="F9" s="4" t="s">
        <v>485</v>
      </c>
      <c r="G9" s="91" t="s">
        <v>32</v>
      </c>
      <c r="H9" s="4"/>
      <c r="I9" s="39" t="s">
        <v>812</v>
      </c>
      <c r="J9" s="40" t="s">
        <v>812</v>
      </c>
      <c r="K9" s="5">
        <v>311</v>
      </c>
      <c r="L9" s="24"/>
      <c r="M9" s="129"/>
      <c r="N9" s="41"/>
    </row>
    <row r="10" spans="1:2502" ht="26" x14ac:dyDescent="0.35">
      <c r="A10" s="114"/>
      <c r="B10" s="117"/>
      <c r="C10" s="113" t="s">
        <v>486</v>
      </c>
      <c r="D10" s="109" t="s">
        <v>487</v>
      </c>
      <c r="E10" s="22" t="s">
        <v>488</v>
      </c>
      <c r="F10" s="4" t="s">
        <v>489</v>
      </c>
      <c r="G10" s="91" t="s">
        <v>32</v>
      </c>
      <c r="H10" s="38" t="s">
        <v>812</v>
      </c>
      <c r="I10" s="39" t="s">
        <v>812</v>
      </c>
      <c r="J10" s="40" t="s">
        <v>812</v>
      </c>
      <c r="K10" s="5">
        <v>310</v>
      </c>
      <c r="L10" s="24"/>
      <c r="M10" s="129"/>
      <c r="N10" s="41"/>
    </row>
    <row r="11" spans="1:2502" ht="39" x14ac:dyDescent="0.35">
      <c r="A11" s="114"/>
      <c r="B11" s="117"/>
      <c r="C11" s="114"/>
      <c r="D11" s="110"/>
      <c r="E11" s="22" t="s">
        <v>490</v>
      </c>
      <c r="F11" s="23" t="s">
        <v>491</v>
      </c>
      <c r="G11" s="91" t="s">
        <v>32</v>
      </c>
      <c r="H11" s="4"/>
      <c r="I11" s="39" t="s">
        <v>812</v>
      </c>
      <c r="J11" s="40" t="s">
        <v>812</v>
      </c>
      <c r="K11" s="5">
        <v>327</v>
      </c>
      <c r="L11" s="24"/>
      <c r="M11" s="129"/>
      <c r="N11" s="41"/>
    </row>
    <row r="12" spans="1:2502" ht="26" x14ac:dyDescent="0.35">
      <c r="A12" s="114"/>
      <c r="B12" s="117"/>
      <c r="C12" s="114"/>
      <c r="D12" s="110"/>
      <c r="E12" s="22" t="s">
        <v>492</v>
      </c>
      <c r="F12" s="4" t="s">
        <v>493</v>
      </c>
      <c r="G12" s="91" t="s">
        <v>32</v>
      </c>
      <c r="H12" s="4"/>
      <c r="I12" s="39" t="s">
        <v>812</v>
      </c>
      <c r="J12" s="40" t="s">
        <v>812</v>
      </c>
      <c r="K12" s="5">
        <v>326</v>
      </c>
      <c r="L12" s="24"/>
      <c r="M12" s="129"/>
      <c r="N12" s="41"/>
    </row>
    <row r="13" spans="1:2502" ht="39" x14ac:dyDescent="0.35">
      <c r="A13" s="114"/>
      <c r="B13" s="117"/>
      <c r="C13" s="114"/>
      <c r="D13" s="110"/>
      <c r="E13" s="22" t="s">
        <v>494</v>
      </c>
      <c r="F13" s="23" t="s">
        <v>495</v>
      </c>
      <c r="G13" s="91" t="s">
        <v>32</v>
      </c>
      <c r="H13" s="4"/>
      <c r="I13" s="39" t="s">
        <v>812</v>
      </c>
      <c r="J13" s="40" t="s">
        <v>812</v>
      </c>
      <c r="K13" s="5">
        <v>326</v>
      </c>
      <c r="L13" s="24"/>
      <c r="M13" s="129"/>
      <c r="N13" s="41"/>
    </row>
    <row r="14" spans="1:2502" ht="52" x14ac:dyDescent="0.35">
      <c r="A14" s="114"/>
      <c r="B14" s="117"/>
      <c r="C14" s="114"/>
      <c r="D14" s="110"/>
      <c r="E14" s="22" t="s">
        <v>496</v>
      </c>
      <c r="F14" s="4" t="s">
        <v>497</v>
      </c>
      <c r="G14" s="91" t="s">
        <v>32</v>
      </c>
      <c r="H14" s="4"/>
      <c r="I14" s="39" t="s">
        <v>812</v>
      </c>
      <c r="J14" s="40" t="s">
        <v>812</v>
      </c>
      <c r="K14" s="5">
        <v>326</v>
      </c>
      <c r="L14" s="24"/>
      <c r="M14" s="129"/>
      <c r="N14" s="41"/>
    </row>
    <row r="15" spans="1:2502" ht="52" x14ac:dyDescent="0.35">
      <c r="A15" s="114"/>
      <c r="B15" s="117"/>
      <c r="C15" s="114"/>
      <c r="D15" s="110"/>
      <c r="E15" s="22" t="s">
        <v>498</v>
      </c>
      <c r="F15" s="4" t="s">
        <v>499</v>
      </c>
      <c r="G15" s="91" t="s">
        <v>32</v>
      </c>
      <c r="H15" s="4"/>
      <c r="I15" s="39" t="s">
        <v>812</v>
      </c>
      <c r="J15" s="40" t="s">
        <v>812</v>
      </c>
      <c r="K15" s="5">
        <v>326</v>
      </c>
      <c r="L15" s="24"/>
      <c r="M15" s="129"/>
      <c r="N15" s="41"/>
    </row>
    <row r="16" spans="1:2502" ht="39" x14ac:dyDescent="0.35">
      <c r="A16" s="114"/>
      <c r="B16" s="117"/>
      <c r="C16" s="114"/>
      <c r="D16" s="110"/>
      <c r="E16" s="22" t="s">
        <v>500</v>
      </c>
      <c r="F16" s="4" t="s">
        <v>501</v>
      </c>
      <c r="G16" s="91" t="s">
        <v>32</v>
      </c>
      <c r="H16" s="4"/>
      <c r="I16" s="4"/>
      <c r="J16" s="40" t="s">
        <v>812</v>
      </c>
      <c r="K16" s="5">
        <v>326</v>
      </c>
      <c r="L16" s="24"/>
      <c r="M16" s="129"/>
      <c r="N16" s="41"/>
    </row>
    <row r="17" spans="1:14" ht="39" x14ac:dyDescent="0.35">
      <c r="A17" s="114"/>
      <c r="B17" s="117"/>
      <c r="C17" s="115"/>
      <c r="D17" s="111"/>
      <c r="E17" s="22" t="s">
        <v>502</v>
      </c>
      <c r="F17" s="4" t="s">
        <v>503</v>
      </c>
      <c r="G17" s="91" t="s">
        <v>32</v>
      </c>
      <c r="H17" s="4"/>
      <c r="I17" s="4"/>
      <c r="J17" s="40" t="s">
        <v>812</v>
      </c>
      <c r="K17" s="5">
        <v>385</v>
      </c>
      <c r="L17" s="24"/>
      <c r="M17" s="129"/>
      <c r="N17" s="41"/>
    </row>
    <row r="18" spans="1:14" ht="52" x14ac:dyDescent="0.35">
      <c r="A18" s="114"/>
      <c r="B18" s="117"/>
      <c r="C18" s="113" t="s">
        <v>504</v>
      </c>
      <c r="D18" s="109" t="s">
        <v>505</v>
      </c>
      <c r="E18" s="22" t="s">
        <v>506</v>
      </c>
      <c r="F18" s="4" t="s">
        <v>507</v>
      </c>
      <c r="G18" s="91" t="s">
        <v>32</v>
      </c>
      <c r="H18" s="4"/>
      <c r="I18" s="39" t="s">
        <v>812</v>
      </c>
      <c r="J18" s="40" t="s">
        <v>812</v>
      </c>
      <c r="K18" s="5">
        <v>338</v>
      </c>
      <c r="L18" s="24"/>
      <c r="M18" s="129"/>
      <c r="N18" s="41"/>
    </row>
    <row r="19" spans="1:14" ht="52" x14ac:dyDescent="0.35">
      <c r="A19" s="114"/>
      <c r="B19" s="117"/>
      <c r="C19" s="114"/>
      <c r="D19" s="110"/>
      <c r="E19" s="22" t="s">
        <v>508</v>
      </c>
      <c r="F19" s="4" t="s">
        <v>509</v>
      </c>
      <c r="G19" s="91" t="s">
        <v>32</v>
      </c>
      <c r="H19" s="4"/>
      <c r="I19" s="39" t="s">
        <v>812</v>
      </c>
      <c r="J19" s="40" t="s">
        <v>812</v>
      </c>
      <c r="K19" s="5">
        <v>338</v>
      </c>
      <c r="L19" s="24"/>
      <c r="M19" s="129"/>
      <c r="N19" s="41"/>
    </row>
    <row r="20" spans="1:14" ht="39" x14ac:dyDescent="0.35">
      <c r="A20" s="114"/>
      <c r="B20" s="117"/>
      <c r="C20" s="115"/>
      <c r="D20" s="111"/>
      <c r="E20" s="22" t="s">
        <v>510</v>
      </c>
      <c r="F20" s="4" t="s">
        <v>15</v>
      </c>
      <c r="G20" s="91" t="s">
        <v>32</v>
      </c>
      <c r="H20" s="4"/>
      <c r="I20" s="4"/>
      <c r="J20" s="40" t="s">
        <v>812</v>
      </c>
      <c r="K20" s="5">
        <v>338</v>
      </c>
      <c r="L20" s="24"/>
      <c r="M20" s="129"/>
      <c r="N20" s="41"/>
    </row>
    <row r="21" spans="1:14" ht="26" x14ac:dyDescent="0.35">
      <c r="A21" s="114"/>
      <c r="B21" s="117"/>
      <c r="C21" s="113" t="s">
        <v>511</v>
      </c>
      <c r="D21" s="109" t="s">
        <v>512</v>
      </c>
      <c r="E21" s="22" t="s">
        <v>513</v>
      </c>
      <c r="F21" s="23" t="s">
        <v>514</v>
      </c>
      <c r="G21" s="91" t="s">
        <v>32</v>
      </c>
      <c r="H21" s="4"/>
      <c r="I21" s="39" t="s">
        <v>812</v>
      </c>
      <c r="J21" s="40" t="s">
        <v>812</v>
      </c>
      <c r="K21" s="5">
        <v>798</v>
      </c>
      <c r="L21" s="24"/>
      <c r="M21" s="129"/>
      <c r="N21" s="41"/>
    </row>
    <row r="22" spans="1:14" ht="39" x14ac:dyDescent="0.35">
      <c r="A22" s="115"/>
      <c r="B22" s="118"/>
      <c r="C22" s="115"/>
      <c r="D22" s="111"/>
      <c r="E22" s="22" t="s">
        <v>515</v>
      </c>
      <c r="F22" s="23" t="s">
        <v>516</v>
      </c>
      <c r="G22" s="91" t="s">
        <v>32</v>
      </c>
      <c r="H22" s="4"/>
      <c r="I22" s="39" t="s">
        <v>812</v>
      </c>
      <c r="J22" s="40" t="s">
        <v>812</v>
      </c>
      <c r="K22" s="5">
        <v>320</v>
      </c>
      <c r="L22" s="24"/>
      <c r="M22" s="130"/>
      <c r="N22" s="41"/>
    </row>
    <row r="23" spans="1:14" s="13" customFormat="1" x14ac:dyDescent="0.4">
      <c r="B23" s="25"/>
      <c r="D23" s="42"/>
      <c r="E23" s="26"/>
      <c r="G23" s="54"/>
      <c r="N23" s="42"/>
    </row>
    <row r="24" spans="1:14" s="13" customFormat="1" x14ac:dyDescent="0.4">
      <c r="B24" s="25"/>
      <c r="D24" s="42"/>
      <c r="E24" s="26"/>
      <c r="G24" s="54"/>
      <c r="N24" s="42"/>
    </row>
    <row r="25" spans="1:14" s="13" customFormat="1" x14ac:dyDescent="0.4">
      <c r="B25" s="25"/>
      <c r="D25" s="42"/>
      <c r="E25" s="26"/>
      <c r="G25" s="54"/>
      <c r="N25" s="42"/>
    </row>
    <row r="26" spans="1:14" s="13" customFormat="1" x14ac:dyDescent="0.4">
      <c r="B26" s="25"/>
      <c r="D26" s="42"/>
      <c r="E26" s="26"/>
      <c r="G26" s="54"/>
      <c r="N26" s="42"/>
    </row>
    <row r="27" spans="1:14" s="13" customFormat="1" x14ac:dyDescent="0.4">
      <c r="B27" s="25"/>
      <c r="D27" s="42"/>
      <c r="E27" s="26"/>
      <c r="G27" s="54"/>
      <c r="N27" s="42"/>
    </row>
    <row r="28" spans="1:14" s="13" customFormat="1" x14ac:dyDescent="0.4">
      <c r="B28" s="25"/>
      <c r="D28" s="42"/>
      <c r="E28" s="26"/>
      <c r="G28" s="54"/>
      <c r="N28" s="42"/>
    </row>
    <row r="29" spans="1:14" s="13" customFormat="1" x14ac:dyDescent="0.4">
      <c r="B29" s="25"/>
      <c r="D29" s="42"/>
      <c r="E29" s="26"/>
      <c r="G29" s="54"/>
      <c r="N29" s="42"/>
    </row>
    <row r="30" spans="1:14" s="13" customFormat="1" x14ac:dyDescent="0.4">
      <c r="B30" s="25"/>
      <c r="D30" s="42"/>
      <c r="E30" s="26"/>
      <c r="G30" s="54"/>
      <c r="N30" s="42"/>
    </row>
    <row r="31" spans="1:14" s="13" customFormat="1" x14ac:dyDescent="0.4">
      <c r="B31" s="25"/>
      <c r="D31" s="42"/>
      <c r="E31" s="26"/>
      <c r="G31" s="54"/>
      <c r="N31" s="42"/>
    </row>
    <row r="32" spans="1:14" s="13" customFormat="1" x14ac:dyDescent="0.4">
      <c r="B32" s="25"/>
      <c r="D32" s="42"/>
      <c r="E32" s="26"/>
      <c r="G32" s="54"/>
      <c r="N32" s="42"/>
    </row>
    <row r="33" spans="2:14" s="13" customFormat="1" x14ac:dyDescent="0.4">
      <c r="B33" s="25"/>
      <c r="D33" s="42"/>
      <c r="E33" s="26"/>
      <c r="G33" s="54"/>
      <c r="N33" s="42"/>
    </row>
    <row r="34" spans="2:14" s="13" customFormat="1" x14ac:dyDescent="0.4">
      <c r="B34" s="25"/>
      <c r="D34" s="42"/>
      <c r="E34" s="26"/>
      <c r="G34" s="54"/>
      <c r="N34" s="42"/>
    </row>
    <row r="35" spans="2:14" s="13" customFormat="1" x14ac:dyDescent="0.4">
      <c r="B35" s="25"/>
      <c r="D35" s="42"/>
      <c r="E35" s="26"/>
      <c r="G35" s="54"/>
      <c r="N35" s="42"/>
    </row>
    <row r="36" spans="2:14" s="13" customFormat="1" x14ac:dyDescent="0.4">
      <c r="B36" s="25"/>
      <c r="D36" s="42"/>
      <c r="E36" s="26"/>
      <c r="G36" s="54"/>
      <c r="N36" s="42"/>
    </row>
    <row r="37" spans="2:14" s="13" customFormat="1" x14ac:dyDescent="0.4">
      <c r="B37" s="25"/>
      <c r="D37" s="42"/>
      <c r="E37" s="26"/>
      <c r="G37" s="54"/>
      <c r="N37" s="42"/>
    </row>
    <row r="38" spans="2:14" s="13" customFormat="1" x14ac:dyDescent="0.4">
      <c r="B38" s="25"/>
      <c r="D38" s="42"/>
      <c r="E38" s="26"/>
      <c r="G38" s="54"/>
      <c r="N38" s="42"/>
    </row>
    <row r="39" spans="2:14" s="13" customFormat="1" x14ac:dyDescent="0.4">
      <c r="B39" s="25"/>
      <c r="D39" s="42"/>
      <c r="E39" s="26"/>
      <c r="G39" s="54"/>
      <c r="N39" s="42"/>
    </row>
    <row r="40" spans="2:14" s="13" customFormat="1" x14ac:dyDescent="0.4">
      <c r="B40" s="25"/>
      <c r="D40" s="42"/>
      <c r="E40" s="26"/>
      <c r="G40" s="54"/>
      <c r="N40" s="42"/>
    </row>
    <row r="41" spans="2:14" s="13" customFormat="1" x14ac:dyDescent="0.4">
      <c r="B41" s="25"/>
      <c r="D41" s="42"/>
      <c r="E41" s="26"/>
      <c r="G41" s="54"/>
      <c r="N41" s="42"/>
    </row>
    <row r="42" spans="2:14" s="13" customFormat="1" x14ac:dyDescent="0.4">
      <c r="B42" s="25"/>
      <c r="D42" s="42"/>
      <c r="E42" s="26"/>
      <c r="G42" s="54"/>
      <c r="N42" s="42"/>
    </row>
    <row r="43" spans="2:14" s="13" customFormat="1" x14ac:dyDescent="0.4">
      <c r="B43" s="25"/>
      <c r="D43" s="42"/>
      <c r="E43" s="26"/>
      <c r="G43" s="54"/>
      <c r="N43" s="42"/>
    </row>
    <row r="44" spans="2:14" s="13" customFormat="1" x14ac:dyDescent="0.4">
      <c r="B44" s="25"/>
      <c r="D44" s="42"/>
      <c r="E44" s="26"/>
      <c r="G44" s="54"/>
      <c r="N44" s="42"/>
    </row>
    <row r="45" spans="2:14" s="13" customFormat="1" x14ac:dyDescent="0.4">
      <c r="B45" s="25"/>
      <c r="D45" s="42"/>
      <c r="E45" s="26"/>
      <c r="G45" s="54"/>
      <c r="N45" s="42"/>
    </row>
    <row r="46" spans="2:14" s="13" customFormat="1" x14ac:dyDescent="0.4">
      <c r="B46" s="25"/>
      <c r="D46" s="42"/>
      <c r="E46" s="26"/>
      <c r="G46" s="54"/>
      <c r="N46" s="42"/>
    </row>
    <row r="47" spans="2:14" s="13" customFormat="1" x14ac:dyDescent="0.4">
      <c r="B47" s="25"/>
      <c r="D47" s="42"/>
      <c r="E47" s="26"/>
      <c r="G47" s="54"/>
      <c r="N47" s="42"/>
    </row>
    <row r="48" spans="2:14" s="13" customFormat="1" x14ac:dyDescent="0.4">
      <c r="B48" s="25"/>
      <c r="D48" s="42"/>
      <c r="E48" s="26"/>
      <c r="G48" s="54"/>
      <c r="N48" s="42"/>
    </row>
    <row r="49" spans="2:14" s="13" customFormat="1" x14ac:dyDescent="0.4">
      <c r="B49" s="25"/>
      <c r="D49" s="42"/>
      <c r="E49" s="26"/>
      <c r="G49" s="54"/>
      <c r="N49" s="42"/>
    </row>
    <row r="50" spans="2:14" s="13" customFormat="1" x14ac:dyDescent="0.4">
      <c r="B50" s="25"/>
      <c r="D50" s="42"/>
      <c r="E50" s="26"/>
      <c r="G50" s="54"/>
      <c r="N50" s="42"/>
    </row>
    <row r="51" spans="2:14" s="13" customFormat="1" x14ac:dyDescent="0.4">
      <c r="B51" s="25"/>
      <c r="D51" s="42"/>
      <c r="E51" s="26"/>
      <c r="G51" s="54"/>
      <c r="N51" s="42"/>
    </row>
    <row r="52" spans="2:14" s="13" customFormat="1" x14ac:dyDescent="0.4">
      <c r="B52" s="25"/>
      <c r="D52" s="42"/>
      <c r="E52" s="26"/>
      <c r="G52" s="54"/>
      <c r="N52" s="42"/>
    </row>
    <row r="53" spans="2:14" s="13" customFormat="1" x14ac:dyDescent="0.4">
      <c r="B53" s="25"/>
      <c r="D53" s="42"/>
      <c r="E53" s="26"/>
      <c r="G53" s="54"/>
      <c r="N53" s="42"/>
    </row>
    <row r="54" spans="2:14" s="13" customFormat="1" x14ac:dyDescent="0.4">
      <c r="B54" s="25"/>
      <c r="D54" s="42"/>
      <c r="E54" s="26"/>
      <c r="G54" s="54"/>
      <c r="N54" s="42"/>
    </row>
    <row r="55" spans="2:14" s="13" customFormat="1" x14ac:dyDescent="0.4">
      <c r="B55" s="25"/>
      <c r="D55" s="42"/>
      <c r="E55" s="26"/>
      <c r="G55" s="54"/>
      <c r="N55" s="42"/>
    </row>
    <row r="56" spans="2:14" s="13" customFormat="1" x14ac:dyDescent="0.4">
      <c r="B56" s="25"/>
      <c r="D56" s="42"/>
      <c r="E56" s="26"/>
      <c r="G56" s="54"/>
      <c r="N56" s="42"/>
    </row>
    <row r="57" spans="2:14" s="13" customFormat="1" x14ac:dyDescent="0.4">
      <c r="B57" s="25"/>
      <c r="D57" s="42"/>
      <c r="E57" s="26"/>
      <c r="G57" s="54"/>
      <c r="N57" s="42"/>
    </row>
    <row r="58" spans="2:14" s="13" customFormat="1" x14ac:dyDescent="0.4">
      <c r="B58" s="25"/>
      <c r="D58" s="42"/>
      <c r="E58" s="26"/>
      <c r="G58" s="54"/>
      <c r="N58" s="42"/>
    </row>
    <row r="59" spans="2:14" s="13" customFormat="1" x14ac:dyDescent="0.4">
      <c r="B59" s="25"/>
      <c r="D59" s="42"/>
      <c r="E59" s="26"/>
      <c r="G59" s="54"/>
      <c r="N59" s="42"/>
    </row>
    <row r="60" spans="2:14" s="13" customFormat="1" x14ac:dyDescent="0.4">
      <c r="B60" s="25"/>
      <c r="D60" s="42"/>
      <c r="E60" s="26"/>
      <c r="G60" s="54"/>
      <c r="N60" s="42"/>
    </row>
    <row r="61" spans="2:14" s="13" customFormat="1" x14ac:dyDescent="0.4">
      <c r="B61" s="25"/>
      <c r="D61" s="42"/>
      <c r="E61" s="26"/>
      <c r="G61" s="54"/>
      <c r="N61" s="42"/>
    </row>
    <row r="62" spans="2:14" s="13" customFormat="1" x14ac:dyDescent="0.4">
      <c r="B62" s="25"/>
      <c r="D62" s="42"/>
      <c r="E62" s="26"/>
      <c r="G62" s="54"/>
      <c r="N62" s="42"/>
    </row>
    <row r="63" spans="2:14" s="13" customFormat="1" x14ac:dyDescent="0.4">
      <c r="B63" s="25"/>
      <c r="D63" s="42"/>
      <c r="E63" s="26"/>
      <c r="G63" s="54"/>
      <c r="N63" s="42"/>
    </row>
    <row r="64" spans="2:14" s="13" customFormat="1" x14ac:dyDescent="0.4">
      <c r="B64" s="25"/>
      <c r="D64" s="42"/>
      <c r="E64" s="26"/>
      <c r="G64" s="54"/>
      <c r="N64" s="42"/>
    </row>
    <row r="65" spans="2:14" s="13" customFormat="1" x14ac:dyDescent="0.4">
      <c r="B65" s="25"/>
      <c r="D65" s="42"/>
      <c r="E65" s="26"/>
      <c r="G65" s="54"/>
      <c r="N65" s="42"/>
    </row>
    <row r="66" spans="2:14" s="13" customFormat="1" x14ac:dyDescent="0.4">
      <c r="B66" s="25"/>
      <c r="D66" s="42"/>
      <c r="E66" s="26"/>
      <c r="G66" s="54"/>
      <c r="N66" s="42"/>
    </row>
    <row r="67" spans="2:14" s="13" customFormat="1" x14ac:dyDescent="0.4">
      <c r="B67" s="25"/>
      <c r="D67" s="42"/>
      <c r="E67" s="26"/>
      <c r="G67" s="54"/>
      <c r="N67" s="42"/>
    </row>
    <row r="68" spans="2:14" s="13" customFormat="1" x14ac:dyDescent="0.4">
      <c r="B68" s="25"/>
      <c r="D68" s="42"/>
      <c r="E68" s="26"/>
      <c r="G68" s="54"/>
      <c r="N68" s="42"/>
    </row>
    <row r="69" spans="2:14" s="13" customFormat="1" x14ac:dyDescent="0.4">
      <c r="B69" s="25"/>
      <c r="D69" s="42"/>
      <c r="E69" s="26"/>
      <c r="G69" s="54"/>
      <c r="N69" s="42"/>
    </row>
    <row r="70" spans="2:14" s="13" customFormat="1" x14ac:dyDescent="0.4">
      <c r="B70" s="25"/>
      <c r="D70" s="42"/>
      <c r="E70" s="26"/>
      <c r="G70" s="54"/>
      <c r="N70" s="42"/>
    </row>
    <row r="71" spans="2:14" s="13" customFormat="1" x14ac:dyDescent="0.4">
      <c r="B71" s="25"/>
      <c r="D71" s="42"/>
      <c r="E71" s="26"/>
      <c r="G71" s="54"/>
      <c r="N71" s="42"/>
    </row>
    <row r="72" spans="2:14" s="13" customFormat="1" x14ac:dyDescent="0.4">
      <c r="B72" s="25"/>
      <c r="D72" s="42"/>
      <c r="E72" s="26"/>
      <c r="G72" s="54"/>
      <c r="N72" s="42"/>
    </row>
    <row r="73" spans="2:14" s="13" customFormat="1" x14ac:dyDescent="0.4">
      <c r="B73" s="25"/>
      <c r="D73" s="42"/>
      <c r="E73" s="26"/>
      <c r="G73" s="54"/>
      <c r="N73" s="42"/>
    </row>
    <row r="74" spans="2:14" s="13" customFormat="1" x14ac:dyDescent="0.4">
      <c r="B74" s="25"/>
      <c r="D74" s="42"/>
      <c r="E74" s="26"/>
      <c r="G74" s="54"/>
      <c r="N74" s="42"/>
    </row>
    <row r="75" spans="2:14" s="13" customFormat="1" x14ac:dyDescent="0.4">
      <c r="B75" s="25"/>
      <c r="D75" s="42"/>
      <c r="E75" s="26"/>
      <c r="G75" s="54"/>
      <c r="N75" s="42"/>
    </row>
    <row r="76" spans="2:14" s="13" customFormat="1" x14ac:dyDescent="0.4">
      <c r="B76" s="25"/>
      <c r="D76" s="42"/>
      <c r="E76" s="26"/>
      <c r="G76" s="54"/>
      <c r="N76" s="42"/>
    </row>
    <row r="77" spans="2:14" s="13" customFormat="1" x14ac:dyDescent="0.4">
      <c r="B77" s="25"/>
      <c r="D77" s="42"/>
      <c r="E77" s="26"/>
      <c r="G77" s="54"/>
      <c r="N77" s="42"/>
    </row>
    <row r="78" spans="2:14" s="13" customFormat="1" x14ac:dyDescent="0.4">
      <c r="B78" s="25"/>
      <c r="D78" s="42"/>
      <c r="E78" s="26"/>
      <c r="G78" s="54"/>
      <c r="N78" s="42"/>
    </row>
    <row r="79" spans="2:14" s="13" customFormat="1" x14ac:dyDescent="0.4">
      <c r="B79" s="25"/>
      <c r="D79" s="42"/>
      <c r="E79" s="26"/>
      <c r="G79" s="54"/>
      <c r="N79" s="42"/>
    </row>
    <row r="80" spans="2:14" s="13" customFormat="1" x14ac:dyDescent="0.4">
      <c r="B80" s="25"/>
      <c r="D80" s="42"/>
      <c r="E80" s="26"/>
      <c r="G80" s="54"/>
      <c r="N80" s="42"/>
    </row>
    <row r="81" spans="2:14" s="13" customFormat="1" x14ac:dyDescent="0.4">
      <c r="B81" s="25"/>
      <c r="D81" s="42"/>
      <c r="E81" s="26"/>
      <c r="G81" s="54"/>
      <c r="N81" s="42"/>
    </row>
    <row r="82" spans="2:14" s="13" customFormat="1" x14ac:dyDescent="0.4">
      <c r="B82" s="25"/>
      <c r="D82" s="42"/>
      <c r="E82" s="26"/>
      <c r="G82" s="54"/>
      <c r="N82" s="42"/>
    </row>
    <row r="83" spans="2:14" s="13" customFormat="1" x14ac:dyDescent="0.4">
      <c r="B83" s="25"/>
      <c r="D83" s="42"/>
      <c r="E83" s="26"/>
      <c r="G83" s="54"/>
      <c r="N83" s="42"/>
    </row>
    <row r="84" spans="2:14" s="13" customFormat="1" x14ac:dyDescent="0.4">
      <c r="B84" s="25"/>
      <c r="D84" s="42"/>
      <c r="E84" s="26"/>
      <c r="G84" s="54"/>
      <c r="N84" s="42"/>
    </row>
    <row r="85" spans="2:14" s="13" customFormat="1" x14ac:dyDescent="0.4">
      <c r="B85" s="25"/>
      <c r="D85" s="42"/>
      <c r="E85" s="26"/>
      <c r="G85" s="54"/>
      <c r="N85" s="42"/>
    </row>
    <row r="86" spans="2:14" s="13" customFormat="1" x14ac:dyDescent="0.4">
      <c r="B86" s="25"/>
      <c r="D86" s="42"/>
      <c r="E86" s="26"/>
      <c r="G86" s="54"/>
      <c r="N86" s="42"/>
    </row>
    <row r="87" spans="2:14" s="13" customFormat="1" x14ac:dyDescent="0.4">
      <c r="B87" s="25"/>
      <c r="D87" s="42"/>
      <c r="E87" s="26"/>
      <c r="G87" s="54"/>
      <c r="N87" s="42"/>
    </row>
    <row r="88" spans="2:14" s="13" customFormat="1" x14ac:dyDescent="0.4">
      <c r="B88" s="25"/>
      <c r="D88" s="42"/>
      <c r="E88" s="26"/>
      <c r="G88" s="54"/>
      <c r="N88" s="42"/>
    </row>
    <row r="89" spans="2:14" s="13" customFormat="1" x14ac:dyDescent="0.4">
      <c r="B89" s="25"/>
      <c r="D89" s="42"/>
      <c r="E89" s="26"/>
      <c r="G89" s="54"/>
      <c r="N89" s="42"/>
    </row>
    <row r="90" spans="2:14" s="13" customFormat="1" x14ac:dyDescent="0.4">
      <c r="B90" s="25"/>
      <c r="D90" s="42"/>
      <c r="E90" s="26"/>
      <c r="G90" s="54"/>
      <c r="N90" s="42"/>
    </row>
    <row r="91" spans="2:14" s="13" customFormat="1" x14ac:dyDescent="0.4">
      <c r="B91" s="25"/>
      <c r="D91" s="42"/>
      <c r="E91" s="26"/>
      <c r="G91" s="54"/>
      <c r="N91" s="42"/>
    </row>
    <row r="92" spans="2:14" s="13" customFormat="1" x14ac:dyDescent="0.4">
      <c r="B92" s="25"/>
      <c r="D92" s="42"/>
      <c r="E92" s="26"/>
      <c r="G92" s="54"/>
      <c r="N92" s="42"/>
    </row>
    <row r="93" spans="2:14" s="13" customFormat="1" x14ac:dyDescent="0.4">
      <c r="B93" s="25"/>
      <c r="D93" s="42"/>
      <c r="E93" s="26"/>
      <c r="G93" s="54"/>
      <c r="N93" s="42"/>
    </row>
    <row r="94" spans="2:14" s="13" customFormat="1" x14ac:dyDescent="0.4">
      <c r="B94" s="25"/>
      <c r="D94" s="42"/>
      <c r="E94" s="26"/>
      <c r="G94" s="54"/>
      <c r="N94" s="42"/>
    </row>
    <row r="95" spans="2:14" s="13" customFormat="1" x14ac:dyDescent="0.4">
      <c r="B95" s="25"/>
      <c r="D95" s="42"/>
      <c r="E95" s="26"/>
      <c r="G95" s="54"/>
      <c r="N95" s="42"/>
    </row>
    <row r="96" spans="2:14" s="13" customFormat="1" x14ac:dyDescent="0.4">
      <c r="B96" s="25"/>
      <c r="D96" s="42"/>
      <c r="E96" s="26"/>
      <c r="G96" s="54"/>
      <c r="N96" s="42"/>
    </row>
    <row r="97" spans="2:14" s="13" customFormat="1" x14ac:dyDescent="0.4">
      <c r="B97" s="25"/>
      <c r="D97" s="42"/>
      <c r="E97" s="26"/>
      <c r="G97" s="54"/>
      <c r="N97" s="42"/>
    </row>
    <row r="98" spans="2:14" s="13" customFormat="1" x14ac:dyDescent="0.4">
      <c r="B98" s="25"/>
      <c r="D98" s="42"/>
      <c r="E98" s="26"/>
      <c r="G98" s="54"/>
      <c r="N98" s="42"/>
    </row>
    <row r="99" spans="2:14" s="13" customFormat="1" x14ac:dyDescent="0.4">
      <c r="B99" s="25"/>
      <c r="D99" s="42"/>
      <c r="E99" s="26"/>
      <c r="G99" s="54"/>
      <c r="N99" s="42"/>
    </row>
    <row r="100" spans="2:14" s="13" customFormat="1" x14ac:dyDescent="0.4">
      <c r="B100" s="25"/>
      <c r="D100" s="42"/>
      <c r="E100" s="26"/>
      <c r="G100" s="54"/>
      <c r="N100" s="42"/>
    </row>
    <row r="101" spans="2:14" s="13" customFormat="1" x14ac:dyDescent="0.4">
      <c r="B101" s="25"/>
      <c r="D101" s="42"/>
      <c r="E101" s="26"/>
      <c r="G101" s="54"/>
      <c r="N101" s="42"/>
    </row>
    <row r="102" spans="2:14" s="13" customFormat="1" x14ac:dyDescent="0.4">
      <c r="B102" s="25"/>
      <c r="D102" s="42"/>
      <c r="E102" s="26"/>
      <c r="G102" s="54"/>
      <c r="N102" s="42"/>
    </row>
    <row r="103" spans="2:14" s="13" customFormat="1" x14ac:dyDescent="0.4">
      <c r="B103" s="25"/>
      <c r="D103" s="42"/>
      <c r="E103" s="26"/>
      <c r="G103" s="54"/>
      <c r="N103" s="42"/>
    </row>
    <row r="104" spans="2:14" s="13" customFormat="1" x14ac:dyDescent="0.4">
      <c r="B104" s="25"/>
      <c r="D104" s="42"/>
      <c r="E104" s="26"/>
      <c r="G104" s="54"/>
      <c r="N104" s="42"/>
    </row>
    <row r="105" spans="2:14" s="13" customFormat="1" x14ac:dyDescent="0.4">
      <c r="B105" s="25"/>
      <c r="D105" s="42"/>
      <c r="E105" s="26"/>
      <c r="G105" s="54"/>
      <c r="N105" s="42"/>
    </row>
    <row r="106" spans="2:14" s="13" customFormat="1" x14ac:dyDescent="0.4">
      <c r="B106" s="25"/>
      <c r="D106" s="42"/>
      <c r="E106" s="26"/>
      <c r="G106" s="54"/>
      <c r="N106" s="42"/>
    </row>
    <row r="107" spans="2:14" s="13" customFormat="1" x14ac:dyDescent="0.4">
      <c r="B107" s="25"/>
      <c r="D107" s="42"/>
      <c r="E107" s="26"/>
      <c r="G107" s="54"/>
      <c r="N107" s="42"/>
    </row>
    <row r="108" spans="2:14" s="13" customFormat="1" x14ac:dyDescent="0.4">
      <c r="B108" s="25"/>
      <c r="D108" s="42"/>
      <c r="E108" s="26"/>
      <c r="G108" s="54"/>
      <c r="N108" s="42"/>
    </row>
    <row r="109" spans="2:14" s="13" customFormat="1" x14ac:dyDescent="0.4">
      <c r="B109" s="25"/>
      <c r="D109" s="42"/>
      <c r="E109" s="26"/>
      <c r="G109" s="54"/>
      <c r="N109" s="42"/>
    </row>
    <row r="110" spans="2:14" s="13" customFormat="1" x14ac:dyDescent="0.4">
      <c r="B110" s="25"/>
      <c r="D110" s="42"/>
      <c r="E110" s="26"/>
      <c r="G110" s="54"/>
      <c r="N110" s="42"/>
    </row>
    <row r="111" spans="2:14" s="13" customFormat="1" x14ac:dyDescent="0.4">
      <c r="B111" s="25"/>
      <c r="D111" s="42"/>
      <c r="E111" s="26"/>
      <c r="G111" s="54"/>
      <c r="N111" s="42"/>
    </row>
    <row r="112" spans="2:14" s="13" customFormat="1" x14ac:dyDescent="0.4">
      <c r="B112" s="25"/>
      <c r="D112" s="42"/>
      <c r="E112" s="26"/>
      <c r="G112" s="54"/>
      <c r="N112" s="42"/>
    </row>
    <row r="113" spans="2:14" s="13" customFormat="1" x14ac:dyDescent="0.4">
      <c r="B113" s="25"/>
      <c r="D113" s="42"/>
      <c r="E113" s="26"/>
      <c r="G113" s="54"/>
      <c r="N113" s="42"/>
    </row>
    <row r="114" spans="2:14" s="13" customFormat="1" x14ac:dyDescent="0.4">
      <c r="B114" s="25"/>
      <c r="D114" s="42"/>
      <c r="E114" s="26"/>
      <c r="G114" s="54"/>
      <c r="N114" s="42"/>
    </row>
    <row r="115" spans="2:14" s="13" customFormat="1" x14ac:dyDescent="0.4">
      <c r="B115" s="25"/>
      <c r="D115" s="42"/>
      <c r="E115" s="26"/>
      <c r="G115" s="54"/>
      <c r="N115" s="42"/>
    </row>
    <row r="116" spans="2:14" s="13" customFormat="1" x14ac:dyDescent="0.4">
      <c r="B116" s="25"/>
      <c r="D116" s="42"/>
      <c r="E116" s="26"/>
      <c r="G116" s="54"/>
      <c r="N116" s="42"/>
    </row>
    <row r="117" spans="2:14" s="13" customFormat="1" x14ac:dyDescent="0.4">
      <c r="B117" s="25"/>
      <c r="D117" s="42"/>
      <c r="E117" s="26"/>
      <c r="G117" s="54"/>
      <c r="N117" s="42"/>
    </row>
    <row r="118" spans="2:14" s="13" customFormat="1" x14ac:dyDescent="0.4">
      <c r="B118" s="25"/>
      <c r="D118" s="42"/>
      <c r="E118" s="26"/>
      <c r="G118" s="54"/>
      <c r="N118" s="42"/>
    </row>
    <row r="119" spans="2:14" s="13" customFormat="1" x14ac:dyDescent="0.4">
      <c r="B119" s="25"/>
      <c r="D119" s="42"/>
      <c r="E119" s="26"/>
      <c r="G119" s="54"/>
      <c r="N119" s="42"/>
    </row>
    <row r="120" spans="2:14" s="13" customFormat="1" x14ac:dyDescent="0.4">
      <c r="B120" s="25"/>
      <c r="D120" s="42"/>
      <c r="E120" s="26"/>
      <c r="G120" s="54"/>
      <c r="N120" s="42"/>
    </row>
    <row r="121" spans="2:14" s="13" customFormat="1" x14ac:dyDescent="0.4">
      <c r="B121" s="25"/>
      <c r="D121" s="42"/>
      <c r="E121" s="26"/>
      <c r="G121" s="54"/>
      <c r="N121" s="42"/>
    </row>
    <row r="122" spans="2:14" s="13" customFormat="1" x14ac:dyDescent="0.4">
      <c r="B122" s="25"/>
      <c r="D122" s="42"/>
      <c r="E122" s="26"/>
      <c r="G122" s="54"/>
      <c r="N122" s="42"/>
    </row>
    <row r="123" spans="2:14" s="13" customFormat="1" x14ac:dyDescent="0.4">
      <c r="B123" s="25"/>
      <c r="D123" s="42"/>
      <c r="E123" s="26"/>
      <c r="G123" s="54"/>
      <c r="N123" s="42"/>
    </row>
    <row r="124" spans="2:14" s="13" customFormat="1" x14ac:dyDescent="0.4">
      <c r="B124" s="25"/>
      <c r="D124" s="42"/>
      <c r="E124" s="26"/>
      <c r="G124" s="54"/>
      <c r="N124" s="42"/>
    </row>
    <row r="125" spans="2:14" s="13" customFormat="1" x14ac:dyDescent="0.4">
      <c r="B125" s="25"/>
      <c r="D125" s="42"/>
      <c r="E125" s="26"/>
      <c r="G125" s="54"/>
      <c r="N125" s="42"/>
    </row>
    <row r="126" spans="2:14" s="13" customFormat="1" x14ac:dyDescent="0.4">
      <c r="B126" s="25"/>
      <c r="D126" s="42"/>
      <c r="E126" s="26"/>
      <c r="G126" s="54"/>
      <c r="N126" s="42"/>
    </row>
    <row r="127" spans="2:14" s="13" customFormat="1" x14ac:dyDescent="0.4">
      <c r="B127" s="25"/>
      <c r="D127" s="42"/>
      <c r="E127" s="26"/>
      <c r="G127" s="54"/>
      <c r="N127" s="42"/>
    </row>
    <row r="128" spans="2:14" s="13" customFormat="1" x14ac:dyDescent="0.4">
      <c r="B128" s="25"/>
      <c r="D128" s="42"/>
      <c r="E128" s="26"/>
      <c r="G128" s="54"/>
      <c r="N128" s="42"/>
    </row>
    <row r="129" spans="2:14" s="13" customFormat="1" x14ac:dyDescent="0.4">
      <c r="B129" s="25"/>
      <c r="D129" s="42"/>
      <c r="E129" s="26"/>
      <c r="G129" s="54"/>
      <c r="N129" s="42"/>
    </row>
    <row r="130" spans="2:14" s="13" customFormat="1" x14ac:dyDescent="0.4">
      <c r="B130" s="25"/>
      <c r="D130" s="42"/>
      <c r="E130" s="26"/>
      <c r="G130" s="54"/>
      <c r="N130" s="42"/>
    </row>
    <row r="131" spans="2:14" s="13" customFormat="1" x14ac:dyDescent="0.4">
      <c r="B131" s="25"/>
      <c r="D131" s="42"/>
      <c r="E131" s="26"/>
      <c r="G131" s="54"/>
      <c r="N131" s="42"/>
    </row>
    <row r="132" spans="2:14" s="13" customFormat="1" x14ac:dyDescent="0.4">
      <c r="B132" s="25"/>
      <c r="D132" s="42"/>
      <c r="E132" s="26"/>
      <c r="G132" s="54"/>
      <c r="N132" s="42"/>
    </row>
    <row r="133" spans="2:14" s="13" customFormat="1" x14ac:dyDescent="0.4">
      <c r="B133" s="25"/>
      <c r="D133" s="42"/>
      <c r="E133" s="26"/>
      <c r="G133" s="54"/>
      <c r="N133" s="42"/>
    </row>
    <row r="134" spans="2:14" s="13" customFormat="1" x14ac:dyDescent="0.4">
      <c r="B134" s="25"/>
      <c r="D134" s="42"/>
      <c r="E134" s="26"/>
      <c r="G134" s="54"/>
      <c r="N134" s="42"/>
    </row>
    <row r="135" spans="2:14" s="13" customFormat="1" x14ac:dyDescent="0.4">
      <c r="B135" s="25"/>
      <c r="D135" s="42"/>
      <c r="E135" s="26"/>
      <c r="G135" s="54"/>
      <c r="N135" s="42"/>
    </row>
    <row r="136" spans="2:14" s="13" customFormat="1" x14ac:dyDescent="0.4">
      <c r="B136" s="25"/>
      <c r="D136" s="42"/>
      <c r="E136" s="26"/>
      <c r="G136" s="54"/>
      <c r="N136" s="42"/>
    </row>
    <row r="137" spans="2:14" s="13" customFormat="1" x14ac:dyDescent="0.4">
      <c r="B137" s="25"/>
      <c r="D137" s="42"/>
      <c r="E137" s="26"/>
      <c r="G137" s="54"/>
      <c r="N137" s="42"/>
    </row>
    <row r="138" spans="2:14" s="13" customFormat="1" x14ac:dyDescent="0.4">
      <c r="B138" s="25"/>
      <c r="D138" s="42"/>
      <c r="E138" s="26"/>
      <c r="G138" s="54"/>
      <c r="N138" s="42"/>
    </row>
    <row r="139" spans="2:14" s="13" customFormat="1" x14ac:dyDescent="0.4">
      <c r="B139" s="25"/>
      <c r="D139" s="42"/>
      <c r="E139" s="26"/>
      <c r="G139" s="54"/>
      <c r="N139" s="42"/>
    </row>
    <row r="140" spans="2:14" s="13" customFormat="1" x14ac:dyDescent="0.4">
      <c r="B140" s="25"/>
      <c r="D140" s="42"/>
      <c r="E140" s="26"/>
      <c r="G140" s="54"/>
      <c r="N140" s="42"/>
    </row>
    <row r="141" spans="2:14" s="13" customFormat="1" x14ac:dyDescent="0.4">
      <c r="B141" s="25"/>
      <c r="D141" s="42"/>
      <c r="E141" s="26"/>
      <c r="G141" s="54"/>
      <c r="N141" s="42"/>
    </row>
    <row r="142" spans="2:14" s="13" customFormat="1" x14ac:dyDescent="0.4">
      <c r="B142" s="25"/>
      <c r="D142" s="42"/>
      <c r="E142" s="26"/>
      <c r="G142" s="54"/>
      <c r="N142" s="42"/>
    </row>
    <row r="143" spans="2:14" s="13" customFormat="1" x14ac:dyDescent="0.4">
      <c r="B143" s="25"/>
      <c r="D143" s="42"/>
      <c r="E143" s="26"/>
      <c r="G143" s="54"/>
      <c r="N143" s="42"/>
    </row>
    <row r="144" spans="2:14" s="13" customFormat="1" x14ac:dyDescent="0.4">
      <c r="B144" s="25"/>
      <c r="D144" s="42"/>
      <c r="E144" s="26"/>
      <c r="G144" s="54"/>
      <c r="N144" s="42"/>
    </row>
    <row r="145" spans="2:14" s="13" customFormat="1" x14ac:dyDescent="0.4">
      <c r="B145" s="25"/>
      <c r="D145" s="42"/>
      <c r="E145" s="26"/>
      <c r="G145" s="54"/>
      <c r="N145" s="42"/>
    </row>
    <row r="146" spans="2:14" s="13" customFormat="1" x14ac:dyDescent="0.4">
      <c r="B146" s="25"/>
      <c r="D146" s="42"/>
      <c r="E146" s="26"/>
      <c r="G146" s="54"/>
      <c r="N146" s="42"/>
    </row>
    <row r="147" spans="2:14" s="13" customFormat="1" x14ac:dyDescent="0.4">
      <c r="B147" s="25"/>
      <c r="D147" s="42"/>
      <c r="E147" s="26"/>
      <c r="G147" s="54"/>
      <c r="N147" s="42"/>
    </row>
    <row r="148" spans="2:14" s="13" customFormat="1" x14ac:dyDescent="0.4">
      <c r="B148" s="25"/>
      <c r="D148" s="42"/>
      <c r="E148" s="26"/>
      <c r="G148" s="54"/>
      <c r="N148" s="42"/>
    </row>
    <row r="149" spans="2:14" s="13" customFormat="1" x14ac:dyDescent="0.4">
      <c r="B149" s="25"/>
      <c r="D149" s="42"/>
      <c r="E149" s="26"/>
      <c r="G149" s="54"/>
      <c r="N149" s="42"/>
    </row>
    <row r="150" spans="2:14" s="13" customFormat="1" x14ac:dyDescent="0.4">
      <c r="B150" s="25"/>
      <c r="D150" s="42"/>
      <c r="E150" s="26"/>
      <c r="G150" s="54"/>
      <c r="N150" s="42"/>
    </row>
    <row r="151" spans="2:14" s="13" customFormat="1" x14ac:dyDescent="0.4">
      <c r="B151" s="25"/>
      <c r="D151" s="42"/>
      <c r="E151" s="26"/>
      <c r="G151" s="54"/>
      <c r="N151" s="42"/>
    </row>
    <row r="152" spans="2:14" s="13" customFormat="1" x14ac:dyDescent="0.4">
      <c r="B152" s="25"/>
      <c r="D152" s="42"/>
      <c r="E152" s="26"/>
      <c r="G152" s="54"/>
      <c r="N152" s="42"/>
    </row>
    <row r="153" spans="2:14" s="13" customFormat="1" x14ac:dyDescent="0.4">
      <c r="B153" s="25"/>
      <c r="D153" s="42"/>
      <c r="E153" s="26"/>
      <c r="G153" s="54"/>
      <c r="N153" s="42"/>
    </row>
    <row r="154" spans="2:14" s="13" customFormat="1" x14ac:dyDescent="0.4">
      <c r="B154" s="25"/>
      <c r="D154" s="42"/>
      <c r="E154" s="26"/>
      <c r="G154" s="54"/>
      <c r="N154" s="42"/>
    </row>
    <row r="155" spans="2:14" s="13" customFormat="1" x14ac:dyDescent="0.4">
      <c r="B155" s="25"/>
      <c r="D155" s="42"/>
      <c r="E155" s="26"/>
      <c r="G155" s="54"/>
      <c r="N155" s="42"/>
    </row>
    <row r="156" spans="2:14" s="13" customFormat="1" x14ac:dyDescent="0.4">
      <c r="B156" s="25"/>
      <c r="D156" s="42"/>
      <c r="E156" s="26"/>
      <c r="G156" s="54"/>
      <c r="N156" s="42"/>
    </row>
    <row r="157" spans="2:14" s="13" customFormat="1" x14ac:dyDescent="0.4">
      <c r="B157" s="25"/>
      <c r="D157" s="42"/>
      <c r="E157" s="26"/>
      <c r="G157" s="54"/>
      <c r="N157" s="42"/>
    </row>
    <row r="158" spans="2:14" s="13" customFormat="1" x14ac:dyDescent="0.4">
      <c r="B158" s="25"/>
      <c r="D158" s="42"/>
      <c r="E158" s="26"/>
      <c r="G158" s="54"/>
      <c r="N158" s="42"/>
    </row>
    <row r="159" spans="2:14" s="13" customFormat="1" x14ac:dyDescent="0.4">
      <c r="B159" s="25"/>
      <c r="D159" s="42"/>
      <c r="E159" s="26"/>
      <c r="G159" s="54"/>
      <c r="N159" s="42"/>
    </row>
    <row r="160" spans="2:14" s="13" customFormat="1" x14ac:dyDescent="0.4">
      <c r="B160" s="25"/>
      <c r="D160" s="42"/>
      <c r="E160" s="26"/>
      <c r="G160" s="54"/>
      <c r="N160" s="42"/>
    </row>
    <row r="161" spans="2:14" s="13" customFormat="1" x14ac:dyDescent="0.4">
      <c r="B161" s="25"/>
      <c r="D161" s="42"/>
      <c r="E161" s="26"/>
      <c r="G161" s="54"/>
      <c r="N161" s="42"/>
    </row>
    <row r="162" spans="2:14" s="13" customFormat="1" x14ac:dyDescent="0.4">
      <c r="B162" s="25"/>
      <c r="D162" s="42"/>
      <c r="E162" s="26"/>
      <c r="G162" s="54"/>
      <c r="N162" s="42"/>
    </row>
    <row r="163" spans="2:14" s="13" customFormat="1" x14ac:dyDescent="0.4">
      <c r="B163" s="25"/>
      <c r="D163" s="42"/>
      <c r="E163" s="26"/>
      <c r="G163" s="54"/>
      <c r="N163" s="42"/>
    </row>
    <row r="164" spans="2:14" s="13" customFormat="1" x14ac:dyDescent="0.4">
      <c r="B164" s="25"/>
      <c r="D164" s="42"/>
      <c r="E164" s="26"/>
      <c r="G164" s="54"/>
      <c r="N164" s="42"/>
    </row>
    <row r="165" spans="2:14" s="13" customFormat="1" x14ac:dyDescent="0.4">
      <c r="B165" s="25"/>
      <c r="D165" s="42"/>
      <c r="E165" s="26"/>
      <c r="G165" s="54"/>
      <c r="N165" s="42"/>
    </row>
    <row r="166" spans="2:14" s="13" customFormat="1" x14ac:dyDescent="0.4">
      <c r="B166" s="25"/>
      <c r="D166" s="42"/>
      <c r="E166" s="26"/>
      <c r="G166" s="54"/>
      <c r="N166" s="42"/>
    </row>
    <row r="167" spans="2:14" s="13" customFormat="1" x14ac:dyDescent="0.4">
      <c r="B167" s="25"/>
      <c r="D167" s="42"/>
      <c r="E167" s="26"/>
      <c r="G167" s="54"/>
      <c r="N167" s="42"/>
    </row>
    <row r="168" spans="2:14" s="13" customFormat="1" x14ac:dyDescent="0.4">
      <c r="B168" s="25"/>
      <c r="D168" s="42"/>
      <c r="E168" s="26"/>
      <c r="G168" s="54"/>
      <c r="N168" s="42"/>
    </row>
    <row r="169" spans="2:14" s="13" customFormat="1" x14ac:dyDescent="0.4">
      <c r="B169" s="25"/>
      <c r="D169" s="42"/>
      <c r="E169" s="26"/>
      <c r="G169" s="54"/>
      <c r="N169" s="42"/>
    </row>
    <row r="170" spans="2:14" s="13" customFormat="1" x14ac:dyDescent="0.4">
      <c r="B170" s="25"/>
      <c r="D170" s="42"/>
      <c r="E170" s="26"/>
      <c r="G170" s="54"/>
      <c r="N170" s="42"/>
    </row>
    <row r="171" spans="2:14" s="13" customFormat="1" x14ac:dyDescent="0.4">
      <c r="B171" s="25"/>
      <c r="D171" s="42"/>
      <c r="E171" s="26"/>
      <c r="G171" s="54"/>
      <c r="N171" s="42"/>
    </row>
    <row r="172" spans="2:14" s="13" customFormat="1" x14ac:dyDescent="0.4">
      <c r="B172" s="25"/>
      <c r="D172" s="42"/>
      <c r="E172" s="26"/>
      <c r="G172" s="54"/>
      <c r="N172" s="42"/>
    </row>
    <row r="173" spans="2:14" s="13" customFormat="1" x14ac:dyDescent="0.4">
      <c r="B173" s="25"/>
      <c r="D173" s="42"/>
      <c r="E173" s="26"/>
      <c r="G173" s="54"/>
      <c r="N173" s="42"/>
    </row>
    <row r="174" spans="2:14" s="13" customFormat="1" x14ac:dyDescent="0.4">
      <c r="B174" s="25"/>
      <c r="D174" s="42"/>
      <c r="E174" s="26"/>
      <c r="G174" s="54"/>
      <c r="N174" s="42"/>
    </row>
    <row r="175" spans="2:14" s="13" customFormat="1" x14ac:dyDescent="0.4">
      <c r="B175" s="25"/>
      <c r="D175" s="42"/>
      <c r="E175" s="26"/>
      <c r="G175" s="54"/>
      <c r="N175" s="42"/>
    </row>
    <row r="176" spans="2:14" s="13" customFormat="1" x14ac:dyDescent="0.4">
      <c r="B176" s="25"/>
      <c r="D176" s="42"/>
      <c r="E176" s="26"/>
      <c r="G176" s="54"/>
      <c r="N176" s="42"/>
    </row>
    <row r="177" spans="2:14" s="13" customFormat="1" x14ac:dyDescent="0.4">
      <c r="B177" s="25"/>
      <c r="D177" s="42"/>
      <c r="E177" s="26"/>
      <c r="G177" s="54"/>
      <c r="N177" s="42"/>
    </row>
    <row r="178" spans="2:14" s="13" customFormat="1" x14ac:dyDescent="0.4">
      <c r="B178" s="25"/>
      <c r="D178" s="42"/>
      <c r="E178" s="26"/>
      <c r="G178" s="54"/>
      <c r="N178" s="42"/>
    </row>
    <row r="179" spans="2:14" s="13" customFormat="1" x14ac:dyDescent="0.4">
      <c r="B179" s="25"/>
      <c r="D179" s="42"/>
      <c r="E179" s="26"/>
      <c r="G179" s="54"/>
      <c r="N179" s="42"/>
    </row>
    <row r="180" spans="2:14" s="13" customFormat="1" x14ac:dyDescent="0.4">
      <c r="B180" s="25"/>
      <c r="D180" s="42"/>
      <c r="E180" s="26"/>
      <c r="G180" s="54"/>
      <c r="N180" s="42"/>
    </row>
    <row r="181" spans="2:14" s="13" customFormat="1" x14ac:dyDescent="0.4">
      <c r="B181" s="25"/>
      <c r="D181" s="42"/>
      <c r="E181" s="26"/>
      <c r="G181" s="54"/>
      <c r="N181" s="42"/>
    </row>
    <row r="182" spans="2:14" s="13" customFormat="1" x14ac:dyDescent="0.4">
      <c r="B182" s="25"/>
      <c r="D182" s="42"/>
      <c r="E182" s="26"/>
      <c r="G182" s="54"/>
      <c r="N182" s="42"/>
    </row>
    <row r="183" spans="2:14" s="13" customFormat="1" x14ac:dyDescent="0.4">
      <c r="B183" s="25"/>
      <c r="D183" s="42"/>
      <c r="E183" s="26"/>
      <c r="G183" s="54"/>
      <c r="N183" s="42"/>
    </row>
    <row r="184" spans="2:14" s="13" customFormat="1" x14ac:dyDescent="0.4">
      <c r="B184" s="25"/>
      <c r="D184" s="42"/>
      <c r="E184" s="26"/>
      <c r="G184" s="54"/>
      <c r="N184" s="42"/>
    </row>
    <row r="185" spans="2:14" s="13" customFormat="1" x14ac:dyDescent="0.4">
      <c r="B185" s="25"/>
      <c r="D185" s="42"/>
      <c r="E185" s="26"/>
      <c r="G185" s="54"/>
      <c r="N185" s="42"/>
    </row>
    <row r="186" spans="2:14" s="13" customFormat="1" x14ac:dyDescent="0.4">
      <c r="B186" s="25"/>
      <c r="D186" s="42"/>
      <c r="E186" s="26"/>
      <c r="G186" s="54"/>
      <c r="N186" s="42"/>
    </row>
    <row r="187" spans="2:14" s="13" customFormat="1" x14ac:dyDescent="0.4">
      <c r="B187" s="25"/>
      <c r="D187" s="42"/>
      <c r="E187" s="26"/>
      <c r="G187" s="54"/>
      <c r="N187" s="42"/>
    </row>
    <row r="188" spans="2:14" s="13" customFormat="1" x14ac:dyDescent="0.4">
      <c r="B188" s="25"/>
      <c r="D188" s="42"/>
      <c r="E188" s="26"/>
      <c r="G188" s="54"/>
      <c r="N188" s="42"/>
    </row>
    <row r="189" spans="2:14" s="13" customFormat="1" x14ac:dyDescent="0.4">
      <c r="B189" s="25"/>
      <c r="D189" s="42"/>
      <c r="E189" s="26"/>
      <c r="G189" s="54"/>
      <c r="N189" s="42"/>
    </row>
    <row r="190" spans="2:14" s="13" customFormat="1" x14ac:dyDescent="0.4">
      <c r="B190" s="25"/>
      <c r="D190" s="42"/>
      <c r="E190" s="26"/>
      <c r="G190" s="54"/>
      <c r="N190" s="42"/>
    </row>
    <row r="191" spans="2:14" s="13" customFormat="1" x14ac:dyDescent="0.4">
      <c r="B191" s="25"/>
      <c r="D191" s="42"/>
      <c r="E191" s="26"/>
      <c r="G191" s="54"/>
      <c r="N191" s="42"/>
    </row>
    <row r="192" spans="2:14" s="13" customFormat="1" x14ac:dyDescent="0.4">
      <c r="B192" s="25"/>
      <c r="D192" s="42"/>
      <c r="E192" s="26"/>
      <c r="G192" s="54"/>
      <c r="N192" s="42"/>
    </row>
    <row r="193" spans="2:14" s="13" customFormat="1" x14ac:dyDescent="0.4">
      <c r="B193" s="25"/>
      <c r="D193" s="42"/>
      <c r="E193" s="26"/>
      <c r="G193" s="54"/>
      <c r="N193" s="42"/>
    </row>
    <row r="194" spans="2:14" s="13" customFormat="1" x14ac:dyDescent="0.4">
      <c r="B194" s="25"/>
      <c r="D194" s="42"/>
      <c r="E194" s="26"/>
      <c r="G194" s="54"/>
      <c r="N194" s="42"/>
    </row>
    <row r="195" spans="2:14" s="13" customFormat="1" x14ac:dyDescent="0.4">
      <c r="B195" s="25"/>
      <c r="D195" s="42"/>
      <c r="E195" s="26"/>
      <c r="G195" s="54"/>
      <c r="N195" s="42"/>
    </row>
    <row r="196" spans="2:14" s="13" customFormat="1" x14ac:dyDescent="0.4">
      <c r="B196" s="25"/>
      <c r="D196" s="42"/>
      <c r="E196" s="26"/>
      <c r="G196" s="54"/>
      <c r="N196" s="42"/>
    </row>
    <row r="197" spans="2:14" s="13" customFormat="1" x14ac:dyDescent="0.4">
      <c r="B197" s="25"/>
      <c r="D197" s="42"/>
      <c r="E197" s="26"/>
      <c r="G197" s="54"/>
      <c r="N197" s="42"/>
    </row>
    <row r="198" spans="2:14" s="13" customFormat="1" x14ac:dyDescent="0.4">
      <c r="B198" s="25"/>
      <c r="D198" s="42"/>
      <c r="E198" s="26"/>
      <c r="G198" s="54"/>
      <c r="N198" s="42"/>
    </row>
    <row r="199" spans="2:14" s="13" customFormat="1" x14ac:dyDescent="0.4">
      <c r="B199" s="25"/>
      <c r="D199" s="42"/>
      <c r="E199" s="26"/>
      <c r="G199" s="54"/>
      <c r="N199" s="42"/>
    </row>
    <row r="200" spans="2:14" s="13" customFormat="1" x14ac:dyDescent="0.4">
      <c r="B200" s="25"/>
      <c r="D200" s="42"/>
      <c r="E200" s="26"/>
      <c r="G200" s="54"/>
      <c r="N200" s="42"/>
    </row>
    <row r="201" spans="2:14" s="13" customFormat="1" x14ac:dyDescent="0.4">
      <c r="B201" s="25"/>
      <c r="D201" s="42"/>
      <c r="E201" s="26"/>
      <c r="G201" s="54"/>
      <c r="N201" s="42"/>
    </row>
    <row r="202" spans="2:14" s="13" customFormat="1" x14ac:dyDescent="0.4">
      <c r="B202" s="25"/>
      <c r="D202" s="42"/>
      <c r="E202" s="26"/>
      <c r="G202" s="54"/>
      <c r="N202" s="42"/>
    </row>
    <row r="203" spans="2:14" s="13" customFormat="1" x14ac:dyDescent="0.4">
      <c r="B203" s="25"/>
      <c r="D203" s="42"/>
      <c r="E203" s="26"/>
      <c r="G203" s="54"/>
      <c r="N203" s="42"/>
    </row>
    <row r="204" spans="2:14" s="13" customFormat="1" x14ac:dyDescent="0.4">
      <c r="B204" s="25"/>
      <c r="D204" s="42"/>
      <c r="E204" s="26"/>
      <c r="G204" s="54"/>
      <c r="N204" s="42"/>
    </row>
    <row r="205" spans="2:14" s="13" customFormat="1" x14ac:dyDescent="0.4">
      <c r="B205" s="25"/>
      <c r="D205" s="42"/>
      <c r="E205" s="26"/>
      <c r="G205" s="54"/>
      <c r="N205" s="42"/>
    </row>
    <row r="206" spans="2:14" s="13" customFormat="1" x14ac:dyDescent="0.4">
      <c r="B206" s="25"/>
      <c r="D206" s="42"/>
      <c r="E206" s="26"/>
      <c r="G206" s="54"/>
      <c r="N206" s="42"/>
    </row>
    <row r="207" spans="2:14" s="13" customFormat="1" x14ac:dyDescent="0.4">
      <c r="B207" s="25"/>
      <c r="D207" s="42"/>
      <c r="E207" s="26"/>
      <c r="G207" s="54"/>
      <c r="N207" s="42"/>
    </row>
    <row r="208" spans="2:14" s="13" customFormat="1" x14ac:dyDescent="0.4">
      <c r="B208" s="25"/>
      <c r="D208" s="42"/>
      <c r="E208" s="26"/>
      <c r="G208" s="54"/>
      <c r="N208" s="42"/>
    </row>
    <row r="209" spans="2:14" s="13" customFormat="1" x14ac:dyDescent="0.4">
      <c r="B209" s="25"/>
      <c r="D209" s="42"/>
      <c r="E209" s="26"/>
      <c r="G209" s="54"/>
      <c r="N209" s="42"/>
    </row>
    <row r="210" spans="2:14" s="13" customFormat="1" x14ac:dyDescent="0.4">
      <c r="B210" s="25"/>
      <c r="D210" s="42"/>
      <c r="E210" s="26"/>
      <c r="G210" s="54"/>
      <c r="N210" s="42"/>
    </row>
    <row r="211" spans="2:14" s="13" customFormat="1" x14ac:dyDescent="0.4">
      <c r="B211" s="25"/>
      <c r="D211" s="42"/>
      <c r="E211" s="26"/>
      <c r="G211" s="54"/>
      <c r="N211" s="42"/>
    </row>
    <row r="212" spans="2:14" s="13" customFormat="1" x14ac:dyDescent="0.4">
      <c r="B212" s="25"/>
      <c r="D212" s="42"/>
      <c r="E212" s="26"/>
      <c r="G212" s="54"/>
      <c r="N212" s="42"/>
    </row>
    <row r="213" spans="2:14" s="13" customFormat="1" x14ac:dyDescent="0.4">
      <c r="B213" s="25"/>
      <c r="D213" s="42"/>
      <c r="E213" s="26"/>
      <c r="G213" s="54"/>
      <c r="N213" s="42"/>
    </row>
    <row r="214" spans="2:14" s="13" customFormat="1" x14ac:dyDescent="0.4">
      <c r="B214" s="25"/>
      <c r="D214" s="42"/>
      <c r="E214" s="26"/>
      <c r="G214" s="54"/>
      <c r="N214" s="42"/>
    </row>
    <row r="215" spans="2:14" s="13" customFormat="1" x14ac:dyDescent="0.4">
      <c r="B215" s="25"/>
      <c r="D215" s="42"/>
      <c r="E215" s="26"/>
      <c r="G215" s="54"/>
      <c r="N215" s="42"/>
    </row>
    <row r="216" spans="2:14" s="13" customFormat="1" x14ac:dyDescent="0.4">
      <c r="B216" s="25"/>
      <c r="D216" s="42"/>
      <c r="E216" s="26"/>
      <c r="G216" s="54"/>
      <c r="N216" s="42"/>
    </row>
    <row r="217" spans="2:14" s="13" customFormat="1" x14ac:dyDescent="0.4">
      <c r="B217" s="25"/>
      <c r="D217" s="42"/>
      <c r="E217" s="26"/>
      <c r="G217" s="54"/>
      <c r="N217" s="42"/>
    </row>
    <row r="218" spans="2:14" s="13" customFormat="1" x14ac:dyDescent="0.4">
      <c r="B218" s="25"/>
      <c r="D218" s="42"/>
      <c r="E218" s="26"/>
      <c r="G218" s="54"/>
      <c r="N218" s="42"/>
    </row>
    <row r="219" spans="2:14" s="13" customFormat="1" x14ac:dyDescent="0.4">
      <c r="B219" s="25"/>
      <c r="D219" s="42"/>
      <c r="E219" s="26"/>
      <c r="G219" s="54"/>
      <c r="N219" s="42"/>
    </row>
    <row r="220" spans="2:14" s="13" customFormat="1" x14ac:dyDescent="0.4">
      <c r="B220" s="25"/>
      <c r="D220" s="42"/>
      <c r="E220" s="26"/>
      <c r="G220" s="54"/>
      <c r="N220" s="42"/>
    </row>
    <row r="221" spans="2:14" s="13" customFormat="1" x14ac:dyDescent="0.4">
      <c r="B221" s="25"/>
      <c r="D221" s="42"/>
      <c r="E221" s="26"/>
      <c r="G221" s="54"/>
      <c r="N221" s="42"/>
    </row>
    <row r="222" spans="2:14" s="13" customFormat="1" x14ac:dyDescent="0.4">
      <c r="B222" s="25"/>
      <c r="D222" s="42"/>
      <c r="E222" s="26"/>
      <c r="G222" s="54"/>
      <c r="N222" s="42"/>
    </row>
    <row r="223" spans="2:14" s="13" customFormat="1" x14ac:dyDescent="0.4">
      <c r="B223" s="25"/>
      <c r="D223" s="42"/>
      <c r="E223" s="26"/>
      <c r="G223" s="54"/>
      <c r="N223" s="42"/>
    </row>
    <row r="224" spans="2:14" s="13" customFormat="1" x14ac:dyDescent="0.4">
      <c r="B224" s="25"/>
      <c r="D224" s="42"/>
      <c r="E224" s="26"/>
      <c r="G224" s="54"/>
      <c r="N224" s="42"/>
    </row>
    <row r="225" spans="2:14" s="13" customFormat="1" x14ac:dyDescent="0.4">
      <c r="B225" s="25"/>
      <c r="D225" s="42"/>
      <c r="E225" s="26"/>
      <c r="G225" s="54"/>
      <c r="N225" s="42"/>
    </row>
    <row r="226" spans="2:14" s="13" customFormat="1" x14ac:dyDescent="0.4">
      <c r="B226" s="25"/>
      <c r="D226" s="42"/>
      <c r="E226" s="26"/>
      <c r="G226" s="54"/>
      <c r="N226" s="42"/>
    </row>
    <row r="227" spans="2:14" s="13" customFormat="1" x14ac:dyDescent="0.4">
      <c r="B227" s="25"/>
      <c r="D227" s="42"/>
      <c r="E227" s="26"/>
      <c r="G227" s="54"/>
      <c r="N227" s="42"/>
    </row>
    <row r="228" spans="2:14" s="13" customFormat="1" x14ac:dyDescent="0.4">
      <c r="B228" s="25"/>
      <c r="D228" s="42"/>
      <c r="E228" s="26"/>
      <c r="G228" s="54"/>
      <c r="N228" s="42"/>
    </row>
    <row r="229" spans="2:14" s="13" customFormat="1" x14ac:dyDescent="0.4">
      <c r="B229" s="25"/>
      <c r="D229" s="42"/>
      <c r="E229" s="26"/>
      <c r="G229" s="54"/>
      <c r="N229" s="42"/>
    </row>
    <row r="230" spans="2:14" s="13" customFormat="1" x14ac:dyDescent="0.4">
      <c r="B230" s="25"/>
      <c r="D230" s="42"/>
      <c r="E230" s="26"/>
      <c r="G230" s="54"/>
      <c r="N230" s="42"/>
    </row>
    <row r="231" spans="2:14" s="13" customFormat="1" x14ac:dyDescent="0.4">
      <c r="B231" s="25"/>
      <c r="D231" s="42"/>
      <c r="E231" s="26"/>
      <c r="G231" s="54"/>
      <c r="N231" s="42"/>
    </row>
    <row r="232" spans="2:14" s="13" customFormat="1" x14ac:dyDescent="0.4">
      <c r="B232" s="25"/>
      <c r="D232" s="42"/>
      <c r="E232" s="26"/>
      <c r="G232" s="54"/>
      <c r="N232" s="42"/>
    </row>
    <row r="233" spans="2:14" s="13" customFormat="1" x14ac:dyDescent="0.4">
      <c r="B233" s="25"/>
      <c r="D233" s="42"/>
      <c r="E233" s="26"/>
      <c r="G233" s="54"/>
      <c r="N233" s="42"/>
    </row>
    <row r="234" spans="2:14" s="13" customFormat="1" x14ac:dyDescent="0.4">
      <c r="B234" s="25"/>
      <c r="D234" s="42"/>
      <c r="E234" s="26"/>
      <c r="G234" s="54"/>
      <c r="N234" s="42"/>
    </row>
    <row r="235" spans="2:14" s="13" customFormat="1" x14ac:dyDescent="0.4">
      <c r="B235" s="25"/>
      <c r="D235" s="42"/>
      <c r="E235" s="26"/>
      <c r="G235" s="54"/>
      <c r="N235" s="42"/>
    </row>
    <row r="236" spans="2:14" s="13" customFormat="1" x14ac:dyDescent="0.4">
      <c r="B236" s="25"/>
      <c r="D236" s="42"/>
      <c r="E236" s="26"/>
      <c r="G236" s="54"/>
      <c r="N236" s="42"/>
    </row>
    <row r="237" spans="2:14" s="13" customFormat="1" x14ac:dyDescent="0.4">
      <c r="B237" s="25"/>
      <c r="D237" s="42"/>
      <c r="E237" s="26"/>
      <c r="G237" s="54"/>
      <c r="N237" s="42"/>
    </row>
    <row r="238" spans="2:14" s="13" customFormat="1" x14ac:dyDescent="0.4">
      <c r="B238" s="25"/>
      <c r="D238" s="42"/>
      <c r="E238" s="26"/>
      <c r="G238" s="54"/>
      <c r="N238" s="42"/>
    </row>
    <row r="239" spans="2:14" s="13" customFormat="1" x14ac:dyDescent="0.4">
      <c r="B239" s="25"/>
      <c r="D239" s="42"/>
      <c r="E239" s="26"/>
      <c r="G239" s="54"/>
      <c r="N239" s="42"/>
    </row>
    <row r="240" spans="2:14" s="13" customFormat="1" x14ac:dyDescent="0.4">
      <c r="B240" s="25"/>
      <c r="D240" s="42"/>
      <c r="E240" s="26"/>
      <c r="G240" s="54"/>
      <c r="N240" s="42"/>
    </row>
    <row r="241" spans="2:14" s="13" customFormat="1" x14ac:dyDescent="0.4">
      <c r="B241" s="25"/>
      <c r="D241" s="42"/>
      <c r="E241" s="26"/>
      <c r="G241" s="54"/>
      <c r="N241" s="42"/>
    </row>
    <row r="242" spans="2:14" s="13" customFormat="1" x14ac:dyDescent="0.4">
      <c r="B242" s="25"/>
      <c r="D242" s="42"/>
      <c r="E242" s="26"/>
      <c r="G242" s="54"/>
      <c r="N242" s="42"/>
    </row>
    <row r="243" spans="2:14" s="13" customFormat="1" x14ac:dyDescent="0.4">
      <c r="B243" s="25"/>
      <c r="D243" s="42"/>
      <c r="E243" s="26"/>
      <c r="G243" s="54"/>
      <c r="N243" s="42"/>
    </row>
    <row r="244" spans="2:14" s="13" customFormat="1" x14ac:dyDescent="0.4">
      <c r="B244" s="25"/>
      <c r="D244" s="42"/>
      <c r="E244" s="26"/>
      <c r="G244" s="54"/>
      <c r="N244" s="42"/>
    </row>
    <row r="245" spans="2:14" s="13" customFormat="1" x14ac:dyDescent="0.4">
      <c r="B245" s="25"/>
      <c r="D245" s="42"/>
      <c r="E245" s="26"/>
      <c r="G245" s="54"/>
      <c r="N245" s="42"/>
    </row>
    <row r="246" spans="2:14" s="13" customFormat="1" x14ac:dyDescent="0.4">
      <c r="B246" s="25"/>
      <c r="D246" s="42"/>
      <c r="E246" s="26"/>
      <c r="G246" s="54"/>
      <c r="N246" s="42"/>
    </row>
    <row r="247" spans="2:14" s="13" customFormat="1" x14ac:dyDescent="0.4">
      <c r="B247" s="25"/>
      <c r="D247" s="42"/>
      <c r="E247" s="26"/>
      <c r="G247" s="54"/>
      <c r="N247" s="42"/>
    </row>
    <row r="248" spans="2:14" s="13" customFormat="1" x14ac:dyDescent="0.4">
      <c r="B248" s="25"/>
      <c r="D248" s="42"/>
      <c r="E248" s="26"/>
      <c r="G248" s="54"/>
      <c r="N248" s="42"/>
    </row>
    <row r="249" spans="2:14" s="13" customFormat="1" x14ac:dyDescent="0.4">
      <c r="B249" s="25"/>
      <c r="D249" s="42"/>
      <c r="E249" s="26"/>
      <c r="G249" s="54"/>
      <c r="N249" s="42"/>
    </row>
    <row r="250" spans="2:14" s="13" customFormat="1" x14ac:dyDescent="0.4">
      <c r="B250" s="25"/>
      <c r="D250" s="42"/>
      <c r="E250" s="26"/>
      <c r="G250" s="54"/>
      <c r="N250" s="42"/>
    </row>
    <row r="251" spans="2:14" s="13" customFormat="1" x14ac:dyDescent="0.4">
      <c r="B251" s="25"/>
      <c r="D251" s="42"/>
      <c r="E251" s="26"/>
      <c r="G251" s="54"/>
      <c r="N251" s="42"/>
    </row>
    <row r="252" spans="2:14" s="13" customFormat="1" x14ac:dyDescent="0.4">
      <c r="B252" s="25"/>
      <c r="D252" s="42"/>
      <c r="E252" s="26"/>
      <c r="G252" s="54"/>
      <c r="N252" s="42"/>
    </row>
    <row r="253" spans="2:14" s="13" customFormat="1" x14ac:dyDescent="0.4">
      <c r="B253" s="25"/>
      <c r="D253" s="42"/>
      <c r="E253" s="26"/>
      <c r="G253" s="54"/>
      <c r="N253" s="42"/>
    </row>
    <row r="254" spans="2:14" s="13" customFormat="1" x14ac:dyDescent="0.4">
      <c r="B254" s="25"/>
      <c r="D254" s="42"/>
      <c r="E254" s="26"/>
      <c r="G254" s="54"/>
      <c r="N254" s="42"/>
    </row>
    <row r="255" spans="2:14" s="13" customFormat="1" x14ac:dyDescent="0.4">
      <c r="B255" s="25"/>
      <c r="D255" s="42"/>
      <c r="E255" s="26"/>
      <c r="G255" s="54"/>
      <c r="N255" s="42"/>
    </row>
    <row r="256" spans="2:14" s="13" customFormat="1" x14ac:dyDescent="0.4">
      <c r="B256" s="25"/>
      <c r="D256" s="42"/>
      <c r="E256" s="26"/>
      <c r="G256" s="54"/>
      <c r="N256" s="42"/>
    </row>
    <row r="257" spans="2:14" s="13" customFormat="1" x14ac:dyDescent="0.4">
      <c r="B257" s="25"/>
      <c r="D257" s="42"/>
      <c r="E257" s="26"/>
      <c r="G257" s="54"/>
      <c r="N257" s="42"/>
    </row>
    <row r="258" spans="2:14" s="13" customFormat="1" x14ac:dyDescent="0.4">
      <c r="B258" s="25"/>
      <c r="D258" s="42"/>
      <c r="E258" s="26"/>
      <c r="G258" s="54"/>
      <c r="N258" s="42"/>
    </row>
    <row r="259" spans="2:14" s="13" customFormat="1" x14ac:dyDescent="0.4">
      <c r="B259" s="25"/>
      <c r="D259" s="42"/>
      <c r="E259" s="26"/>
      <c r="G259" s="54"/>
      <c r="N259" s="42"/>
    </row>
    <row r="260" spans="2:14" s="13" customFormat="1" x14ac:dyDescent="0.4">
      <c r="B260" s="25"/>
      <c r="D260" s="42"/>
      <c r="E260" s="26"/>
      <c r="G260" s="54"/>
      <c r="N260" s="42"/>
    </row>
    <row r="261" spans="2:14" s="13" customFormat="1" x14ac:dyDescent="0.4">
      <c r="B261" s="25"/>
      <c r="D261" s="42"/>
      <c r="E261" s="26"/>
      <c r="G261" s="54"/>
      <c r="N261" s="42"/>
    </row>
    <row r="262" spans="2:14" s="13" customFormat="1" x14ac:dyDescent="0.4">
      <c r="B262" s="25"/>
      <c r="D262" s="42"/>
      <c r="E262" s="26"/>
      <c r="G262" s="54"/>
      <c r="N262" s="42"/>
    </row>
    <row r="263" spans="2:14" s="13" customFormat="1" x14ac:dyDescent="0.4">
      <c r="B263" s="25"/>
      <c r="D263" s="42"/>
      <c r="E263" s="26"/>
      <c r="G263" s="54"/>
      <c r="N263" s="42"/>
    </row>
    <row r="264" spans="2:14" s="13" customFormat="1" x14ac:dyDescent="0.4">
      <c r="B264" s="25"/>
      <c r="D264" s="42"/>
      <c r="E264" s="26"/>
      <c r="G264" s="54"/>
      <c r="N264" s="42"/>
    </row>
    <row r="265" spans="2:14" s="13" customFormat="1" x14ac:dyDescent="0.4">
      <c r="B265" s="25"/>
      <c r="D265" s="42"/>
      <c r="E265" s="26"/>
      <c r="G265" s="54"/>
      <c r="N265" s="42"/>
    </row>
    <row r="266" spans="2:14" s="13" customFormat="1" x14ac:dyDescent="0.4">
      <c r="B266" s="25"/>
      <c r="D266" s="42"/>
      <c r="E266" s="26"/>
      <c r="G266" s="54"/>
      <c r="N266" s="42"/>
    </row>
    <row r="267" spans="2:14" s="13" customFormat="1" x14ac:dyDescent="0.4">
      <c r="B267" s="25"/>
      <c r="D267" s="42"/>
      <c r="E267" s="26"/>
      <c r="G267" s="54"/>
      <c r="N267" s="42"/>
    </row>
    <row r="268" spans="2:14" s="13" customFormat="1" x14ac:dyDescent="0.4">
      <c r="B268" s="25"/>
      <c r="D268" s="42"/>
      <c r="E268" s="26"/>
      <c r="G268" s="54"/>
      <c r="N268" s="42"/>
    </row>
    <row r="269" spans="2:14" s="13" customFormat="1" x14ac:dyDescent="0.4">
      <c r="B269" s="25"/>
      <c r="D269" s="42"/>
      <c r="E269" s="26"/>
      <c r="G269" s="54"/>
      <c r="N269" s="42"/>
    </row>
    <row r="270" spans="2:14" s="13" customFormat="1" x14ac:dyDescent="0.4">
      <c r="B270" s="25"/>
      <c r="D270" s="42"/>
      <c r="E270" s="26"/>
      <c r="G270" s="54"/>
      <c r="N270" s="42"/>
    </row>
    <row r="271" spans="2:14" s="13" customFormat="1" x14ac:dyDescent="0.4">
      <c r="B271" s="25"/>
      <c r="D271" s="42"/>
      <c r="E271" s="26"/>
      <c r="G271" s="54"/>
      <c r="N271" s="42"/>
    </row>
    <row r="272" spans="2:14" s="13" customFormat="1" x14ac:dyDescent="0.4">
      <c r="B272" s="25"/>
      <c r="D272" s="42"/>
      <c r="E272" s="26"/>
      <c r="G272" s="54"/>
      <c r="N272" s="42"/>
    </row>
    <row r="273" spans="2:14" s="13" customFormat="1" x14ac:dyDescent="0.4">
      <c r="B273" s="25"/>
      <c r="D273" s="42"/>
      <c r="E273" s="26"/>
      <c r="G273" s="54"/>
      <c r="N273" s="42"/>
    </row>
    <row r="274" spans="2:14" s="13" customFormat="1" x14ac:dyDescent="0.4">
      <c r="B274" s="25"/>
      <c r="D274" s="42"/>
      <c r="E274" s="26"/>
      <c r="G274" s="54"/>
      <c r="N274" s="42"/>
    </row>
    <row r="275" spans="2:14" s="13" customFormat="1" x14ac:dyDescent="0.4">
      <c r="B275" s="25"/>
      <c r="D275" s="42"/>
      <c r="E275" s="26"/>
      <c r="G275" s="54"/>
      <c r="N275" s="42"/>
    </row>
    <row r="276" spans="2:14" s="13" customFormat="1" x14ac:dyDescent="0.4">
      <c r="B276" s="25"/>
      <c r="D276" s="42"/>
      <c r="E276" s="26"/>
      <c r="G276" s="54"/>
      <c r="N276" s="42"/>
    </row>
    <row r="277" spans="2:14" s="13" customFormat="1" x14ac:dyDescent="0.4">
      <c r="B277" s="25"/>
      <c r="D277" s="42"/>
      <c r="E277" s="26"/>
      <c r="G277" s="54"/>
      <c r="N277" s="42"/>
    </row>
    <row r="278" spans="2:14" s="13" customFormat="1" x14ac:dyDescent="0.4">
      <c r="B278" s="25"/>
      <c r="D278" s="42"/>
      <c r="E278" s="26"/>
      <c r="G278" s="54"/>
      <c r="N278" s="42"/>
    </row>
    <row r="279" spans="2:14" s="13" customFormat="1" x14ac:dyDescent="0.4">
      <c r="B279" s="25"/>
      <c r="D279" s="42"/>
      <c r="E279" s="26"/>
      <c r="G279" s="54"/>
      <c r="N279" s="42"/>
    </row>
    <row r="280" spans="2:14" s="13" customFormat="1" x14ac:dyDescent="0.4">
      <c r="B280" s="25"/>
      <c r="D280" s="42"/>
      <c r="E280" s="26"/>
      <c r="G280" s="54"/>
      <c r="N280" s="42"/>
    </row>
    <row r="281" spans="2:14" s="13" customFormat="1" x14ac:dyDescent="0.4">
      <c r="B281" s="25"/>
      <c r="D281" s="42"/>
      <c r="E281" s="26"/>
      <c r="G281" s="54"/>
      <c r="N281" s="42"/>
    </row>
    <row r="282" spans="2:14" s="13" customFormat="1" x14ac:dyDescent="0.4">
      <c r="B282" s="25"/>
      <c r="D282" s="42"/>
      <c r="E282" s="26"/>
      <c r="G282" s="54"/>
      <c r="N282" s="42"/>
    </row>
    <row r="283" spans="2:14" s="13" customFormat="1" x14ac:dyDescent="0.4">
      <c r="B283" s="25"/>
      <c r="D283" s="42"/>
      <c r="E283" s="26"/>
      <c r="G283" s="54"/>
      <c r="N283" s="42"/>
    </row>
    <row r="284" spans="2:14" s="13" customFormat="1" x14ac:dyDescent="0.4">
      <c r="B284" s="25"/>
      <c r="D284" s="42"/>
      <c r="E284" s="26"/>
      <c r="G284" s="54"/>
      <c r="N284" s="42"/>
    </row>
    <row r="285" spans="2:14" s="13" customFormat="1" x14ac:dyDescent="0.4">
      <c r="B285" s="25"/>
      <c r="D285" s="42"/>
      <c r="E285" s="26"/>
      <c r="G285" s="54"/>
      <c r="N285" s="42"/>
    </row>
    <row r="286" spans="2:14" s="13" customFormat="1" x14ac:dyDescent="0.4">
      <c r="B286" s="25"/>
      <c r="D286" s="42"/>
      <c r="E286" s="26"/>
      <c r="G286" s="54"/>
      <c r="N286" s="42"/>
    </row>
    <row r="287" spans="2:14" s="13" customFormat="1" x14ac:dyDescent="0.4">
      <c r="B287" s="25"/>
      <c r="D287" s="42"/>
      <c r="E287" s="26"/>
      <c r="G287" s="54"/>
      <c r="N287" s="42"/>
    </row>
    <row r="288" spans="2:14" s="13" customFormat="1" x14ac:dyDescent="0.4">
      <c r="B288" s="25"/>
      <c r="D288" s="42"/>
      <c r="E288" s="26"/>
      <c r="G288" s="54"/>
      <c r="N288" s="42"/>
    </row>
    <row r="289" spans="2:14" s="13" customFormat="1" x14ac:dyDescent="0.4">
      <c r="B289" s="25"/>
      <c r="D289" s="42"/>
      <c r="E289" s="26"/>
      <c r="G289" s="54"/>
      <c r="N289" s="42"/>
    </row>
    <row r="290" spans="2:14" s="13" customFormat="1" x14ac:dyDescent="0.4">
      <c r="B290" s="25"/>
      <c r="D290" s="42"/>
      <c r="E290" s="26"/>
      <c r="G290" s="54"/>
      <c r="N290" s="42"/>
    </row>
    <row r="291" spans="2:14" s="13" customFormat="1" x14ac:dyDescent="0.4">
      <c r="B291" s="25"/>
      <c r="D291" s="42"/>
      <c r="E291" s="26"/>
      <c r="G291" s="54"/>
      <c r="N291" s="42"/>
    </row>
    <row r="292" spans="2:14" s="13" customFormat="1" x14ac:dyDescent="0.4">
      <c r="B292" s="25"/>
      <c r="D292" s="42"/>
      <c r="E292" s="26"/>
      <c r="G292" s="54"/>
      <c r="N292" s="42"/>
    </row>
    <row r="293" spans="2:14" s="13" customFormat="1" x14ac:dyDescent="0.4">
      <c r="B293" s="25"/>
      <c r="D293" s="42"/>
      <c r="E293" s="26"/>
      <c r="G293" s="54"/>
      <c r="N293" s="42"/>
    </row>
    <row r="294" spans="2:14" s="13" customFormat="1" x14ac:dyDescent="0.4">
      <c r="B294" s="25"/>
      <c r="D294" s="42"/>
      <c r="E294" s="26"/>
      <c r="G294" s="54"/>
      <c r="N294" s="42"/>
    </row>
    <row r="295" spans="2:14" s="13" customFormat="1" x14ac:dyDescent="0.4">
      <c r="B295" s="25"/>
      <c r="D295" s="42"/>
      <c r="E295" s="26"/>
      <c r="G295" s="54"/>
      <c r="N295" s="42"/>
    </row>
    <row r="296" spans="2:14" s="13" customFormat="1" x14ac:dyDescent="0.4">
      <c r="B296" s="25"/>
      <c r="D296" s="42"/>
      <c r="E296" s="26"/>
      <c r="G296" s="54"/>
      <c r="N296" s="42"/>
    </row>
    <row r="297" spans="2:14" s="13" customFormat="1" x14ac:dyDescent="0.4">
      <c r="B297" s="25"/>
      <c r="D297" s="42"/>
      <c r="E297" s="26"/>
      <c r="G297" s="54"/>
      <c r="N297" s="42"/>
    </row>
    <row r="298" spans="2:14" s="13" customFormat="1" x14ac:dyDescent="0.4">
      <c r="B298" s="25"/>
      <c r="D298" s="42"/>
      <c r="E298" s="26"/>
      <c r="G298" s="54"/>
      <c r="N298" s="42"/>
    </row>
    <row r="299" spans="2:14" s="13" customFormat="1" x14ac:dyDescent="0.4">
      <c r="B299" s="25"/>
      <c r="D299" s="42"/>
      <c r="E299" s="26"/>
      <c r="G299" s="54"/>
      <c r="N299" s="42"/>
    </row>
    <row r="300" spans="2:14" s="13" customFormat="1" x14ac:dyDescent="0.4">
      <c r="B300" s="25"/>
      <c r="D300" s="42"/>
      <c r="E300" s="26"/>
      <c r="G300" s="54"/>
      <c r="N300" s="42"/>
    </row>
    <row r="301" spans="2:14" s="13" customFormat="1" x14ac:dyDescent="0.4">
      <c r="B301" s="25"/>
      <c r="D301" s="42"/>
      <c r="E301" s="26"/>
      <c r="G301" s="54"/>
      <c r="N301" s="42"/>
    </row>
    <row r="302" spans="2:14" s="13" customFormat="1" x14ac:dyDescent="0.4">
      <c r="B302" s="25"/>
      <c r="D302" s="42"/>
      <c r="E302" s="26"/>
      <c r="G302" s="54"/>
      <c r="N302" s="42"/>
    </row>
    <row r="303" spans="2:14" s="13" customFormat="1" x14ac:dyDescent="0.4">
      <c r="B303" s="25"/>
      <c r="D303" s="42"/>
      <c r="E303" s="26"/>
      <c r="G303" s="54"/>
      <c r="N303" s="42"/>
    </row>
    <row r="304" spans="2:14" s="13" customFormat="1" x14ac:dyDescent="0.4">
      <c r="B304" s="25"/>
      <c r="D304" s="42"/>
      <c r="E304" s="26"/>
      <c r="G304" s="54"/>
      <c r="N304" s="42"/>
    </row>
    <row r="305" spans="2:14" s="13" customFormat="1" x14ac:dyDescent="0.4">
      <c r="B305" s="25"/>
      <c r="D305" s="42"/>
      <c r="E305" s="26"/>
      <c r="G305" s="54"/>
      <c r="N305" s="42"/>
    </row>
    <row r="306" spans="2:14" s="13" customFormat="1" x14ac:dyDescent="0.4">
      <c r="B306" s="25"/>
      <c r="D306" s="42"/>
      <c r="E306" s="26"/>
      <c r="G306" s="54"/>
      <c r="N306" s="42"/>
    </row>
    <row r="307" spans="2:14" s="13" customFormat="1" x14ac:dyDescent="0.4">
      <c r="B307" s="25"/>
      <c r="D307" s="42"/>
      <c r="E307" s="26"/>
      <c r="G307" s="54"/>
      <c r="N307" s="42"/>
    </row>
    <row r="308" spans="2:14" s="13" customFormat="1" x14ac:dyDescent="0.4">
      <c r="B308" s="25"/>
      <c r="D308" s="42"/>
      <c r="E308" s="26"/>
      <c r="G308" s="54"/>
      <c r="N308" s="42"/>
    </row>
    <row r="309" spans="2:14" s="13" customFormat="1" x14ac:dyDescent="0.4">
      <c r="B309" s="25"/>
      <c r="D309" s="42"/>
      <c r="E309" s="26"/>
      <c r="G309" s="54"/>
      <c r="N309" s="42"/>
    </row>
    <row r="310" spans="2:14" s="13" customFormat="1" x14ac:dyDescent="0.4">
      <c r="B310" s="25"/>
      <c r="D310" s="42"/>
      <c r="E310" s="26"/>
      <c r="G310" s="54"/>
      <c r="N310" s="42"/>
    </row>
    <row r="311" spans="2:14" s="13" customFormat="1" x14ac:dyDescent="0.4">
      <c r="B311" s="25"/>
      <c r="D311" s="42"/>
      <c r="E311" s="26"/>
      <c r="G311" s="54"/>
      <c r="N311" s="42"/>
    </row>
    <row r="312" spans="2:14" s="13" customFormat="1" x14ac:dyDescent="0.4">
      <c r="B312" s="25"/>
      <c r="D312" s="42"/>
      <c r="E312" s="26"/>
      <c r="G312" s="54"/>
      <c r="N312" s="42"/>
    </row>
    <row r="313" spans="2:14" s="13" customFormat="1" x14ac:dyDescent="0.4">
      <c r="B313" s="25"/>
      <c r="D313" s="42"/>
      <c r="E313" s="26"/>
      <c r="G313" s="54"/>
      <c r="N313" s="42"/>
    </row>
    <row r="314" spans="2:14" s="13" customFormat="1" x14ac:dyDescent="0.4">
      <c r="B314" s="25"/>
      <c r="D314" s="42"/>
      <c r="E314" s="26"/>
      <c r="G314" s="54"/>
      <c r="N314" s="42"/>
    </row>
    <row r="315" spans="2:14" s="13" customFormat="1" x14ac:dyDescent="0.4">
      <c r="B315" s="25"/>
      <c r="D315" s="42"/>
      <c r="E315" s="26"/>
      <c r="G315" s="54"/>
      <c r="N315" s="42"/>
    </row>
    <row r="316" spans="2:14" s="13" customFormat="1" x14ac:dyDescent="0.4">
      <c r="B316" s="25"/>
      <c r="D316" s="42"/>
      <c r="E316" s="26"/>
      <c r="G316" s="54"/>
      <c r="N316" s="42"/>
    </row>
    <row r="317" spans="2:14" s="13" customFormat="1" x14ac:dyDescent="0.4">
      <c r="B317" s="25"/>
      <c r="D317" s="42"/>
      <c r="E317" s="26"/>
      <c r="G317" s="54"/>
      <c r="N317" s="42"/>
    </row>
    <row r="318" spans="2:14" s="13" customFormat="1" x14ac:dyDescent="0.4">
      <c r="B318" s="25"/>
      <c r="D318" s="42"/>
      <c r="E318" s="26"/>
      <c r="G318" s="54"/>
      <c r="N318" s="42"/>
    </row>
    <row r="319" spans="2:14" s="13" customFormat="1" x14ac:dyDescent="0.4">
      <c r="B319" s="25"/>
      <c r="D319" s="42"/>
      <c r="E319" s="26"/>
      <c r="G319" s="54"/>
      <c r="N319" s="42"/>
    </row>
    <row r="320" spans="2:14" s="13" customFormat="1" x14ac:dyDescent="0.4">
      <c r="B320" s="25"/>
      <c r="D320" s="42"/>
      <c r="E320" s="26"/>
      <c r="G320" s="54"/>
      <c r="N320" s="42"/>
    </row>
    <row r="321" spans="2:14" s="13" customFormat="1" x14ac:dyDescent="0.4">
      <c r="B321" s="25"/>
      <c r="D321" s="42"/>
      <c r="E321" s="26"/>
      <c r="G321" s="54"/>
      <c r="N321" s="42"/>
    </row>
    <row r="322" spans="2:14" s="13" customFormat="1" x14ac:dyDescent="0.4">
      <c r="B322" s="25"/>
      <c r="D322" s="42"/>
      <c r="E322" s="26"/>
      <c r="G322" s="54"/>
      <c r="N322" s="42"/>
    </row>
    <row r="323" spans="2:14" s="13" customFormat="1" x14ac:dyDescent="0.4">
      <c r="B323" s="25"/>
      <c r="D323" s="42"/>
      <c r="E323" s="26"/>
      <c r="G323" s="54"/>
      <c r="N323" s="42"/>
    </row>
    <row r="324" spans="2:14" s="13" customFormat="1" x14ac:dyDescent="0.4">
      <c r="B324" s="25"/>
      <c r="D324" s="42"/>
      <c r="E324" s="26"/>
      <c r="G324" s="54"/>
      <c r="N324" s="42"/>
    </row>
    <row r="325" spans="2:14" s="13" customFormat="1" x14ac:dyDescent="0.4">
      <c r="B325" s="25"/>
      <c r="D325" s="42"/>
      <c r="E325" s="26"/>
      <c r="G325" s="54"/>
      <c r="N325" s="42"/>
    </row>
    <row r="326" spans="2:14" s="13" customFormat="1" x14ac:dyDescent="0.4">
      <c r="B326" s="25"/>
      <c r="D326" s="42"/>
      <c r="E326" s="26"/>
      <c r="G326" s="54"/>
      <c r="N326" s="42"/>
    </row>
    <row r="327" spans="2:14" s="13" customFormat="1" x14ac:dyDescent="0.4">
      <c r="B327" s="25"/>
      <c r="D327" s="42"/>
      <c r="E327" s="26"/>
      <c r="G327" s="54"/>
      <c r="N327" s="42"/>
    </row>
    <row r="328" spans="2:14" s="13" customFormat="1" x14ac:dyDescent="0.4">
      <c r="B328" s="25"/>
      <c r="D328" s="42"/>
      <c r="E328" s="26"/>
      <c r="G328" s="54"/>
      <c r="N328" s="42"/>
    </row>
    <row r="329" spans="2:14" s="13" customFormat="1" x14ac:dyDescent="0.4">
      <c r="B329" s="25"/>
      <c r="D329" s="42"/>
      <c r="E329" s="26"/>
      <c r="G329" s="54"/>
      <c r="N329" s="42"/>
    </row>
    <row r="330" spans="2:14" s="13" customFormat="1" x14ac:dyDescent="0.4">
      <c r="B330" s="25"/>
      <c r="D330" s="42"/>
      <c r="E330" s="26"/>
      <c r="G330" s="54"/>
      <c r="N330" s="42"/>
    </row>
    <row r="331" spans="2:14" s="13" customFormat="1" x14ac:dyDescent="0.4">
      <c r="B331" s="25"/>
      <c r="D331" s="42"/>
      <c r="E331" s="26"/>
      <c r="G331" s="54"/>
      <c r="N331" s="42"/>
    </row>
    <row r="332" spans="2:14" s="13" customFormat="1" x14ac:dyDescent="0.4">
      <c r="B332" s="25"/>
      <c r="D332" s="42"/>
      <c r="E332" s="26"/>
      <c r="G332" s="54"/>
      <c r="N332" s="42"/>
    </row>
    <row r="333" spans="2:14" s="13" customFormat="1" x14ac:dyDescent="0.4">
      <c r="B333" s="25"/>
      <c r="D333" s="42"/>
      <c r="E333" s="26"/>
      <c r="G333" s="54"/>
      <c r="N333" s="42"/>
    </row>
    <row r="334" spans="2:14" s="13" customFormat="1" x14ac:dyDescent="0.4">
      <c r="B334" s="25"/>
      <c r="D334" s="42"/>
      <c r="E334" s="26"/>
      <c r="G334" s="54"/>
      <c r="N334" s="42"/>
    </row>
    <row r="335" spans="2:14" s="13" customFormat="1" x14ac:dyDescent="0.4">
      <c r="B335" s="25"/>
      <c r="D335" s="42"/>
      <c r="E335" s="26"/>
      <c r="G335" s="54"/>
      <c r="N335" s="42"/>
    </row>
    <row r="336" spans="2:14" s="13" customFormat="1" x14ac:dyDescent="0.4">
      <c r="B336" s="25"/>
      <c r="D336" s="42"/>
      <c r="E336" s="26"/>
      <c r="G336" s="54"/>
      <c r="N336" s="42"/>
    </row>
    <row r="337" spans="2:14" s="13" customFormat="1" x14ac:dyDescent="0.4">
      <c r="B337" s="25"/>
      <c r="D337" s="42"/>
      <c r="E337" s="26"/>
      <c r="G337" s="54"/>
      <c r="N337" s="42"/>
    </row>
    <row r="338" spans="2:14" s="13" customFormat="1" x14ac:dyDescent="0.4">
      <c r="B338" s="25"/>
      <c r="D338" s="42"/>
      <c r="E338" s="26"/>
      <c r="G338" s="54"/>
      <c r="N338" s="42"/>
    </row>
    <row r="339" spans="2:14" s="13" customFormat="1" x14ac:dyDescent="0.4">
      <c r="B339" s="25"/>
      <c r="D339" s="42"/>
      <c r="E339" s="26"/>
      <c r="G339" s="54"/>
      <c r="N339" s="42"/>
    </row>
    <row r="340" spans="2:14" s="13" customFormat="1" x14ac:dyDescent="0.4">
      <c r="B340" s="25"/>
      <c r="D340" s="42"/>
      <c r="E340" s="26"/>
      <c r="G340" s="54"/>
      <c r="N340" s="42"/>
    </row>
    <row r="341" spans="2:14" s="13" customFormat="1" x14ac:dyDescent="0.4">
      <c r="B341" s="25"/>
      <c r="D341" s="42"/>
      <c r="E341" s="26"/>
      <c r="G341" s="54"/>
      <c r="N341" s="42"/>
    </row>
    <row r="342" spans="2:14" s="13" customFormat="1" x14ac:dyDescent="0.4">
      <c r="B342" s="25"/>
      <c r="D342" s="42"/>
      <c r="E342" s="26"/>
      <c r="G342" s="54"/>
      <c r="N342" s="42"/>
    </row>
    <row r="343" spans="2:14" s="13" customFormat="1" x14ac:dyDescent="0.4">
      <c r="B343" s="25"/>
      <c r="D343" s="42"/>
      <c r="E343" s="26"/>
      <c r="G343" s="54"/>
      <c r="N343" s="42"/>
    </row>
    <row r="344" spans="2:14" s="13" customFormat="1" x14ac:dyDescent="0.4">
      <c r="B344" s="25"/>
      <c r="D344" s="42"/>
      <c r="E344" s="26"/>
      <c r="G344" s="54"/>
      <c r="N344" s="42"/>
    </row>
    <row r="345" spans="2:14" s="13" customFormat="1" x14ac:dyDescent="0.4">
      <c r="B345" s="25"/>
      <c r="D345" s="42"/>
      <c r="E345" s="26"/>
      <c r="G345" s="54"/>
      <c r="N345" s="42"/>
    </row>
    <row r="346" spans="2:14" s="13" customFormat="1" x14ac:dyDescent="0.4">
      <c r="B346" s="25"/>
      <c r="D346" s="42"/>
      <c r="E346" s="26"/>
      <c r="G346" s="54"/>
      <c r="N346" s="42"/>
    </row>
    <row r="347" spans="2:14" s="13" customFormat="1" x14ac:dyDescent="0.4">
      <c r="B347" s="25"/>
      <c r="D347" s="42"/>
      <c r="E347" s="26"/>
      <c r="G347" s="54"/>
      <c r="N347" s="42"/>
    </row>
    <row r="348" spans="2:14" s="13" customFormat="1" x14ac:dyDescent="0.4">
      <c r="B348" s="25"/>
      <c r="D348" s="42"/>
      <c r="E348" s="26"/>
      <c r="G348" s="54"/>
      <c r="N348" s="42"/>
    </row>
    <row r="349" spans="2:14" s="13" customFormat="1" x14ac:dyDescent="0.4">
      <c r="B349" s="25"/>
      <c r="D349" s="42"/>
      <c r="E349" s="26"/>
      <c r="G349" s="54"/>
      <c r="N349" s="42"/>
    </row>
    <row r="350" spans="2:14" s="13" customFormat="1" x14ac:dyDescent="0.4">
      <c r="B350" s="25"/>
      <c r="D350" s="42"/>
      <c r="E350" s="26"/>
      <c r="G350" s="54"/>
      <c r="N350" s="42"/>
    </row>
    <row r="351" spans="2:14" s="13" customFormat="1" x14ac:dyDescent="0.4">
      <c r="B351" s="25"/>
      <c r="D351" s="42"/>
      <c r="E351" s="26"/>
      <c r="G351" s="54"/>
      <c r="N351" s="42"/>
    </row>
    <row r="352" spans="2:14" s="13" customFormat="1" x14ac:dyDescent="0.4">
      <c r="B352" s="25"/>
      <c r="D352" s="42"/>
      <c r="E352" s="26"/>
      <c r="G352" s="54"/>
      <c r="N352" s="42"/>
    </row>
    <row r="353" spans="2:14" s="13" customFormat="1" x14ac:dyDescent="0.4">
      <c r="B353" s="25"/>
      <c r="D353" s="42"/>
      <c r="E353" s="26"/>
      <c r="G353" s="54"/>
      <c r="N353" s="42"/>
    </row>
    <row r="354" spans="2:14" s="13" customFormat="1" x14ac:dyDescent="0.4">
      <c r="B354" s="25"/>
      <c r="D354" s="42"/>
      <c r="E354" s="26"/>
      <c r="G354" s="54"/>
      <c r="N354" s="42"/>
    </row>
    <row r="355" spans="2:14" s="13" customFormat="1" x14ac:dyDescent="0.4">
      <c r="B355" s="25"/>
      <c r="D355" s="42"/>
      <c r="E355" s="26"/>
      <c r="G355" s="54"/>
      <c r="N355" s="42"/>
    </row>
    <row r="356" spans="2:14" s="13" customFormat="1" x14ac:dyDescent="0.4">
      <c r="B356" s="25"/>
      <c r="D356" s="42"/>
      <c r="E356" s="26"/>
      <c r="G356" s="54"/>
      <c r="N356" s="42"/>
    </row>
    <row r="357" spans="2:14" s="13" customFormat="1" x14ac:dyDescent="0.4">
      <c r="B357" s="25"/>
      <c r="D357" s="42"/>
      <c r="E357" s="26"/>
      <c r="G357" s="54"/>
      <c r="N357" s="42"/>
    </row>
    <row r="358" spans="2:14" s="13" customFormat="1" x14ac:dyDescent="0.4">
      <c r="B358" s="25"/>
      <c r="D358" s="42"/>
      <c r="E358" s="26"/>
      <c r="G358" s="54"/>
      <c r="N358" s="42"/>
    </row>
    <row r="359" spans="2:14" s="13" customFormat="1" x14ac:dyDescent="0.4">
      <c r="B359" s="25"/>
      <c r="D359" s="42"/>
      <c r="E359" s="26"/>
      <c r="G359" s="54"/>
      <c r="N359" s="42"/>
    </row>
    <row r="360" spans="2:14" s="13" customFormat="1" x14ac:dyDescent="0.4">
      <c r="B360" s="25"/>
      <c r="D360" s="42"/>
      <c r="E360" s="26"/>
      <c r="G360" s="54"/>
      <c r="N360" s="42"/>
    </row>
    <row r="361" spans="2:14" s="13" customFormat="1" x14ac:dyDescent="0.4">
      <c r="B361" s="25"/>
      <c r="D361" s="42"/>
      <c r="E361" s="26"/>
      <c r="G361" s="54"/>
      <c r="N361" s="42"/>
    </row>
    <row r="362" spans="2:14" s="13" customFormat="1" x14ac:dyDescent="0.4">
      <c r="B362" s="25"/>
      <c r="D362" s="42"/>
      <c r="E362" s="26"/>
      <c r="G362" s="54"/>
      <c r="N362" s="42"/>
    </row>
    <row r="363" spans="2:14" s="13" customFormat="1" x14ac:dyDescent="0.4">
      <c r="B363" s="25"/>
      <c r="D363" s="42"/>
      <c r="E363" s="26"/>
      <c r="G363" s="54"/>
      <c r="N363" s="42"/>
    </row>
    <row r="364" spans="2:14" s="13" customFormat="1" x14ac:dyDescent="0.4">
      <c r="B364" s="25"/>
      <c r="D364" s="42"/>
      <c r="E364" s="26"/>
      <c r="G364" s="54"/>
      <c r="N364" s="42"/>
    </row>
    <row r="365" spans="2:14" s="13" customFormat="1" x14ac:dyDescent="0.4">
      <c r="B365" s="25"/>
      <c r="D365" s="42"/>
      <c r="E365" s="26"/>
      <c r="G365" s="54"/>
      <c r="N365" s="42"/>
    </row>
    <row r="366" spans="2:14" s="13" customFormat="1" x14ac:dyDescent="0.4">
      <c r="B366" s="25"/>
      <c r="D366" s="42"/>
      <c r="E366" s="26"/>
      <c r="G366" s="54"/>
      <c r="N366" s="42"/>
    </row>
    <row r="367" spans="2:14" s="13" customFormat="1" x14ac:dyDescent="0.4">
      <c r="B367" s="25"/>
      <c r="D367" s="42"/>
      <c r="E367" s="26"/>
      <c r="G367" s="54"/>
      <c r="N367" s="42"/>
    </row>
    <row r="368" spans="2:14" s="13" customFormat="1" x14ac:dyDescent="0.4">
      <c r="B368" s="25"/>
      <c r="D368" s="42"/>
      <c r="E368" s="26"/>
      <c r="G368" s="54"/>
      <c r="N368" s="42"/>
    </row>
    <row r="369" spans="2:14" s="13" customFormat="1" x14ac:dyDescent="0.4">
      <c r="B369" s="25"/>
      <c r="D369" s="42"/>
      <c r="E369" s="26"/>
      <c r="G369" s="54"/>
      <c r="N369" s="42"/>
    </row>
    <row r="370" spans="2:14" s="13" customFormat="1" x14ac:dyDescent="0.4">
      <c r="B370" s="25"/>
      <c r="D370" s="42"/>
      <c r="E370" s="26"/>
      <c r="G370" s="54"/>
      <c r="N370" s="42"/>
    </row>
    <row r="371" spans="2:14" s="13" customFormat="1" x14ac:dyDescent="0.4">
      <c r="B371" s="25"/>
      <c r="D371" s="42"/>
      <c r="E371" s="26"/>
      <c r="G371" s="54"/>
      <c r="N371" s="42"/>
    </row>
    <row r="372" spans="2:14" s="13" customFormat="1" x14ac:dyDescent="0.4">
      <c r="B372" s="25"/>
      <c r="D372" s="42"/>
      <c r="E372" s="26"/>
      <c r="G372" s="54"/>
      <c r="N372" s="42"/>
    </row>
    <row r="373" spans="2:14" s="13" customFormat="1" x14ac:dyDescent="0.4">
      <c r="B373" s="25"/>
      <c r="D373" s="42"/>
      <c r="E373" s="26"/>
      <c r="G373" s="54"/>
      <c r="N373" s="42"/>
    </row>
    <row r="374" spans="2:14" s="13" customFormat="1" x14ac:dyDescent="0.4">
      <c r="B374" s="25"/>
      <c r="D374" s="42"/>
      <c r="E374" s="26"/>
      <c r="G374" s="54"/>
      <c r="N374" s="42"/>
    </row>
    <row r="375" spans="2:14" s="13" customFormat="1" x14ac:dyDescent="0.4">
      <c r="B375" s="25"/>
      <c r="D375" s="42"/>
      <c r="E375" s="26"/>
      <c r="G375" s="54"/>
      <c r="N375" s="42"/>
    </row>
    <row r="376" spans="2:14" s="13" customFormat="1" x14ac:dyDescent="0.4">
      <c r="B376" s="25"/>
      <c r="D376" s="42"/>
      <c r="E376" s="26"/>
      <c r="G376" s="54"/>
      <c r="N376" s="42"/>
    </row>
    <row r="377" spans="2:14" s="13" customFormat="1" x14ac:dyDescent="0.4">
      <c r="B377" s="25"/>
      <c r="D377" s="42"/>
      <c r="E377" s="26"/>
      <c r="G377" s="54"/>
      <c r="N377" s="42"/>
    </row>
    <row r="378" spans="2:14" s="13" customFormat="1" x14ac:dyDescent="0.4">
      <c r="B378" s="25"/>
      <c r="D378" s="42"/>
      <c r="E378" s="26"/>
      <c r="G378" s="54"/>
      <c r="N378" s="42"/>
    </row>
    <row r="379" spans="2:14" s="13" customFormat="1" x14ac:dyDescent="0.4">
      <c r="B379" s="25"/>
      <c r="D379" s="42"/>
      <c r="E379" s="26"/>
      <c r="G379" s="54"/>
      <c r="N379" s="42"/>
    </row>
    <row r="380" spans="2:14" s="13" customFormat="1" x14ac:dyDescent="0.4">
      <c r="B380" s="25"/>
      <c r="D380" s="42"/>
      <c r="E380" s="26"/>
      <c r="G380" s="54"/>
      <c r="N380" s="42"/>
    </row>
    <row r="381" spans="2:14" s="13" customFormat="1" x14ac:dyDescent="0.4">
      <c r="B381" s="25"/>
      <c r="D381" s="42"/>
      <c r="E381" s="26"/>
      <c r="G381" s="54"/>
      <c r="N381" s="42"/>
    </row>
    <row r="382" spans="2:14" s="13" customFormat="1" x14ac:dyDescent="0.4">
      <c r="B382" s="25"/>
      <c r="D382" s="42"/>
      <c r="E382" s="26"/>
      <c r="G382" s="54"/>
      <c r="N382" s="42"/>
    </row>
    <row r="383" spans="2:14" s="13" customFormat="1" x14ac:dyDescent="0.4">
      <c r="B383" s="25"/>
      <c r="D383" s="42"/>
      <c r="E383" s="26"/>
      <c r="G383" s="54"/>
      <c r="N383" s="42"/>
    </row>
    <row r="384" spans="2:14" s="13" customFormat="1" x14ac:dyDescent="0.4">
      <c r="B384" s="25"/>
      <c r="D384" s="42"/>
      <c r="E384" s="26"/>
      <c r="G384" s="54"/>
      <c r="N384" s="42"/>
    </row>
    <row r="385" spans="2:14" s="13" customFormat="1" x14ac:dyDescent="0.4">
      <c r="B385" s="25"/>
      <c r="D385" s="42"/>
      <c r="E385" s="26"/>
      <c r="G385" s="54"/>
      <c r="N385" s="42"/>
    </row>
    <row r="386" spans="2:14" s="13" customFormat="1" x14ac:dyDescent="0.4">
      <c r="B386" s="25"/>
      <c r="D386" s="42"/>
      <c r="E386" s="26"/>
      <c r="G386" s="54"/>
      <c r="N386" s="42"/>
    </row>
    <row r="387" spans="2:14" s="13" customFormat="1" x14ac:dyDescent="0.4">
      <c r="B387" s="25"/>
      <c r="D387" s="42"/>
      <c r="E387" s="26"/>
      <c r="G387" s="54"/>
      <c r="N387" s="42"/>
    </row>
    <row r="388" spans="2:14" s="13" customFormat="1" x14ac:dyDescent="0.4">
      <c r="B388" s="25"/>
      <c r="D388" s="42"/>
      <c r="E388" s="26"/>
      <c r="G388" s="54"/>
      <c r="N388" s="42"/>
    </row>
    <row r="389" spans="2:14" s="13" customFormat="1" x14ac:dyDescent="0.4">
      <c r="B389" s="25"/>
      <c r="D389" s="42"/>
      <c r="E389" s="26"/>
      <c r="G389" s="54"/>
      <c r="N389" s="42"/>
    </row>
    <row r="390" spans="2:14" s="13" customFormat="1" x14ac:dyDescent="0.4">
      <c r="B390" s="25"/>
      <c r="D390" s="42"/>
      <c r="E390" s="26"/>
      <c r="G390" s="54"/>
      <c r="N390" s="42"/>
    </row>
    <row r="391" spans="2:14" s="13" customFormat="1" x14ac:dyDescent="0.4">
      <c r="B391" s="25"/>
      <c r="D391" s="42"/>
      <c r="E391" s="26"/>
      <c r="G391" s="54"/>
      <c r="N391" s="42"/>
    </row>
    <row r="392" spans="2:14" s="13" customFormat="1" x14ac:dyDescent="0.4">
      <c r="B392" s="25"/>
      <c r="D392" s="42"/>
      <c r="E392" s="26"/>
      <c r="G392" s="54"/>
      <c r="N392" s="42"/>
    </row>
    <row r="393" spans="2:14" s="13" customFormat="1" x14ac:dyDescent="0.4">
      <c r="B393" s="25"/>
      <c r="D393" s="42"/>
      <c r="E393" s="26"/>
      <c r="G393" s="54"/>
      <c r="N393" s="42"/>
    </row>
    <row r="394" spans="2:14" s="13" customFormat="1" x14ac:dyDescent="0.4">
      <c r="B394" s="25"/>
      <c r="D394" s="42"/>
      <c r="E394" s="26"/>
      <c r="G394" s="54"/>
      <c r="N394" s="42"/>
    </row>
    <row r="395" spans="2:14" s="13" customFormat="1" x14ac:dyDescent="0.4">
      <c r="B395" s="25"/>
      <c r="D395" s="42"/>
      <c r="E395" s="26"/>
      <c r="G395" s="54"/>
      <c r="N395" s="42"/>
    </row>
    <row r="396" spans="2:14" s="13" customFormat="1" x14ac:dyDescent="0.4">
      <c r="B396" s="25"/>
      <c r="D396" s="42"/>
      <c r="E396" s="26"/>
      <c r="G396" s="54"/>
      <c r="N396" s="42"/>
    </row>
    <row r="397" spans="2:14" s="13" customFormat="1" x14ac:dyDescent="0.4">
      <c r="B397" s="25"/>
      <c r="D397" s="42"/>
      <c r="E397" s="26"/>
      <c r="G397" s="54"/>
      <c r="N397" s="42"/>
    </row>
    <row r="398" spans="2:14" s="13" customFormat="1" x14ac:dyDescent="0.4">
      <c r="B398" s="25"/>
      <c r="D398" s="42"/>
      <c r="E398" s="26"/>
      <c r="G398" s="54"/>
      <c r="N398" s="42"/>
    </row>
    <row r="399" spans="2:14" s="13" customFormat="1" x14ac:dyDescent="0.4">
      <c r="B399" s="25"/>
      <c r="D399" s="42"/>
      <c r="E399" s="26"/>
      <c r="G399" s="54"/>
      <c r="N399" s="42"/>
    </row>
    <row r="400" spans="2:14" s="13" customFormat="1" x14ac:dyDescent="0.4">
      <c r="B400" s="25"/>
      <c r="D400" s="42"/>
      <c r="E400" s="26"/>
      <c r="G400" s="54"/>
      <c r="N400" s="42"/>
    </row>
    <row r="401" spans="2:14" s="13" customFormat="1" x14ac:dyDescent="0.4">
      <c r="B401" s="25"/>
      <c r="D401" s="42"/>
      <c r="E401" s="26"/>
      <c r="G401" s="54"/>
      <c r="N401" s="42"/>
    </row>
    <row r="402" spans="2:14" s="13" customFormat="1" x14ac:dyDescent="0.4">
      <c r="B402" s="25"/>
      <c r="D402" s="42"/>
      <c r="E402" s="26"/>
      <c r="G402" s="54"/>
      <c r="N402" s="42"/>
    </row>
    <row r="403" spans="2:14" s="13" customFormat="1" x14ac:dyDescent="0.4">
      <c r="B403" s="25"/>
      <c r="D403" s="42"/>
      <c r="E403" s="26"/>
      <c r="G403" s="54"/>
      <c r="N403" s="42"/>
    </row>
    <row r="404" spans="2:14" s="13" customFormat="1" x14ac:dyDescent="0.4">
      <c r="B404" s="25"/>
      <c r="D404" s="42"/>
      <c r="E404" s="26"/>
      <c r="G404" s="54"/>
      <c r="N404" s="42"/>
    </row>
    <row r="405" spans="2:14" s="13" customFormat="1" x14ac:dyDescent="0.4">
      <c r="B405" s="25"/>
      <c r="D405" s="42"/>
      <c r="E405" s="26"/>
      <c r="G405" s="54"/>
      <c r="N405" s="42"/>
    </row>
    <row r="406" spans="2:14" s="13" customFormat="1" x14ac:dyDescent="0.4">
      <c r="B406" s="25"/>
      <c r="D406" s="42"/>
      <c r="E406" s="26"/>
      <c r="G406" s="54"/>
      <c r="N406" s="42"/>
    </row>
    <row r="407" spans="2:14" s="13" customFormat="1" x14ac:dyDescent="0.4">
      <c r="B407" s="25"/>
      <c r="D407" s="42"/>
      <c r="E407" s="26"/>
      <c r="G407" s="54"/>
      <c r="N407" s="42"/>
    </row>
    <row r="408" spans="2:14" s="13" customFormat="1" x14ac:dyDescent="0.4">
      <c r="B408" s="25"/>
      <c r="D408" s="42"/>
      <c r="E408" s="26"/>
      <c r="G408" s="54"/>
      <c r="N408" s="42"/>
    </row>
    <row r="409" spans="2:14" s="13" customFormat="1" x14ac:dyDescent="0.4">
      <c r="B409" s="25"/>
      <c r="D409" s="42"/>
      <c r="E409" s="26"/>
      <c r="G409" s="54"/>
      <c r="N409" s="42"/>
    </row>
    <row r="410" spans="2:14" s="13" customFormat="1" x14ac:dyDescent="0.4">
      <c r="B410" s="25"/>
      <c r="D410" s="42"/>
      <c r="E410" s="26"/>
      <c r="G410" s="54"/>
      <c r="N410" s="42"/>
    </row>
    <row r="411" spans="2:14" s="13" customFormat="1" x14ac:dyDescent="0.4">
      <c r="B411" s="25"/>
      <c r="D411" s="42"/>
      <c r="E411" s="26"/>
      <c r="G411" s="54"/>
      <c r="N411" s="42"/>
    </row>
    <row r="412" spans="2:14" s="13" customFormat="1" x14ac:dyDescent="0.4">
      <c r="B412" s="25"/>
      <c r="D412" s="42"/>
      <c r="E412" s="26"/>
      <c r="G412" s="54"/>
      <c r="N412" s="42"/>
    </row>
    <row r="413" spans="2:14" s="13" customFormat="1" x14ac:dyDescent="0.4">
      <c r="B413" s="25"/>
      <c r="D413" s="42"/>
      <c r="E413" s="26"/>
      <c r="G413" s="54"/>
      <c r="N413" s="42"/>
    </row>
    <row r="414" spans="2:14" s="13" customFormat="1" x14ac:dyDescent="0.4">
      <c r="B414" s="25"/>
      <c r="D414" s="42"/>
      <c r="E414" s="26"/>
      <c r="G414" s="54"/>
      <c r="N414" s="42"/>
    </row>
    <row r="415" spans="2:14" s="13" customFormat="1" x14ac:dyDescent="0.4">
      <c r="B415" s="25"/>
      <c r="D415" s="42"/>
      <c r="E415" s="26"/>
      <c r="G415" s="54"/>
      <c r="N415" s="42"/>
    </row>
    <row r="416" spans="2:14" s="13" customFormat="1" x14ac:dyDescent="0.4">
      <c r="B416" s="25"/>
      <c r="D416" s="42"/>
      <c r="E416" s="26"/>
      <c r="G416" s="54"/>
      <c r="N416" s="42"/>
    </row>
    <row r="417" spans="2:14" s="13" customFormat="1" x14ac:dyDescent="0.4">
      <c r="B417" s="25"/>
      <c r="D417" s="42"/>
      <c r="E417" s="26"/>
      <c r="G417" s="54"/>
      <c r="N417" s="42"/>
    </row>
    <row r="418" spans="2:14" s="13" customFormat="1" x14ac:dyDescent="0.4">
      <c r="B418" s="25"/>
      <c r="D418" s="42"/>
      <c r="E418" s="26"/>
      <c r="G418" s="54"/>
      <c r="N418" s="42"/>
    </row>
    <row r="419" spans="2:14" s="13" customFormat="1" x14ac:dyDescent="0.4">
      <c r="B419" s="25"/>
      <c r="D419" s="42"/>
      <c r="E419" s="26"/>
      <c r="G419" s="54"/>
      <c r="N419" s="42"/>
    </row>
    <row r="420" spans="2:14" s="13" customFormat="1" x14ac:dyDescent="0.4">
      <c r="B420" s="25"/>
      <c r="D420" s="42"/>
      <c r="E420" s="26"/>
      <c r="G420" s="54"/>
      <c r="N420" s="42"/>
    </row>
    <row r="421" spans="2:14" s="13" customFormat="1" x14ac:dyDescent="0.4">
      <c r="B421" s="25"/>
      <c r="D421" s="42"/>
      <c r="E421" s="26"/>
      <c r="G421" s="54"/>
      <c r="N421" s="42"/>
    </row>
    <row r="422" spans="2:14" s="13" customFormat="1" x14ac:dyDescent="0.4">
      <c r="B422" s="25"/>
      <c r="D422" s="42"/>
      <c r="E422" s="26"/>
      <c r="G422" s="54"/>
      <c r="N422" s="42"/>
    </row>
    <row r="423" spans="2:14" s="13" customFormat="1" x14ac:dyDescent="0.4">
      <c r="B423" s="25"/>
      <c r="D423" s="42"/>
      <c r="E423" s="26"/>
      <c r="G423" s="54"/>
      <c r="N423" s="42"/>
    </row>
    <row r="424" spans="2:14" s="13" customFormat="1" x14ac:dyDescent="0.4">
      <c r="B424" s="25"/>
      <c r="D424" s="42"/>
      <c r="E424" s="26"/>
      <c r="G424" s="54"/>
      <c r="N424" s="42"/>
    </row>
    <row r="425" spans="2:14" s="13" customFormat="1" x14ac:dyDescent="0.4">
      <c r="B425" s="25"/>
      <c r="D425" s="42"/>
      <c r="E425" s="26"/>
      <c r="G425" s="54"/>
      <c r="N425" s="42"/>
    </row>
    <row r="426" spans="2:14" s="13" customFormat="1" x14ac:dyDescent="0.4">
      <c r="B426" s="25"/>
      <c r="D426" s="42"/>
      <c r="E426" s="26"/>
      <c r="G426" s="54"/>
      <c r="N426" s="42"/>
    </row>
    <row r="427" spans="2:14" s="13" customFormat="1" x14ac:dyDescent="0.4">
      <c r="B427" s="25"/>
      <c r="D427" s="42"/>
      <c r="E427" s="26"/>
      <c r="G427" s="54"/>
      <c r="N427" s="42"/>
    </row>
    <row r="428" spans="2:14" s="13" customFormat="1" x14ac:dyDescent="0.4">
      <c r="B428" s="25"/>
      <c r="D428" s="42"/>
      <c r="E428" s="26"/>
      <c r="G428" s="54"/>
      <c r="N428" s="42"/>
    </row>
    <row r="429" spans="2:14" s="13" customFormat="1" x14ac:dyDescent="0.4">
      <c r="B429" s="25"/>
      <c r="D429" s="42"/>
      <c r="E429" s="26"/>
      <c r="G429" s="54"/>
      <c r="N429" s="42"/>
    </row>
    <row r="430" spans="2:14" s="13" customFormat="1" x14ac:dyDescent="0.4">
      <c r="B430" s="25"/>
      <c r="D430" s="42"/>
      <c r="E430" s="26"/>
      <c r="G430" s="54"/>
      <c r="N430" s="42"/>
    </row>
    <row r="431" spans="2:14" s="13" customFormat="1" x14ac:dyDescent="0.4">
      <c r="B431" s="25"/>
      <c r="D431" s="42"/>
      <c r="E431" s="26"/>
      <c r="G431" s="54"/>
      <c r="N431" s="42"/>
    </row>
    <row r="432" spans="2:14" s="13" customFormat="1" x14ac:dyDescent="0.4">
      <c r="B432" s="25"/>
      <c r="D432" s="42"/>
      <c r="E432" s="26"/>
      <c r="G432" s="54"/>
      <c r="N432" s="42"/>
    </row>
    <row r="433" spans="2:14" s="13" customFormat="1" x14ac:dyDescent="0.4">
      <c r="B433" s="25"/>
      <c r="D433" s="42"/>
      <c r="E433" s="26"/>
      <c r="G433" s="54"/>
      <c r="N433" s="42"/>
    </row>
    <row r="434" spans="2:14" s="13" customFormat="1" x14ac:dyDescent="0.4">
      <c r="B434" s="25"/>
      <c r="D434" s="42"/>
      <c r="E434" s="26"/>
      <c r="G434" s="54"/>
      <c r="N434" s="42"/>
    </row>
    <row r="435" spans="2:14" s="13" customFormat="1" x14ac:dyDescent="0.4">
      <c r="B435" s="25"/>
      <c r="D435" s="42"/>
      <c r="E435" s="26"/>
      <c r="G435" s="54"/>
      <c r="N435" s="42"/>
    </row>
    <row r="436" spans="2:14" s="13" customFormat="1" x14ac:dyDescent="0.4">
      <c r="B436" s="25"/>
      <c r="D436" s="42"/>
      <c r="E436" s="26"/>
      <c r="G436" s="54"/>
      <c r="N436" s="42"/>
    </row>
    <row r="437" spans="2:14" s="13" customFormat="1" x14ac:dyDescent="0.4">
      <c r="B437" s="25"/>
      <c r="D437" s="42"/>
      <c r="E437" s="26"/>
      <c r="G437" s="54"/>
      <c r="N437" s="42"/>
    </row>
    <row r="438" spans="2:14" s="13" customFormat="1" x14ac:dyDescent="0.4">
      <c r="B438" s="25"/>
      <c r="D438" s="42"/>
      <c r="E438" s="26"/>
      <c r="G438" s="54"/>
      <c r="N438" s="42"/>
    </row>
    <row r="439" spans="2:14" s="13" customFormat="1" x14ac:dyDescent="0.4">
      <c r="B439" s="25"/>
      <c r="D439" s="42"/>
      <c r="E439" s="26"/>
      <c r="G439" s="54"/>
      <c r="N439" s="42"/>
    </row>
    <row r="440" spans="2:14" s="13" customFormat="1" x14ac:dyDescent="0.4">
      <c r="B440" s="25"/>
      <c r="D440" s="42"/>
      <c r="E440" s="26"/>
      <c r="G440" s="54"/>
      <c r="N440" s="42"/>
    </row>
    <row r="441" spans="2:14" s="13" customFormat="1" x14ac:dyDescent="0.4">
      <c r="B441" s="25"/>
      <c r="D441" s="42"/>
      <c r="E441" s="26"/>
      <c r="G441" s="54"/>
      <c r="N441" s="42"/>
    </row>
    <row r="442" spans="2:14" s="13" customFormat="1" x14ac:dyDescent="0.4">
      <c r="B442" s="25"/>
      <c r="D442" s="42"/>
      <c r="E442" s="26"/>
      <c r="G442" s="54"/>
      <c r="N442" s="42"/>
    </row>
    <row r="443" spans="2:14" s="13" customFormat="1" x14ac:dyDescent="0.4">
      <c r="B443" s="25"/>
      <c r="D443" s="42"/>
      <c r="E443" s="26"/>
      <c r="G443" s="54"/>
      <c r="N443" s="42"/>
    </row>
    <row r="444" spans="2:14" s="13" customFormat="1" x14ac:dyDescent="0.4">
      <c r="B444" s="25"/>
      <c r="D444" s="42"/>
      <c r="E444" s="26"/>
      <c r="G444" s="54"/>
      <c r="N444" s="42"/>
    </row>
    <row r="445" spans="2:14" s="13" customFormat="1" x14ac:dyDescent="0.4">
      <c r="B445" s="25"/>
      <c r="D445" s="42"/>
      <c r="E445" s="26"/>
      <c r="G445" s="54"/>
      <c r="N445" s="42"/>
    </row>
    <row r="446" spans="2:14" s="13" customFormat="1" x14ac:dyDescent="0.4">
      <c r="B446" s="25"/>
      <c r="D446" s="42"/>
      <c r="E446" s="26"/>
      <c r="G446" s="54"/>
      <c r="N446" s="42"/>
    </row>
    <row r="447" spans="2:14" s="13" customFormat="1" x14ac:dyDescent="0.4">
      <c r="B447" s="25"/>
      <c r="D447" s="42"/>
      <c r="E447" s="26"/>
      <c r="G447" s="54"/>
      <c r="N447" s="42"/>
    </row>
    <row r="448" spans="2:14" s="13" customFormat="1" x14ac:dyDescent="0.4">
      <c r="B448" s="25"/>
      <c r="D448" s="42"/>
      <c r="E448" s="26"/>
      <c r="G448" s="54"/>
      <c r="N448" s="42"/>
    </row>
    <row r="449" spans="2:14" s="13" customFormat="1" x14ac:dyDescent="0.4">
      <c r="B449" s="25"/>
      <c r="D449" s="42"/>
      <c r="E449" s="26"/>
      <c r="G449" s="54"/>
      <c r="N449" s="42"/>
    </row>
    <row r="450" spans="2:14" s="13" customFormat="1" x14ac:dyDescent="0.4">
      <c r="B450" s="25"/>
      <c r="D450" s="42"/>
      <c r="E450" s="26"/>
      <c r="G450" s="54"/>
      <c r="N450" s="42"/>
    </row>
    <row r="451" spans="2:14" s="13" customFormat="1" x14ac:dyDescent="0.4">
      <c r="B451" s="25"/>
      <c r="D451" s="42"/>
      <c r="E451" s="26"/>
      <c r="G451" s="54"/>
      <c r="N451" s="42"/>
    </row>
    <row r="452" spans="2:14" s="13" customFormat="1" x14ac:dyDescent="0.4">
      <c r="B452" s="25"/>
      <c r="D452" s="42"/>
      <c r="E452" s="26"/>
      <c r="G452" s="54"/>
      <c r="N452" s="42"/>
    </row>
    <row r="453" spans="2:14" s="13" customFormat="1" x14ac:dyDescent="0.4">
      <c r="B453" s="25"/>
      <c r="D453" s="42"/>
      <c r="E453" s="26"/>
      <c r="G453" s="54"/>
      <c r="N453" s="42"/>
    </row>
    <row r="454" spans="2:14" s="13" customFormat="1" x14ac:dyDescent="0.4">
      <c r="B454" s="25"/>
      <c r="D454" s="42"/>
      <c r="E454" s="26"/>
      <c r="G454" s="54"/>
      <c r="N454" s="42"/>
    </row>
    <row r="455" spans="2:14" s="13" customFormat="1" x14ac:dyDescent="0.4">
      <c r="B455" s="25"/>
      <c r="D455" s="42"/>
      <c r="E455" s="26"/>
      <c r="G455" s="54"/>
      <c r="N455" s="42"/>
    </row>
    <row r="456" spans="2:14" s="13" customFormat="1" x14ac:dyDescent="0.4">
      <c r="B456" s="25"/>
      <c r="D456" s="42"/>
      <c r="E456" s="26"/>
      <c r="G456" s="54"/>
      <c r="N456" s="42"/>
    </row>
    <row r="457" spans="2:14" s="13" customFormat="1" x14ac:dyDescent="0.4">
      <c r="B457" s="25"/>
      <c r="D457" s="42"/>
      <c r="E457" s="26"/>
      <c r="G457" s="54"/>
      <c r="N457" s="42"/>
    </row>
    <row r="458" spans="2:14" s="13" customFormat="1" x14ac:dyDescent="0.4">
      <c r="B458" s="25"/>
      <c r="D458" s="42"/>
      <c r="E458" s="26"/>
      <c r="G458" s="54"/>
      <c r="N458" s="42"/>
    </row>
    <row r="459" spans="2:14" s="13" customFormat="1" x14ac:dyDescent="0.4">
      <c r="B459" s="25"/>
      <c r="D459" s="42"/>
      <c r="E459" s="26"/>
      <c r="G459" s="54"/>
      <c r="N459" s="42"/>
    </row>
    <row r="460" spans="2:14" s="13" customFormat="1" x14ac:dyDescent="0.4">
      <c r="B460" s="25"/>
      <c r="D460" s="42"/>
      <c r="E460" s="26"/>
      <c r="G460" s="54"/>
      <c r="N460" s="42"/>
    </row>
    <row r="461" spans="2:14" s="13" customFormat="1" x14ac:dyDescent="0.4">
      <c r="B461" s="25"/>
      <c r="D461" s="42"/>
      <c r="E461" s="26"/>
      <c r="G461" s="54"/>
      <c r="N461" s="42"/>
    </row>
    <row r="462" spans="2:14" s="13" customFormat="1" x14ac:dyDescent="0.4">
      <c r="B462" s="25"/>
      <c r="D462" s="42"/>
      <c r="E462" s="26"/>
      <c r="G462" s="54"/>
      <c r="N462" s="42"/>
    </row>
    <row r="463" spans="2:14" s="13" customFormat="1" x14ac:dyDescent="0.4">
      <c r="B463" s="25"/>
      <c r="D463" s="42"/>
      <c r="E463" s="26"/>
      <c r="G463" s="54"/>
      <c r="N463" s="42"/>
    </row>
    <row r="464" spans="2:14" s="13" customFormat="1" x14ac:dyDescent="0.4">
      <c r="B464" s="25"/>
      <c r="D464" s="42"/>
      <c r="E464" s="26"/>
      <c r="G464" s="54"/>
      <c r="N464" s="42"/>
    </row>
    <row r="465" spans="2:14" s="13" customFormat="1" x14ac:dyDescent="0.4">
      <c r="B465" s="25"/>
      <c r="D465" s="42"/>
      <c r="E465" s="26"/>
      <c r="G465" s="54"/>
      <c r="N465" s="42"/>
    </row>
    <row r="466" spans="2:14" s="13" customFormat="1" x14ac:dyDescent="0.4">
      <c r="B466" s="25"/>
      <c r="D466" s="42"/>
      <c r="E466" s="26"/>
      <c r="G466" s="54"/>
      <c r="N466" s="42"/>
    </row>
    <row r="467" spans="2:14" s="13" customFormat="1" x14ac:dyDescent="0.4">
      <c r="B467" s="25"/>
      <c r="D467" s="42"/>
      <c r="E467" s="26"/>
      <c r="G467" s="54"/>
      <c r="N467" s="42"/>
    </row>
    <row r="468" spans="2:14" s="13" customFormat="1" x14ac:dyDescent="0.4">
      <c r="B468" s="25"/>
      <c r="D468" s="42"/>
      <c r="E468" s="26"/>
      <c r="G468" s="54"/>
      <c r="N468" s="42"/>
    </row>
    <row r="469" spans="2:14" s="13" customFormat="1" x14ac:dyDescent="0.4">
      <c r="B469" s="25"/>
      <c r="D469" s="42"/>
      <c r="E469" s="26"/>
      <c r="G469" s="54"/>
      <c r="N469" s="42"/>
    </row>
    <row r="470" spans="2:14" s="13" customFormat="1" x14ac:dyDescent="0.4">
      <c r="B470" s="25"/>
      <c r="D470" s="42"/>
      <c r="E470" s="26"/>
      <c r="G470" s="54"/>
      <c r="N470" s="42"/>
    </row>
    <row r="471" spans="2:14" s="13" customFormat="1" x14ac:dyDescent="0.4">
      <c r="B471" s="25"/>
      <c r="D471" s="42"/>
      <c r="E471" s="26"/>
      <c r="G471" s="54"/>
      <c r="N471" s="42"/>
    </row>
    <row r="472" spans="2:14" s="13" customFormat="1" x14ac:dyDescent="0.4">
      <c r="B472" s="25"/>
      <c r="D472" s="42"/>
      <c r="E472" s="26"/>
      <c r="G472" s="54"/>
      <c r="N472" s="42"/>
    </row>
    <row r="473" spans="2:14" s="13" customFormat="1" x14ac:dyDescent="0.4">
      <c r="B473" s="25"/>
      <c r="D473" s="42"/>
      <c r="E473" s="26"/>
      <c r="G473" s="54"/>
      <c r="N473" s="42"/>
    </row>
    <row r="474" spans="2:14" s="13" customFormat="1" x14ac:dyDescent="0.4">
      <c r="B474" s="25"/>
      <c r="D474" s="42"/>
      <c r="E474" s="26"/>
      <c r="G474" s="54"/>
      <c r="N474" s="42"/>
    </row>
    <row r="475" spans="2:14" s="13" customFormat="1" x14ac:dyDescent="0.4">
      <c r="B475" s="25"/>
      <c r="D475" s="42"/>
      <c r="E475" s="26"/>
      <c r="G475" s="54"/>
      <c r="N475" s="42"/>
    </row>
    <row r="476" spans="2:14" s="13" customFormat="1" x14ac:dyDescent="0.4">
      <c r="B476" s="25"/>
      <c r="D476" s="42"/>
      <c r="E476" s="26"/>
      <c r="G476" s="54"/>
      <c r="N476" s="42"/>
    </row>
    <row r="477" spans="2:14" s="13" customFormat="1" x14ac:dyDescent="0.4">
      <c r="B477" s="25"/>
      <c r="D477" s="42"/>
      <c r="E477" s="26"/>
      <c r="G477" s="54"/>
      <c r="N477" s="42"/>
    </row>
    <row r="478" spans="2:14" s="13" customFormat="1" x14ac:dyDescent="0.4">
      <c r="B478" s="25"/>
      <c r="D478" s="42"/>
      <c r="E478" s="26"/>
      <c r="G478" s="54"/>
      <c r="N478" s="42"/>
    </row>
    <row r="479" spans="2:14" s="13" customFormat="1" x14ac:dyDescent="0.4">
      <c r="B479" s="25"/>
      <c r="D479" s="42"/>
      <c r="E479" s="26"/>
      <c r="G479" s="54"/>
      <c r="N479" s="42"/>
    </row>
    <row r="480" spans="2:14" s="13" customFormat="1" x14ac:dyDescent="0.4">
      <c r="B480" s="25"/>
      <c r="D480" s="42"/>
      <c r="E480" s="26"/>
      <c r="G480" s="54"/>
      <c r="N480" s="42"/>
    </row>
    <row r="481" spans="2:14" s="13" customFormat="1" x14ac:dyDescent="0.4">
      <c r="B481" s="25"/>
      <c r="D481" s="42"/>
      <c r="E481" s="26"/>
      <c r="G481" s="54"/>
      <c r="N481" s="42"/>
    </row>
    <row r="482" spans="2:14" s="13" customFormat="1" x14ac:dyDescent="0.4">
      <c r="B482" s="25"/>
      <c r="D482" s="42"/>
      <c r="E482" s="26"/>
      <c r="G482" s="54"/>
      <c r="N482" s="42"/>
    </row>
    <row r="483" spans="2:14" s="13" customFormat="1" x14ac:dyDescent="0.4">
      <c r="B483" s="25"/>
      <c r="D483" s="42"/>
      <c r="E483" s="26"/>
      <c r="G483" s="54"/>
      <c r="N483" s="42"/>
    </row>
    <row r="484" spans="2:14" s="13" customFormat="1" x14ac:dyDescent="0.4">
      <c r="B484" s="25"/>
      <c r="D484" s="42"/>
      <c r="E484" s="26"/>
      <c r="G484" s="54"/>
      <c r="N484" s="42"/>
    </row>
    <row r="485" spans="2:14" s="13" customFormat="1" x14ac:dyDescent="0.4">
      <c r="B485" s="25"/>
      <c r="D485" s="42"/>
      <c r="E485" s="26"/>
      <c r="G485" s="54"/>
      <c r="N485" s="42"/>
    </row>
    <row r="486" spans="2:14" s="13" customFormat="1" x14ac:dyDescent="0.4">
      <c r="B486" s="25"/>
      <c r="D486" s="42"/>
      <c r="E486" s="26"/>
      <c r="G486" s="54"/>
      <c r="N486" s="42"/>
    </row>
    <row r="487" spans="2:14" s="13" customFormat="1" x14ac:dyDescent="0.4">
      <c r="B487" s="25"/>
      <c r="D487" s="42"/>
      <c r="E487" s="26"/>
      <c r="G487" s="54"/>
      <c r="N487" s="42"/>
    </row>
    <row r="488" spans="2:14" s="13" customFormat="1" x14ac:dyDescent="0.4">
      <c r="B488" s="25"/>
      <c r="D488" s="42"/>
      <c r="E488" s="26"/>
      <c r="G488" s="54"/>
      <c r="N488" s="42"/>
    </row>
    <row r="489" spans="2:14" s="13" customFormat="1" x14ac:dyDescent="0.4">
      <c r="B489" s="25"/>
      <c r="D489" s="42"/>
      <c r="E489" s="26"/>
      <c r="G489" s="54"/>
      <c r="N489" s="42"/>
    </row>
    <row r="490" spans="2:14" s="13" customFormat="1" x14ac:dyDescent="0.4">
      <c r="B490" s="25"/>
      <c r="D490" s="42"/>
      <c r="E490" s="26"/>
      <c r="G490" s="54"/>
      <c r="N490" s="42"/>
    </row>
    <row r="491" spans="2:14" s="13" customFormat="1" x14ac:dyDescent="0.4">
      <c r="B491" s="25"/>
      <c r="D491" s="42"/>
      <c r="E491" s="26"/>
      <c r="G491" s="54"/>
      <c r="N491" s="42"/>
    </row>
    <row r="492" spans="2:14" s="13" customFormat="1" x14ac:dyDescent="0.4">
      <c r="B492" s="25"/>
      <c r="D492" s="42"/>
      <c r="E492" s="26"/>
      <c r="G492" s="54"/>
      <c r="N492" s="42"/>
    </row>
    <row r="493" spans="2:14" s="13" customFormat="1" x14ac:dyDescent="0.4">
      <c r="B493" s="25"/>
      <c r="D493" s="42"/>
      <c r="E493" s="26"/>
      <c r="G493" s="54"/>
      <c r="N493" s="42"/>
    </row>
    <row r="494" spans="2:14" s="13" customFormat="1" x14ac:dyDescent="0.4">
      <c r="B494" s="25"/>
      <c r="D494" s="42"/>
      <c r="E494" s="26"/>
      <c r="G494" s="54"/>
      <c r="N494" s="42"/>
    </row>
    <row r="495" spans="2:14" s="13" customFormat="1" x14ac:dyDescent="0.4">
      <c r="B495" s="25"/>
      <c r="D495" s="42"/>
      <c r="E495" s="26"/>
      <c r="G495" s="54"/>
      <c r="N495" s="42"/>
    </row>
    <row r="496" spans="2:14" s="13" customFormat="1" x14ac:dyDescent="0.4">
      <c r="B496" s="25"/>
      <c r="D496" s="42"/>
      <c r="E496" s="26"/>
      <c r="G496" s="54"/>
      <c r="N496" s="42"/>
    </row>
    <row r="497" spans="2:14" s="13" customFormat="1" x14ac:dyDescent="0.4">
      <c r="B497" s="25"/>
      <c r="D497" s="42"/>
      <c r="E497" s="26"/>
      <c r="G497" s="54"/>
      <c r="N497" s="42"/>
    </row>
    <row r="498" spans="2:14" s="13" customFormat="1" x14ac:dyDescent="0.4">
      <c r="B498" s="25"/>
      <c r="D498" s="42"/>
      <c r="E498" s="26"/>
      <c r="G498" s="54"/>
      <c r="N498" s="42"/>
    </row>
    <row r="499" spans="2:14" s="13" customFormat="1" x14ac:dyDescent="0.4">
      <c r="B499" s="25"/>
      <c r="D499" s="42"/>
      <c r="E499" s="26"/>
      <c r="G499" s="54"/>
      <c r="N499" s="42"/>
    </row>
    <row r="500" spans="2:14" s="13" customFormat="1" x14ac:dyDescent="0.4">
      <c r="B500" s="25"/>
      <c r="D500" s="42"/>
      <c r="E500" s="26"/>
      <c r="G500" s="54"/>
      <c r="N500" s="42"/>
    </row>
    <row r="501" spans="2:14" s="13" customFormat="1" x14ac:dyDescent="0.4">
      <c r="B501" s="25"/>
      <c r="D501" s="42"/>
      <c r="E501" s="26"/>
      <c r="G501" s="54"/>
      <c r="N501" s="42"/>
    </row>
    <row r="502" spans="2:14" s="13" customFormat="1" x14ac:dyDescent="0.4">
      <c r="B502" s="25"/>
      <c r="D502" s="42"/>
      <c r="E502" s="26"/>
      <c r="G502" s="54"/>
      <c r="N502" s="42"/>
    </row>
    <row r="503" spans="2:14" s="13" customFormat="1" x14ac:dyDescent="0.4">
      <c r="B503" s="25"/>
      <c r="D503" s="42"/>
      <c r="E503" s="26"/>
      <c r="G503" s="54"/>
      <c r="N503" s="42"/>
    </row>
    <row r="504" spans="2:14" s="13" customFormat="1" x14ac:dyDescent="0.4">
      <c r="B504" s="25"/>
      <c r="D504" s="42"/>
      <c r="E504" s="26"/>
      <c r="G504" s="54"/>
      <c r="N504" s="42"/>
    </row>
    <row r="505" spans="2:14" s="13" customFormat="1" x14ac:dyDescent="0.4">
      <c r="B505" s="25"/>
      <c r="D505" s="42"/>
      <c r="E505" s="26"/>
      <c r="G505" s="54"/>
      <c r="N505" s="42"/>
    </row>
    <row r="506" spans="2:14" s="13" customFormat="1" x14ac:dyDescent="0.4">
      <c r="B506" s="25"/>
      <c r="D506" s="42"/>
      <c r="E506" s="26"/>
      <c r="G506" s="54"/>
      <c r="N506" s="42"/>
    </row>
    <row r="507" spans="2:14" s="13" customFormat="1" x14ac:dyDescent="0.4">
      <c r="B507" s="25"/>
      <c r="D507" s="42"/>
      <c r="E507" s="26"/>
      <c r="G507" s="54"/>
      <c r="N507" s="42"/>
    </row>
    <row r="508" spans="2:14" s="13" customFormat="1" x14ac:dyDescent="0.4">
      <c r="B508" s="25"/>
      <c r="D508" s="42"/>
      <c r="E508" s="26"/>
      <c r="G508" s="54"/>
      <c r="N508" s="42"/>
    </row>
    <row r="509" spans="2:14" s="13" customFormat="1" x14ac:dyDescent="0.4">
      <c r="B509" s="25"/>
      <c r="D509" s="42"/>
      <c r="E509" s="26"/>
      <c r="G509" s="54"/>
      <c r="N509" s="42"/>
    </row>
    <row r="510" spans="2:14" s="13" customFormat="1" x14ac:dyDescent="0.4">
      <c r="B510" s="25"/>
      <c r="D510" s="42"/>
      <c r="E510" s="26"/>
      <c r="G510" s="54"/>
      <c r="N510" s="42"/>
    </row>
    <row r="511" spans="2:14" s="13" customFormat="1" x14ac:dyDescent="0.4">
      <c r="B511" s="25"/>
      <c r="D511" s="42"/>
      <c r="E511" s="26"/>
      <c r="G511" s="54"/>
      <c r="N511" s="42"/>
    </row>
    <row r="512" spans="2:14" s="13" customFormat="1" x14ac:dyDescent="0.4">
      <c r="B512" s="25"/>
      <c r="D512" s="42"/>
      <c r="E512" s="26"/>
      <c r="G512" s="54"/>
      <c r="N512" s="42"/>
    </row>
    <row r="513" spans="2:14" s="13" customFormat="1" x14ac:dyDescent="0.4">
      <c r="B513" s="25"/>
      <c r="D513" s="42"/>
      <c r="E513" s="26"/>
      <c r="G513" s="54"/>
      <c r="N513" s="42"/>
    </row>
    <row r="514" spans="2:14" s="13" customFormat="1" x14ac:dyDescent="0.4">
      <c r="B514" s="25"/>
      <c r="D514" s="42"/>
      <c r="E514" s="26"/>
      <c r="G514" s="54"/>
      <c r="N514" s="42"/>
    </row>
    <row r="515" spans="2:14" s="13" customFormat="1" x14ac:dyDescent="0.4">
      <c r="B515" s="25"/>
      <c r="D515" s="42"/>
      <c r="E515" s="26"/>
      <c r="G515" s="54"/>
      <c r="N515" s="42"/>
    </row>
    <row r="516" spans="2:14" s="13" customFormat="1" x14ac:dyDescent="0.4">
      <c r="B516" s="25"/>
      <c r="D516" s="42"/>
      <c r="E516" s="26"/>
      <c r="G516" s="54"/>
      <c r="N516" s="42"/>
    </row>
    <row r="517" spans="2:14" s="13" customFormat="1" x14ac:dyDescent="0.4">
      <c r="B517" s="25"/>
      <c r="D517" s="42"/>
      <c r="E517" s="26"/>
      <c r="G517" s="54"/>
      <c r="N517" s="42"/>
    </row>
    <row r="518" spans="2:14" s="13" customFormat="1" x14ac:dyDescent="0.4">
      <c r="B518" s="25"/>
      <c r="D518" s="42"/>
      <c r="E518" s="26"/>
      <c r="G518" s="54"/>
      <c r="N518" s="42"/>
    </row>
    <row r="519" spans="2:14" s="13" customFormat="1" x14ac:dyDescent="0.4">
      <c r="B519" s="25"/>
      <c r="D519" s="42"/>
      <c r="E519" s="26"/>
      <c r="G519" s="54"/>
      <c r="N519" s="42"/>
    </row>
    <row r="520" spans="2:14" s="13" customFormat="1" x14ac:dyDescent="0.4">
      <c r="B520" s="25"/>
      <c r="D520" s="42"/>
      <c r="E520" s="26"/>
      <c r="G520" s="54"/>
      <c r="N520" s="42"/>
    </row>
    <row r="521" spans="2:14" s="13" customFormat="1" x14ac:dyDescent="0.4">
      <c r="B521" s="25"/>
      <c r="D521" s="42"/>
      <c r="E521" s="26"/>
      <c r="G521" s="54"/>
      <c r="N521" s="42"/>
    </row>
    <row r="522" spans="2:14" s="13" customFormat="1" x14ac:dyDescent="0.4">
      <c r="B522" s="25"/>
      <c r="D522" s="42"/>
      <c r="E522" s="26"/>
      <c r="G522" s="54"/>
      <c r="N522" s="42"/>
    </row>
    <row r="523" spans="2:14" s="13" customFormat="1" x14ac:dyDescent="0.4">
      <c r="B523" s="25"/>
      <c r="D523" s="42"/>
      <c r="E523" s="26"/>
      <c r="G523" s="54"/>
      <c r="N523" s="42"/>
    </row>
    <row r="524" spans="2:14" s="13" customFormat="1" x14ac:dyDescent="0.4">
      <c r="B524" s="25"/>
      <c r="D524" s="42"/>
      <c r="E524" s="26"/>
      <c r="G524" s="54"/>
      <c r="N524" s="42"/>
    </row>
    <row r="525" spans="2:14" s="13" customFormat="1" x14ac:dyDescent="0.4">
      <c r="B525" s="25"/>
      <c r="D525" s="42"/>
      <c r="E525" s="26"/>
      <c r="G525" s="54"/>
      <c r="N525" s="42"/>
    </row>
    <row r="526" spans="2:14" s="13" customFormat="1" x14ac:dyDescent="0.4">
      <c r="B526" s="25"/>
      <c r="D526" s="42"/>
      <c r="E526" s="26"/>
      <c r="G526" s="54"/>
      <c r="N526" s="42"/>
    </row>
    <row r="527" spans="2:14" s="13" customFormat="1" x14ac:dyDescent="0.4">
      <c r="B527" s="25"/>
      <c r="D527" s="42"/>
      <c r="E527" s="26"/>
      <c r="G527" s="54"/>
      <c r="N527" s="42"/>
    </row>
    <row r="528" spans="2:14" s="13" customFormat="1" x14ac:dyDescent="0.4">
      <c r="B528" s="25"/>
      <c r="D528" s="42"/>
      <c r="E528" s="26"/>
      <c r="G528" s="54"/>
      <c r="N528" s="42"/>
    </row>
    <row r="529" spans="2:14" s="13" customFormat="1" x14ac:dyDescent="0.4">
      <c r="B529" s="25"/>
      <c r="D529" s="42"/>
      <c r="E529" s="26"/>
      <c r="G529" s="54"/>
      <c r="N529" s="42"/>
    </row>
    <row r="530" spans="2:14" s="13" customFormat="1" x14ac:dyDescent="0.4">
      <c r="B530" s="25"/>
      <c r="D530" s="42"/>
      <c r="E530" s="26"/>
      <c r="G530" s="54"/>
      <c r="N530" s="42"/>
    </row>
    <row r="531" spans="2:14" s="13" customFormat="1" x14ac:dyDescent="0.4">
      <c r="B531" s="25"/>
      <c r="D531" s="42"/>
      <c r="E531" s="26"/>
      <c r="G531" s="54"/>
      <c r="N531" s="42"/>
    </row>
    <row r="532" spans="2:14" s="13" customFormat="1" x14ac:dyDescent="0.4">
      <c r="B532" s="25"/>
      <c r="D532" s="42"/>
      <c r="E532" s="26"/>
      <c r="G532" s="54"/>
      <c r="N532" s="42"/>
    </row>
    <row r="533" spans="2:14" s="13" customFormat="1" x14ac:dyDescent="0.4">
      <c r="B533" s="25"/>
      <c r="D533" s="42"/>
      <c r="E533" s="26"/>
      <c r="G533" s="54"/>
      <c r="N533" s="42"/>
    </row>
    <row r="534" spans="2:14" s="13" customFormat="1" x14ac:dyDescent="0.4">
      <c r="B534" s="25"/>
      <c r="D534" s="42"/>
      <c r="E534" s="26"/>
      <c r="G534" s="54"/>
      <c r="N534" s="42"/>
    </row>
    <row r="535" spans="2:14" s="13" customFormat="1" x14ac:dyDescent="0.4">
      <c r="B535" s="25"/>
      <c r="D535" s="42"/>
      <c r="E535" s="26"/>
      <c r="G535" s="54"/>
      <c r="N535" s="42"/>
    </row>
    <row r="536" spans="2:14" s="13" customFormat="1" x14ac:dyDescent="0.4">
      <c r="B536" s="25"/>
      <c r="D536" s="42"/>
      <c r="E536" s="26"/>
      <c r="G536" s="54"/>
      <c r="N536" s="42"/>
    </row>
    <row r="537" spans="2:14" s="13" customFormat="1" x14ac:dyDescent="0.4">
      <c r="B537" s="25"/>
      <c r="D537" s="42"/>
      <c r="E537" s="26"/>
      <c r="G537" s="54"/>
      <c r="N537" s="42"/>
    </row>
    <row r="538" spans="2:14" s="13" customFormat="1" x14ac:dyDescent="0.4">
      <c r="B538" s="25"/>
      <c r="D538" s="42"/>
      <c r="E538" s="26"/>
      <c r="G538" s="54"/>
      <c r="N538" s="42"/>
    </row>
    <row r="539" spans="2:14" s="13" customFormat="1" x14ac:dyDescent="0.4">
      <c r="B539" s="25"/>
      <c r="D539" s="42"/>
      <c r="E539" s="26"/>
      <c r="G539" s="54"/>
      <c r="N539" s="42"/>
    </row>
    <row r="540" spans="2:14" s="13" customFormat="1" x14ac:dyDescent="0.4">
      <c r="B540" s="25"/>
      <c r="D540" s="42"/>
      <c r="E540" s="26"/>
      <c r="G540" s="54"/>
      <c r="N540" s="42"/>
    </row>
    <row r="541" spans="2:14" s="13" customFormat="1" x14ac:dyDescent="0.4">
      <c r="B541" s="25"/>
      <c r="D541" s="42"/>
      <c r="E541" s="26"/>
      <c r="G541" s="54"/>
      <c r="N541" s="42"/>
    </row>
    <row r="542" spans="2:14" s="13" customFormat="1" x14ac:dyDescent="0.4">
      <c r="B542" s="25"/>
      <c r="D542" s="42"/>
      <c r="E542" s="26"/>
      <c r="G542" s="54"/>
      <c r="N542" s="42"/>
    </row>
    <row r="543" spans="2:14" s="13" customFormat="1" x14ac:dyDescent="0.4">
      <c r="B543" s="25"/>
      <c r="D543" s="42"/>
      <c r="E543" s="26"/>
      <c r="G543" s="54"/>
      <c r="N543" s="42"/>
    </row>
    <row r="544" spans="2:14" s="13" customFormat="1" x14ac:dyDescent="0.4">
      <c r="B544" s="25"/>
      <c r="D544" s="42"/>
      <c r="E544" s="26"/>
      <c r="G544" s="54"/>
      <c r="N544" s="42"/>
    </row>
    <row r="545" spans="2:14" s="13" customFormat="1" x14ac:dyDescent="0.4">
      <c r="B545" s="25"/>
      <c r="D545" s="42"/>
      <c r="E545" s="26"/>
      <c r="G545" s="54"/>
      <c r="N545" s="42"/>
    </row>
    <row r="546" spans="2:14" s="13" customFormat="1" x14ac:dyDescent="0.4">
      <c r="B546" s="25"/>
      <c r="D546" s="42"/>
      <c r="E546" s="26"/>
      <c r="G546" s="54"/>
      <c r="N546" s="42"/>
    </row>
    <row r="547" spans="2:14" s="13" customFormat="1" x14ac:dyDescent="0.4">
      <c r="B547" s="25"/>
      <c r="D547" s="42"/>
      <c r="E547" s="26"/>
      <c r="G547" s="54"/>
      <c r="N547" s="42"/>
    </row>
    <row r="548" spans="2:14" s="13" customFormat="1" x14ac:dyDescent="0.4">
      <c r="B548" s="25"/>
      <c r="D548" s="42"/>
      <c r="E548" s="26"/>
      <c r="G548" s="54"/>
      <c r="N548" s="42"/>
    </row>
    <row r="549" spans="2:14" s="13" customFormat="1" x14ac:dyDescent="0.4">
      <c r="B549" s="25"/>
      <c r="D549" s="42"/>
      <c r="E549" s="26"/>
      <c r="G549" s="54"/>
      <c r="N549" s="42"/>
    </row>
    <row r="550" spans="2:14" s="13" customFormat="1" x14ac:dyDescent="0.4">
      <c r="B550" s="25"/>
      <c r="D550" s="42"/>
      <c r="E550" s="26"/>
      <c r="G550" s="54"/>
      <c r="N550" s="42"/>
    </row>
    <row r="551" spans="2:14" s="13" customFormat="1" x14ac:dyDescent="0.4">
      <c r="B551" s="25"/>
      <c r="D551" s="42"/>
      <c r="E551" s="26"/>
      <c r="G551" s="54"/>
      <c r="N551" s="42"/>
    </row>
    <row r="552" spans="2:14" s="13" customFormat="1" x14ac:dyDescent="0.4">
      <c r="B552" s="25"/>
      <c r="D552" s="42"/>
      <c r="E552" s="26"/>
      <c r="G552" s="54"/>
      <c r="N552" s="42"/>
    </row>
    <row r="553" spans="2:14" s="13" customFormat="1" x14ac:dyDescent="0.4">
      <c r="B553" s="25"/>
      <c r="D553" s="42"/>
      <c r="E553" s="26"/>
      <c r="G553" s="54"/>
      <c r="N553" s="42"/>
    </row>
    <row r="554" spans="2:14" s="13" customFormat="1" x14ac:dyDescent="0.4">
      <c r="B554" s="25"/>
      <c r="D554" s="42"/>
      <c r="E554" s="26"/>
      <c r="G554" s="54"/>
      <c r="N554" s="42"/>
    </row>
    <row r="555" spans="2:14" s="13" customFormat="1" x14ac:dyDescent="0.4">
      <c r="B555" s="25"/>
      <c r="D555" s="42"/>
      <c r="E555" s="26"/>
      <c r="G555" s="54"/>
      <c r="N555" s="42"/>
    </row>
    <row r="556" spans="2:14" s="13" customFormat="1" x14ac:dyDescent="0.4">
      <c r="B556" s="25"/>
      <c r="D556" s="42"/>
      <c r="E556" s="26"/>
      <c r="G556" s="54"/>
      <c r="N556" s="42"/>
    </row>
    <row r="557" spans="2:14" s="13" customFormat="1" x14ac:dyDescent="0.4">
      <c r="B557" s="25"/>
      <c r="D557" s="42"/>
      <c r="E557" s="26"/>
      <c r="G557" s="54"/>
      <c r="N557" s="42"/>
    </row>
    <row r="558" spans="2:14" s="13" customFormat="1" x14ac:dyDescent="0.4">
      <c r="B558" s="25"/>
      <c r="D558" s="42"/>
      <c r="E558" s="26"/>
      <c r="G558" s="54"/>
      <c r="N558" s="42"/>
    </row>
    <row r="559" spans="2:14" s="13" customFormat="1" x14ac:dyDescent="0.4">
      <c r="B559" s="25"/>
      <c r="D559" s="42"/>
      <c r="E559" s="26"/>
      <c r="G559" s="54"/>
      <c r="N559" s="42"/>
    </row>
    <row r="560" spans="2:14" s="13" customFormat="1" x14ac:dyDescent="0.4">
      <c r="B560" s="25"/>
      <c r="D560" s="42"/>
      <c r="E560" s="26"/>
      <c r="G560" s="54"/>
      <c r="N560" s="42"/>
    </row>
    <row r="561" spans="2:14" s="13" customFormat="1" x14ac:dyDescent="0.4">
      <c r="B561" s="25"/>
      <c r="D561" s="42"/>
      <c r="E561" s="26"/>
      <c r="G561" s="54"/>
      <c r="N561" s="42"/>
    </row>
    <row r="562" spans="2:14" s="13" customFormat="1" x14ac:dyDescent="0.4">
      <c r="B562" s="25"/>
      <c r="D562" s="42"/>
      <c r="E562" s="26"/>
      <c r="G562" s="54"/>
      <c r="N562" s="42"/>
    </row>
    <row r="563" spans="2:14" s="13" customFormat="1" x14ac:dyDescent="0.4">
      <c r="B563" s="25"/>
      <c r="D563" s="42"/>
      <c r="E563" s="26"/>
      <c r="G563" s="54"/>
      <c r="N563" s="42"/>
    </row>
    <row r="564" spans="2:14" s="13" customFormat="1" x14ac:dyDescent="0.4">
      <c r="B564" s="25"/>
      <c r="D564" s="42"/>
      <c r="E564" s="26"/>
      <c r="G564" s="54"/>
      <c r="N564" s="42"/>
    </row>
    <row r="565" spans="2:14" s="13" customFormat="1" x14ac:dyDescent="0.4">
      <c r="B565" s="25"/>
      <c r="D565" s="42"/>
      <c r="E565" s="26"/>
      <c r="G565" s="54"/>
      <c r="N565" s="42"/>
    </row>
    <row r="566" spans="2:14" s="13" customFormat="1" x14ac:dyDescent="0.4">
      <c r="B566" s="25"/>
      <c r="D566" s="42"/>
      <c r="E566" s="26"/>
      <c r="G566" s="54"/>
      <c r="N566" s="42"/>
    </row>
    <row r="567" spans="2:14" s="13" customFormat="1" x14ac:dyDescent="0.4">
      <c r="B567" s="25"/>
      <c r="D567" s="42"/>
      <c r="E567" s="26"/>
      <c r="G567" s="54"/>
      <c r="N567" s="42"/>
    </row>
    <row r="568" spans="2:14" s="13" customFormat="1" x14ac:dyDescent="0.4">
      <c r="B568" s="25"/>
      <c r="D568" s="42"/>
      <c r="E568" s="26"/>
      <c r="G568" s="54"/>
      <c r="N568" s="42"/>
    </row>
    <row r="569" spans="2:14" s="13" customFormat="1" x14ac:dyDescent="0.4">
      <c r="B569" s="25"/>
      <c r="D569" s="42"/>
      <c r="E569" s="26"/>
      <c r="G569" s="54"/>
      <c r="N569" s="42"/>
    </row>
    <row r="570" spans="2:14" s="13" customFormat="1" x14ac:dyDescent="0.4">
      <c r="B570" s="25"/>
      <c r="D570" s="42"/>
      <c r="E570" s="26"/>
      <c r="G570" s="54"/>
      <c r="N570" s="42"/>
    </row>
    <row r="571" spans="2:14" s="13" customFormat="1" x14ac:dyDescent="0.4">
      <c r="B571" s="25"/>
      <c r="D571" s="42"/>
      <c r="E571" s="26"/>
      <c r="G571" s="54"/>
      <c r="N571" s="42"/>
    </row>
    <row r="572" spans="2:14" s="13" customFormat="1" x14ac:dyDescent="0.4">
      <c r="B572" s="25"/>
      <c r="D572" s="42"/>
      <c r="E572" s="26"/>
      <c r="G572" s="54"/>
      <c r="N572" s="42"/>
    </row>
    <row r="573" spans="2:14" s="13" customFormat="1" x14ac:dyDescent="0.4">
      <c r="B573" s="25"/>
      <c r="D573" s="42"/>
      <c r="E573" s="26"/>
      <c r="G573" s="54"/>
      <c r="N573" s="42"/>
    </row>
    <row r="574" spans="2:14" s="13" customFormat="1" x14ac:dyDescent="0.4">
      <c r="B574" s="25"/>
      <c r="D574" s="42"/>
      <c r="E574" s="26"/>
      <c r="G574" s="54"/>
      <c r="N574" s="42"/>
    </row>
    <row r="575" spans="2:14" s="13" customFormat="1" x14ac:dyDescent="0.4">
      <c r="B575" s="25"/>
      <c r="D575" s="42"/>
      <c r="E575" s="26"/>
      <c r="G575" s="54"/>
      <c r="N575" s="42"/>
    </row>
    <row r="576" spans="2:14" s="13" customFormat="1" x14ac:dyDescent="0.4">
      <c r="B576" s="25"/>
      <c r="D576" s="42"/>
      <c r="E576" s="26"/>
      <c r="G576" s="54"/>
      <c r="N576" s="42"/>
    </row>
    <row r="577" spans="2:14" s="13" customFormat="1" x14ac:dyDescent="0.4">
      <c r="B577" s="25"/>
      <c r="D577" s="42"/>
      <c r="E577" s="26"/>
      <c r="G577" s="54"/>
      <c r="N577" s="42"/>
    </row>
    <row r="578" spans="2:14" s="13" customFormat="1" x14ac:dyDescent="0.4">
      <c r="B578" s="25"/>
      <c r="D578" s="42"/>
      <c r="E578" s="26"/>
      <c r="G578" s="54"/>
      <c r="N578" s="42"/>
    </row>
    <row r="579" spans="2:14" s="13" customFormat="1" x14ac:dyDescent="0.4">
      <c r="B579" s="25"/>
      <c r="D579" s="42"/>
      <c r="E579" s="26"/>
      <c r="G579" s="54"/>
      <c r="N579" s="42"/>
    </row>
    <row r="580" spans="2:14" s="13" customFormat="1" x14ac:dyDescent="0.4">
      <c r="B580" s="25"/>
      <c r="D580" s="42"/>
      <c r="E580" s="26"/>
      <c r="G580" s="54"/>
      <c r="N580" s="42"/>
    </row>
    <row r="581" spans="2:14" s="13" customFormat="1" x14ac:dyDescent="0.4">
      <c r="B581" s="25"/>
      <c r="D581" s="42"/>
      <c r="E581" s="26"/>
      <c r="G581" s="54"/>
      <c r="N581" s="42"/>
    </row>
    <row r="582" spans="2:14" s="13" customFormat="1" x14ac:dyDescent="0.4">
      <c r="B582" s="25"/>
      <c r="D582" s="42"/>
      <c r="E582" s="26"/>
      <c r="G582" s="54"/>
      <c r="N582" s="42"/>
    </row>
    <row r="583" spans="2:14" s="13" customFormat="1" x14ac:dyDescent="0.4">
      <c r="B583" s="25"/>
      <c r="D583" s="42"/>
      <c r="E583" s="26"/>
      <c r="G583" s="54"/>
      <c r="N583" s="42"/>
    </row>
    <row r="584" spans="2:14" s="13" customFormat="1" x14ac:dyDescent="0.4">
      <c r="B584" s="25"/>
      <c r="D584" s="42"/>
      <c r="E584" s="26"/>
      <c r="G584" s="54"/>
      <c r="N584" s="42"/>
    </row>
    <row r="585" spans="2:14" s="13" customFormat="1" x14ac:dyDescent="0.4">
      <c r="B585" s="25"/>
      <c r="D585" s="42"/>
      <c r="E585" s="26"/>
      <c r="G585" s="54"/>
      <c r="N585" s="42"/>
    </row>
    <row r="586" spans="2:14" s="13" customFormat="1" x14ac:dyDescent="0.4">
      <c r="B586" s="25"/>
      <c r="D586" s="42"/>
      <c r="E586" s="26"/>
      <c r="G586" s="54"/>
      <c r="N586" s="42"/>
    </row>
    <row r="587" spans="2:14" s="13" customFormat="1" x14ac:dyDescent="0.4">
      <c r="B587" s="25"/>
      <c r="D587" s="42"/>
      <c r="E587" s="26"/>
      <c r="G587" s="54"/>
      <c r="N587" s="42"/>
    </row>
    <row r="588" spans="2:14" s="13" customFormat="1" x14ac:dyDescent="0.4">
      <c r="B588" s="25"/>
      <c r="D588" s="42"/>
      <c r="E588" s="26"/>
      <c r="G588" s="54"/>
      <c r="N588" s="42"/>
    </row>
    <row r="589" spans="2:14" s="13" customFormat="1" x14ac:dyDescent="0.4">
      <c r="B589" s="25"/>
      <c r="D589" s="42"/>
      <c r="E589" s="26"/>
      <c r="G589" s="54"/>
      <c r="N589" s="42"/>
    </row>
    <row r="590" spans="2:14" s="13" customFormat="1" x14ac:dyDescent="0.4">
      <c r="B590" s="25"/>
      <c r="D590" s="42"/>
      <c r="E590" s="26"/>
      <c r="G590" s="54"/>
      <c r="N590" s="42"/>
    </row>
    <row r="591" spans="2:14" s="13" customFormat="1" x14ac:dyDescent="0.4">
      <c r="B591" s="25"/>
      <c r="D591" s="42"/>
      <c r="E591" s="26"/>
      <c r="G591" s="54"/>
      <c r="N591" s="42"/>
    </row>
    <row r="592" spans="2:14" s="13" customFormat="1" x14ac:dyDescent="0.4">
      <c r="B592" s="25"/>
      <c r="D592" s="42"/>
      <c r="E592" s="26"/>
      <c r="G592" s="54"/>
      <c r="N592" s="42"/>
    </row>
    <row r="593" spans="2:14" s="13" customFormat="1" x14ac:dyDescent="0.4">
      <c r="B593" s="25"/>
      <c r="D593" s="42"/>
      <c r="E593" s="26"/>
      <c r="G593" s="54"/>
      <c r="N593" s="42"/>
    </row>
    <row r="594" spans="2:14" s="13" customFormat="1" x14ac:dyDescent="0.4">
      <c r="B594" s="25"/>
      <c r="D594" s="42"/>
      <c r="E594" s="26"/>
      <c r="G594" s="54"/>
      <c r="N594" s="42"/>
    </row>
    <row r="595" spans="2:14" s="13" customFormat="1" x14ac:dyDescent="0.4">
      <c r="B595" s="25"/>
      <c r="D595" s="42"/>
      <c r="E595" s="26"/>
      <c r="G595" s="54"/>
      <c r="N595" s="42"/>
    </row>
    <row r="596" spans="2:14" s="13" customFormat="1" x14ac:dyDescent="0.4">
      <c r="B596" s="25"/>
      <c r="D596" s="42"/>
      <c r="E596" s="26"/>
      <c r="G596" s="54"/>
      <c r="N596" s="42"/>
    </row>
    <row r="597" spans="2:14" s="13" customFormat="1" x14ac:dyDescent="0.4">
      <c r="B597" s="25"/>
      <c r="D597" s="42"/>
      <c r="E597" s="26"/>
      <c r="G597" s="54"/>
      <c r="N597" s="42"/>
    </row>
    <row r="598" spans="2:14" s="13" customFormat="1" x14ac:dyDescent="0.4">
      <c r="B598" s="25"/>
      <c r="D598" s="42"/>
      <c r="E598" s="26"/>
      <c r="G598" s="54"/>
      <c r="N598" s="42"/>
    </row>
    <row r="599" spans="2:14" s="13" customFormat="1" x14ac:dyDescent="0.4">
      <c r="B599" s="25"/>
      <c r="D599" s="42"/>
      <c r="E599" s="26"/>
      <c r="G599" s="54"/>
      <c r="N599" s="42"/>
    </row>
    <row r="600" spans="2:14" s="13" customFormat="1" x14ac:dyDescent="0.4">
      <c r="B600" s="25"/>
      <c r="D600" s="42"/>
      <c r="E600" s="26"/>
      <c r="G600" s="54"/>
      <c r="N600" s="42"/>
    </row>
    <row r="601" spans="2:14" s="13" customFormat="1" x14ac:dyDescent="0.4">
      <c r="B601" s="25"/>
      <c r="D601" s="42"/>
      <c r="E601" s="26"/>
      <c r="G601" s="54"/>
      <c r="N601" s="42"/>
    </row>
    <row r="602" spans="2:14" s="13" customFormat="1" x14ac:dyDescent="0.4">
      <c r="B602" s="25"/>
      <c r="D602" s="42"/>
      <c r="E602" s="26"/>
      <c r="G602" s="54"/>
      <c r="N602" s="42"/>
    </row>
    <row r="603" spans="2:14" s="13" customFormat="1" x14ac:dyDescent="0.4">
      <c r="B603" s="25"/>
      <c r="D603" s="42"/>
      <c r="E603" s="26"/>
      <c r="G603" s="54"/>
      <c r="N603" s="42"/>
    </row>
    <row r="604" spans="2:14" s="13" customFormat="1" x14ac:dyDescent="0.4">
      <c r="B604" s="25"/>
      <c r="D604" s="42"/>
      <c r="E604" s="26"/>
      <c r="G604" s="54"/>
      <c r="N604" s="42"/>
    </row>
    <row r="605" spans="2:14" s="13" customFormat="1" x14ac:dyDescent="0.4">
      <c r="B605" s="25"/>
      <c r="D605" s="42"/>
      <c r="E605" s="26"/>
      <c r="G605" s="54"/>
      <c r="N605" s="42"/>
    </row>
    <row r="606" spans="2:14" s="13" customFormat="1" x14ac:dyDescent="0.4">
      <c r="B606" s="25"/>
      <c r="D606" s="42"/>
      <c r="E606" s="26"/>
      <c r="G606" s="54"/>
      <c r="N606" s="42"/>
    </row>
    <row r="607" spans="2:14" s="13" customFormat="1" x14ac:dyDescent="0.4">
      <c r="B607" s="25"/>
      <c r="D607" s="42"/>
      <c r="E607" s="26"/>
      <c r="G607" s="54"/>
      <c r="N607" s="42"/>
    </row>
    <row r="608" spans="2:14" s="13" customFormat="1" x14ac:dyDescent="0.4">
      <c r="B608" s="25"/>
      <c r="D608" s="42"/>
      <c r="E608" s="26"/>
      <c r="G608" s="54"/>
      <c r="N608" s="42"/>
    </row>
    <row r="609" spans="2:14" s="13" customFormat="1" x14ac:dyDescent="0.4">
      <c r="B609" s="25"/>
      <c r="D609" s="42"/>
      <c r="E609" s="26"/>
      <c r="G609" s="54"/>
      <c r="N609" s="42"/>
    </row>
    <row r="610" spans="2:14" s="13" customFormat="1" x14ac:dyDescent="0.4">
      <c r="B610" s="25"/>
      <c r="D610" s="42"/>
      <c r="E610" s="26"/>
      <c r="G610" s="54"/>
      <c r="N610" s="42"/>
    </row>
    <row r="611" spans="2:14" s="13" customFormat="1" x14ac:dyDescent="0.4">
      <c r="B611" s="25"/>
      <c r="D611" s="42"/>
      <c r="E611" s="26"/>
      <c r="G611" s="54"/>
      <c r="N611" s="42"/>
    </row>
    <row r="612" spans="2:14" s="13" customFormat="1" x14ac:dyDescent="0.4">
      <c r="B612" s="25"/>
      <c r="D612" s="42"/>
      <c r="E612" s="26"/>
      <c r="G612" s="54"/>
      <c r="N612" s="42"/>
    </row>
    <row r="613" spans="2:14" s="13" customFormat="1" x14ac:dyDescent="0.4">
      <c r="B613" s="25"/>
      <c r="D613" s="42"/>
      <c r="E613" s="26"/>
      <c r="G613" s="54"/>
      <c r="N613" s="42"/>
    </row>
    <row r="614" spans="2:14" s="13" customFormat="1" x14ac:dyDescent="0.4">
      <c r="B614" s="25"/>
      <c r="D614" s="42"/>
      <c r="E614" s="26"/>
      <c r="G614" s="54"/>
      <c r="N614" s="42"/>
    </row>
    <row r="615" spans="2:14" s="13" customFormat="1" x14ac:dyDescent="0.4">
      <c r="B615" s="25"/>
      <c r="D615" s="42"/>
      <c r="E615" s="26"/>
      <c r="G615" s="54"/>
      <c r="N615" s="42"/>
    </row>
    <row r="616" spans="2:14" s="13" customFormat="1" x14ac:dyDescent="0.4">
      <c r="B616" s="25"/>
      <c r="D616" s="42"/>
      <c r="E616" s="26"/>
      <c r="G616" s="54"/>
      <c r="N616" s="42"/>
    </row>
    <row r="617" spans="2:14" s="13" customFormat="1" x14ac:dyDescent="0.4">
      <c r="B617" s="25"/>
      <c r="D617" s="42"/>
      <c r="E617" s="26"/>
      <c r="G617" s="54"/>
      <c r="N617" s="42"/>
    </row>
    <row r="618" spans="2:14" s="13" customFormat="1" x14ac:dyDescent="0.4">
      <c r="B618" s="25"/>
      <c r="D618" s="42"/>
      <c r="E618" s="26"/>
      <c r="G618" s="54"/>
      <c r="N618" s="42"/>
    </row>
    <row r="619" spans="2:14" s="13" customFormat="1" x14ac:dyDescent="0.4">
      <c r="B619" s="25"/>
      <c r="D619" s="42"/>
      <c r="E619" s="26"/>
      <c r="G619" s="54"/>
      <c r="N619" s="42"/>
    </row>
    <row r="620" spans="2:14" s="13" customFormat="1" x14ac:dyDescent="0.4">
      <c r="B620" s="25"/>
      <c r="D620" s="42"/>
      <c r="E620" s="26"/>
      <c r="G620" s="54"/>
      <c r="N620" s="42"/>
    </row>
    <row r="621" spans="2:14" s="13" customFormat="1" x14ac:dyDescent="0.4">
      <c r="B621" s="25"/>
      <c r="D621" s="42"/>
      <c r="E621" s="26"/>
      <c r="G621" s="54"/>
      <c r="N621" s="42"/>
    </row>
    <row r="622" spans="2:14" s="13" customFormat="1" x14ac:dyDescent="0.4">
      <c r="B622" s="25"/>
      <c r="D622" s="42"/>
      <c r="E622" s="26"/>
      <c r="G622" s="54"/>
      <c r="N622" s="42"/>
    </row>
    <row r="623" spans="2:14" s="13" customFormat="1" x14ac:dyDescent="0.4">
      <c r="B623" s="25"/>
      <c r="D623" s="42"/>
      <c r="E623" s="26"/>
      <c r="G623" s="54"/>
      <c r="N623" s="42"/>
    </row>
    <row r="624" spans="2:14" s="13" customFormat="1" x14ac:dyDescent="0.4">
      <c r="B624" s="25"/>
      <c r="D624" s="42"/>
      <c r="E624" s="26"/>
      <c r="G624" s="54"/>
      <c r="N624" s="42"/>
    </row>
    <row r="625" spans="2:14" s="13" customFormat="1" x14ac:dyDescent="0.4">
      <c r="B625" s="25"/>
      <c r="D625" s="42"/>
      <c r="E625" s="26"/>
      <c r="G625" s="54"/>
      <c r="N625" s="42"/>
    </row>
    <row r="626" spans="2:14" s="13" customFormat="1" x14ac:dyDescent="0.4">
      <c r="B626" s="25"/>
      <c r="D626" s="42"/>
      <c r="E626" s="26"/>
      <c r="G626" s="54"/>
      <c r="N626" s="42"/>
    </row>
    <row r="627" spans="2:14" s="13" customFormat="1" x14ac:dyDescent="0.4">
      <c r="B627" s="25"/>
      <c r="D627" s="42"/>
      <c r="E627" s="26"/>
      <c r="G627" s="54"/>
      <c r="N627" s="42"/>
    </row>
    <row r="628" spans="2:14" s="13" customFormat="1" x14ac:dyDescent="0.4">
      <c r="B628" s="25"/>
      <c r="D628" s="42"/>
      <c r="E628" s="26"/>
      <c r="G628" s="54"/>
      <c r="N628" s="42"/>
    </row>
    <row r="629" spans="2:14" s="13" customFormat="1" x14ac:dyDescent="0.4">
      <c r="B629" s="25"/>
      <c r="D629" s="42"/>
      <c r="E629" s="26"/>
      <c r="G629" s="54"/>
      <c r="N629" s="42"/>
    </row>
    <row r="630" spans="2:14" s="13" customFormat="1" x14ac:dyDescent="0.4">
      <c r="B630" s="25"/>
      <c r="D630" s="42"/>
      <c r="E630" s="26"/>
      <c r="G630" s="54"/>
      <c r="N630" s="42"/>
    </row>
    <row r="631" spans="2:14" s="13" customFormat="1" x14ac:dyDescent="0.4">
      <c r="B631" s="25"/>
      <c r="D631" s="42"/>
      <c r="E631" s="26"/>
      <c r="G631" s="54"/>
      <c r="N631" s="42"/>
    </row>
    <row r="632" spans="2:14" s="13" customFormat="1" x14ac:dyDescent="0.4">
      <c r="B632" s="25"/>
      <c r="D632" s="42"/>
      <c r="E632" s="26"/>
      <c r="G632" s="54"/>
      <c r="N632" s="42"/>
    </row>
    <row r="633" spans="2:14" s="13" customFormat="1" x14ac:dyDescent="0.4">
      <c r="B633" s="25"/>
      <c r="D633" s="42"/>
      <c r="E633" s="26"/>
      <c r="G633" s="54"/>
      <c r="N633" s="42"/>
    </row>
    <row r="634" spans="2:14" s="13" customFormat="1" x14ac:dyDescent="0.4">
      <c r="B634" s="25"/>
      <c r="D634" s="42"/>
      <c r="E634" s="26"/>
      <c r="G634" s="54"/>
      <c r="N634" s="42"/>
    </row>
    <row r="635" spans="2:14" s="13" customFormat="1" x14ac:dyDescent="0.4">
      <c r="B635" s="25"/>
      <c r="D635" s="42"/>
      <c r="E635" s="26"/>
      <c r="G635" s="54"/>
      <c r="N635" s="42"/>
    </row>
    <row r="636" spans="2:14" s="13" customFormat="1" x14ac:dyDescent="0.4">
      <c r="B636" s="25"/>
      <c r="D636" s="42"/>
      <c r="E636" s="26"/>
      <c r="G636" s="54"/>
      <c r="N636" s="42"/>
    </row>
    <row r="637" spans="2:14" s="13" customFormat="1" x14ac:dyDescent="0.4">
      <c r="B637" s="25"/>
      <c r="D637" s="42"/>
      <c r="E637" s="26"/>
      <c r="G637" s="54"/>
      <c r="N637" s="42"/>
    </row>
    <row r="638" spans="2:14" s="13" customFormat="1" x14ac:dyDescent="0.4">
      <c r="B638" s="25"/>
      <c r="D638" s="42"/>
      <c r="E638" s="26"/>
      <c r="G638" s="54"/>
      <c r="N638" s="42"/>
    </row>
    <row r="639" spans="2:14" s="13" customFormat="1" x14ac:dyDescent="0.4">
      <c r="B639" s="25"/>
      <c r="D639" s="42"/>
      <c r="E639" s="26"/>
      <c r="G639" s="54"/>
      <c r="N639" s="42"/>
    </row>
    <row r="640" spans="2:14" s="13" customFormat="1" x14ac:dyDescent="0.4">
      <c r="B640" s="25"/>
      <c r="D640" s="42"/>
      <c r="E640" s="26"/>
      <c r="G640" s="54"/>
      <c r="N640" s="42"/>
    </row>
    <row r="641" spans="2:14" s="13" customFormat="1" x14ac:dyDescent="0.4">
      <c r="B641" s="25"/>
      <c r="D641" s="42"/>
      <c r="E641" s="26"/>
      <c r="G641" s="54"/>
      <c r="N641" s="42"/>
    </row>
    <row r="642" spans="2:14" s="13" customFormat="1" x14ac:dyDescent="0.4">
      <c r="B642" s="25"/>
      <c r="D642" s="42"/>
      <c r="E642" s="26"/>
      <c r="G642" s="54"/>
      <c r="N642" s="42"/>
    </row>
    <row r="643" spans="2:14" s="13" customFormat="1" x14ac:dyDescent="0.4">
      <c r="B643" s="25"/>
      <c r="D643" s="42"/>
      <c r="E643" s="26"/>
      <c r="G643" s="54"/>
      <c r="N643" s="42"/>
    </row>
    <row r="644" spans="2:14" s="13" customFormat="1" x14ac:dyDescent="0.4">
      <c r="B644" s="25"/>
      <c r="D644" s="42"/>
      <c r="E644" s="26"/>
      <c r="G644" s="54"/>
      <c r="N644" s="42"/>
    </row>
    <row r="645" spans="2:14" s="13" customFormat="1" x14ac:dyDescent="0.4">
      <c r="B645" s="25"/>
      <c r="D645" s="42"/>
      <c r="E645" s="26"/>
      <c r="G645" s="54"/>
      <c r="N645" s="42"/>
    </row>
    <row r="646" spans="2:14" s="13" customFormat="1" x14ac:dyDescent="0.4">
      <c r="B646" s="25"/>
      <c r="D646" s="42"/>
      <c r="E646" s="26"/>
      <c r="G646" s="54"/>
      <c r="N646" s="42"/>
    </row>
    <row r="647" spans="2:14" s="13" customFormat="1" x14ac:dyDescent="0.4">
      <c r="B647" s="25"/>
      <c r="D647" s="42"/>
      <c r="E647" s="26"/>
      <c r="G647" s="54"/>
      <c r="N647" s="42"/>
    </row>
    <row r="648" spans="2:14" s="13" customFormat="1" x14ac:dyDescent="0.4">
      <c r="B648" s="25"/>
      <c r="D648" s="42"/>
      <c r="E648" s="26"/>
      <c r="G648" s="54"/>
      <c r="N648" s="42"/>
    </row>
    <row r="649" spans="2:14" s="13" customFormat="1" x14ac:dyDescent="0.4">
      <c r="B649" s="25"/>
      <c r="D649" s="42"/>
      <c r="E649" s="26"/>
      <c r="G649" s="54"/>
      <c r="N649" s="42"/>
    </row>
    <row r="650" spans="2:14" s="13" customFormat="1" x14ac:dyDescent="0.4">
      <c r="B650" s="25"/>
      <c r="D650" s="42"/>
      <c r="E650" s="26"/>
      <c r="G650" s="54"/>
      <c r="N650" s="42"/>
    </row>
    <row r="651" spans="2:14" s="13" customFormat="1" x14ac:dyDescent="0.4">
      <c r="B651" s="25"/>
      <c r="D651" s="42"/>
      <c r="E651" s="26"/>
      <c r="G651" s="54"/>
      <c r="N651" s="42"/>
    </row>
    <row r="652" spans="2:14" s="13" customFormat="1" x14ac:dyDescent="0.4">
      <c r="B652" s="25"/>
      <c r="D652" s="42"/>
      <c r="E652" s="26"/>
      <c r="G652" s="54"/>
      <c r="N652" s="42"/>
    </row>
    <row r="653" spans="2:14" s="13" customFormat="1" x14ac:dyDescent="0.4">
      <c r="B653" s="25"/>
      <c r="D653" s="42"/>
      <c r="E653" s="26"/>
      <c r="G653" s="54"/>
      <c r="N653" s="42"/>
    </row>
    <row r="654" spans="2:14" s="13" customFormat="1" x14ac:dyDescent="0.4">
      <c r="B654" s="25"/>
      <c r="D654" s="42"/>
      <c r="E654" s="26"/>
      <c r="G654" s="54"/>
      <c r="N654" s="42"/>
    </row>
    <row r="655" spans="2:14" s="13" customFormat="1" x14ac:dyDescent="0.4">
      <c r="B655" s="25"/>
      <c r="D655" s="42"/>
      <c r="E655" s="26"/>
      <c r="G655" s="54"/>
      <c r="N655" s="42"/>
    </row>
  </sheetData>
  <sheetProtection algorithmName="SHA-512" hashValue="+gEwtxEd1R1p6GYqs4MWjnTCAChUho6OdCUzbdyV6DfTDcFV+tBj7PKKVhosSxp6A2Zi4lmgtWK3sITW6S6Fsw==" saltValue="949mkZbm8ARJjfNZ8dA1BA==" spinCount="100000" sheet="1" formatCells="0" formatColumns="0" formatRows="0"/>
  <mergeCells count="11">
    <mergeCell ref="M7:M22"/>
    <mergeCell ref="C18:C20"/>
    <mergeCell ref="D18:D20"/>
    <mergeCell ref="C21:C22"/>
    <mergeCell ref="D21:D22"/>
    <mergeCell ref="A7:A22"/>
    <mergeCell ref="B7:B22"/>
    <mergeCell ref="C7:C9"/>
    <mergeCell ref="D7:D9"/>
    <mergeCell ref="C10:C17"/>
    <mergeCell ref="D10:D17"/>
  </mergeCells>
  <dataValidations count="1">
    <dataValidation type="list" allowBlank="1" showInputMessage="1" showErrorMessage="1" errorTitle="ASVS Test Result" error="Invalid selection!" promptTitle="ASVS Test Result" prompt="Please select test result from the list." sqref="G7:G22" xr:uid="{5C15074D-C6F3-4168-ABFD-D900D257F0F1}">
      <formula1>testResult</formula1>
    </dataValidation>
  </dataValidations>
  <hyperlinks>
    <hyperlink ref="F11" r:id="rId1" location="tab=Formal_Numbering" display="https://www.owasp.org/index.php/OWASP_Proactive_Controls - tab=Formal_Numbering" xr:uid="{CBAC20DB-0DA7-4D26-9673-B5CAC555B034}"/>
    <hyperlink ref="F13" r:id="rId2" location="tab=Formal_Numbering" display="https://www.owasp.org/index.php/OWASP_Proactive_Controls - tab=Formal_Numbering" xr:uid="{E927AD1E-CB28-42BD-8B93-FB8AD5AB1725}"/>
    <hyperlink ref="F21" r:id="rId3" location="tab=Formal_Numbering" display="https://www.owasp.org/index.php/OWASP_Proactive_Controls - tab=Formal_Numbering" xr:uid="{EC660BCF-9875-4D93-829D-9D917DB65010}"/>
    <hyperlink ref="F22" r:id="rId4" location="tab=Formal_Numbering" display="https://www.owasp.org/index.php/OWASP_Proactive_Controls - tab=Formal_Numbering" xr:uid="{DEB6A30B-BC65-4B70-A726-4252F3383B2B}"/>
    <hyperlink ref="F119" r:id="rId5" location="tab=Formal_Numbering" display="https://www.owasp.org/index.php/OWASP_Proactive_Controls - tab=Formal_Numbering" xr:uid="{52432DB6-22F3-472A-8D47-ACDD54C4E415}"/>
    <hyperlink ref="F118" r:id="rId6" location="tab=Formal_Numbering" display="https://www.owasp.org/index.php/OWASP_Proactive_Controls - tab=Formal_Numbering" xr:uid="{9DDA6DA3-3A80-4E5A-833D-F9A94B748543}"/>
    <hyperlink ref="F117" r:id="rId7" location="tab=Formal_Numbering" display="https://www.owasp.org/index.php/OWASP_Proactive_Controls - tab=Formal_Numbering" xr:uid="{16FD3C8F-ACCD-45DC-8D8B-C00BF6D97D3C}"/>
    <hyperlink ref="F114" r:id="rId8" location="tab=Formal_Numbering" display="https://www.owasp.org/index.php/OWASP_Proactive_Controls - tab=Formal_Numbering" xr:uid="{995C3A5C-0C6D-4BDB-8546-0346899E399F}"/>
    <hyperlink ref="F101" r:id="rId9" display="https://www.owasp.org/index.php/Cross-Site_Request_Forgery_(CSRF)_Prevention_Cheat_Sheet" xr:uid="{5ADD40A4-81FE-4D10-AEF2-00D7C2C030D5}"/>
    <hyperlink ref="F77" r:id="rId10" location="tab=Formal_Numbering" display="https://www.owasp.org/index.php/OWASP_Proactive_Controls - tab=Formal_Numbering" xr:uid="{250C934C-4646-4160-AFAA-5E92A44AA263}"/>
    <hyperlink ref="F53" r:id="rId11" location="tab=Formal_Numbering" display="https://www.owasp.org/index.php/OWASP_Proactive_Controls - tab=Formal_Numbering" xr:uid="{3F89D160-54E5-4C60-AD74-1FFDD43AC435}"/>
    <hyperlink ref="F51" r:id="rId12" location="tab=Formal_Numbering" display="https://www.owasp.org/index.php/OWASP_Proactive_Controls - tab=Formal_Numbering" xr:uid="{72A08A20-A281-47C0-A382-F0F744BBF41C}"/>
    <hyperlink ref="F48" r:id="rId13" location="tab=Formal_Numbering" display="https://www.owasp.org/index.php/OWASP_Proactive_Controls - tab=Formal_Numbering" xr:uid="{D43CB419-9749-404B-9C09-111F1FD39F5A}"/>
    <hyperlink ref="F35" r:id="rId14" location="tab=Formal_Numbering" display="https://www.owasp.org/index.php/OWASP_Proactive_Controls - tab=Formal_Numbering" xr:uid="{719DE751-9BE0-4518-9050-8D659BEB61D7}"/>
    <hyperlink ref="F34" r:id="rId15" location="tab=Formal_Numbering" display="https://www.owasp.org/index.php/OWASP_Proactive_Controls - tab=Formal_Numbering" xr:uid="{30FE1F9D-5B26-4FB9-87A2-99F724D8A28D}"/>
    <hyperlink ref="F33" r:id="rId16" location="tab=Formal_Numbering" display="https://www.owasp.org/index.php/OWASP_Proactive_Controls - tab=Formal_Numbering" xr:uid="{F8988246-FA13-42BB-89D8-B7427FAD2A34}"/>
    <hyperlink ref="F32" r:id="rId17" location="tab=Formal_Numbering" display="https://www.owasp.org/index.php/OWASP_Proactive_Controls - tab=Formal_Numbering" xr:uid="{5B03F184-7B65-4414-8E07-67DF2A5FB756}"/>
    <hyperlink ref="F31" r:id="rId18" location="tab=Formal_Numbering" display="https://www.owasp.org/index.php/OWASP_Proactive_Controls - tab=Formal_Numbering" xr:uid="{A330CBCA-905E-41E4-BCEE-27198B6D87CF}"/>
    <hyperlink ref="F30" r:id="rId19" location="tab=Formal_Numbering" display="https://www.owasp.org/index.php/OWASP_Proactive_Controls - tab=Formal_Numbering" xr:uid="{836E93DD-C0D4-4BFA-9563-606AD5889031}"/>
    <hyperlink ref="F29" r:id="rId20" location="tab=Formal_Numbering" display="https://www.owasp.org/index.php/OWASP_Proactive_Controls - tab=Formal_Numbering" xr:uid="{F984FB46-3D71-4F23-9F35-43094E12F5AB}"/>
    <hyperlink ref="F26" r:id="rId21" location="tab=Formal_Numbering" display="https://www.owasp.org/index.php/OWASP_Proactive_Controls - tab=Formal_Numbering" xr:uid="{9CD6903B-1BFB-43C5-8C87-7DD044CC597A}"/>
    <hyperlink ref="F25" r:id="rId22" location="tab=Formal_Numbering" display="https://www.owasp.org/index.php/OWASP_Proactive_Controls - tab=Formal_Numbering" xr:uid="{3ED0FF6B-F6B0-486F-8409-59D6DA3524E5}"/>
    <hyperlink ref="F24" r:id="rId23" location="tab=Formal_Numbering" display="https://www.owasp.org/index.php/OWASP_Proactive_Controls - tab=Formal_Numbering" xr:uid="{C0330535-E687-4D70-8763-FDE214822F4B}"/>
    <hyperlink ref="F23" r:id="rId24" location="tab=Formal_Numbering" display="https://www.owasp.org/index.php/OWASP_Proactive_Controls - tab=Formal_Numbering" xr:uid="{608F82BB-580D-434F-A28D-8CA06F47463D}"/>
  </hyperlinks>
  <pageMargins left="0.7" right="0.7" top="0.75" bottom="0.75" header="0.3" footer="0.3"/>
  <drawing r:id="rId25"/>
  <legacyDrawing r:id="rId26"/>
  <mc:AlternateContent xmlns:mc="http://schemas.openxmlformats.org/markup-compatibility/2006">
    <mc:Choice Requires="x14">
      <controls>
        <mc:AlternateContent xmlns:mc="http://schemas.openxmlformats.org/markup-compatibility/2006">
          <mc:Choice Requires="x14">
            <control shapeId="21505" r:id="rId27" name="Button 1">
              <controlPr defaultSize="0" print="0" autoFill="0" autoPict="0" macro="[0]!Sheet12.Confirm_Reset_Answers_V6">
                <anchor moveWithCells="1" sizeWithCells="1">
                  <from>
                    <xdr:col>0</xdr:col>
                    <xdr:colOff>127000</xdr:colOff>
                    <xdr:row>0</xdr:row>
                    <xdr:rowOff>31750</xdr:rowOff>
                  </from>
                  <to>
                    <xdr:col>1</xdr:col>
                    <xdr:colOff>1574800</xdr:colOff>
                    <xdr:row>2</xdr:row>
                    <xdr:rowOff>50800</xdr:rowOff>
                  </to>
                </anchor>
              </controlPr>
            </control>
          </mc:Choice>
        </mc:AlternateContent>
        <mc:AlternateContent xmlns:mc="http://schemas.openxmlformats.org/markup-compatibility/2006">
          <mc:Choice Requires="x14">
            <control shapeId="21508" r:id="rId28" name="Button 4">
              <controlPr defaultSize="0" print="0" autoFill="0" autoPict="0" macro="[0]!Confirm_Reset_All_Answers">
                <anchor moveWithCells="1" sizeWithCells="1">
                  <from>
                    <xdr:col>0</xdr:col>
                    <xdr:colOff>114300</xdr:colOff>
                    <xdr:row>2</xdr:row>
                    <xdr:rowOff>88900</xdr:rowOff>
                  </from>
                  <to>
                    <xdr:col>1</xdr:col>
                    <xdr:colOff>1562100</xdr:colOff>
                    <xdr:row>4</xdr:row>
                    <xdr:rowOff>95250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09E3A-AC1F-44A0-8279-F54ED32D6803}">
  <sheetPr codeName="Sheet13">
    <tabColor theme="9" tint="0.39997558519241921"/>
  </sheetPr>
  <dimension ref="A1:CRF652"/>
  <sheetViews>
    <sheetView showGridLines="0" showRowColHeaders="0" workbookViewId="0">
      <pane ySplit="6" topLeftCell="A7" activePane="bottomLeft" state="frozen"/>
      <selection pane="bottomLeft" activeCell="A7" sqref="A7:A19"/>
    </sheetView>
  </sheetViews>
  <sheetFormatPr defaultRowHeight="15" x14ac:dyDescent="0.4"/>
  <cols>
    <col min="1" max="1" width="10.54296875" customWidth="1"/>
    <col min="2" max="2" width="24.1796875" style="20" customWidth="1"/>
    <col min="3" max="3" width="10.81640625" customWidth="1"/>
    <col min="4" max="4" width="31.81640625" style="43" customWidth="1"/>
    <col min="5" max="5" width="9.1796875" style="21"/>
    <col min="6" max="6" width="56.1796875" customWidth="1"/>
    <col min="7" max="7" width="19.1796875" style="55" customWidth="1"/>
    <col min="8" max="10" width="3.7265625" bestFit="1" customWidth="1"/>
    <col min="12" max="12" width="13.1796875" customWidth="1"/>
    <col min="13" max="13" width="40.54296875"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0</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0</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TOTAL_ASVS_V7</f>
        <v>13</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39" x14ac:dyDescent="0.35">
      <c r="A7" s="113" t="s">
        <v>45</v>
      </c>
      <c r="B7" s="116" t="s">
        <v>518</v>
      </c>
      <c r="C7" s="113" t="s">
        <v>519</v>
      </c>
      <c r="D7" s="109" t="s">
        <v>520</v>
      </c>
      <c r="E7" s="22" t="s">
        <v>357</v>
      </c>
      <c r="F7" s="23" t="s">
        <v>521</v>
      </c>
      <c r="G7" s="91" t="s">
        <v>32</v>
      </c>
      <c r="H7" s="38" t="s">
        <v>812</v>
      </c>
      <c r="I7" s="39" t="s">
        <v>812</v>
      </c>
      <c r="J7" s="40" t="s">
        <v>812</v>
      </c>
      <c r="K7" s="5">
        <v>532</v>
      </c>
      <c r="L7" s="24"/>
      <c r="M7" s="131" t="s">
        <v>845</v>
      </c>
      <c r="N7" s="41"/>
    </row>
    <row r="8" spans="1:2502" ht="26" x14ac:dyDescent="0.35">
      <c r="A8" s="114"/>
      <c r="B8" s="117"/>
      <c r="C8" s="114"/>
      <c r="D8" s="110"/>
      <c r="E8" s="22" t="s">
        <v>370</v>
      </c>
      <c r="F8" s="23" t="s">
        <v>522</v>
      </c>
      <c r="G8" s="91" t="s">
        <v>32</v>
      </c>
      <c r="H8" s="38" t="s">
        <v>812</v>
      </c>
      <c r="I8" s="39" t="s">
        <v>812</v>
      </c>
      <c r="J8" s="40" t="s">
        <v>812</v>
      </c>
      <c r="K8" s="5">
        <v>532</v>
      </c>
      <c r="L8" s="24"/>
      <c r="M8" s="120"/>
      <c r="N8" s="41"/>
    </row>
    <row r="9" spans="1:2502" ht="39" x14ac:dyDescent="0.35">
      <c r="A9" s="114"/>
      <c r="B9" s="117"/>
      <c r="C9" s="114"/>
      <c r="D9" s="110"/>
      <c r="E9" s="22" t="s">
        <v>523</v>
      </c>
      <c r="F9" s="23" t="s">
        <v>524</v>
      </c>
      <c r="G9" s="91" t="s">
        <v>32</v>
      </c>
      <c r="H9" s="4"/>
      <c r="I9" s="39" t="s">
        <v>812</v>
      </c>
      <c r="J9" s="40" t="s">
        <v>812</v>
      </c>
      <c r="K9" s="5">
        <v>778</v>
      </c>
      <c r="L9" s="24"/>
      <c r="M9" s="120"/>
      <c r="N9" s="41"/>
    </row>
    <row r="10" spans="1:2502" ht="39" x14ac:dyDescent="0.35">
      <c r="A10" s="114"/>
      <c r="B10" s="117"/>
      <c r="C10" s="115"/>
      <c r="D10" s="111"/>
      <c r="E10" s="22" t="s">
        <v>525</v>
      </c>
      <c r="F10" s="23" t="s">
        <v>526</v>
      </c>
      <c r="G10" s="91" t="s">
        <v>32</v>
      </c>
      <c r="H10" s="4"/>
      <c r="I10" s="39" t="s">
        <v>812</v>
      </c>
      <c r="J10" s="40" t="s">
        <v>812</v>
      </c>
      <c r="K10" s="5">
        <v>778</v>
      </c>
      <c r="L10" s="24"/>
      <c r="M10" s="120"/>
      <c r="N10" s="41"/>
    </row>
    <row r="11" spans="1:2502" ht="39" x14ac:dyDescent="0.35">
      <c r="A11" s="114"/>
      <c r="B11" s="117"/>
      <c r="C11" s="113" t="s">
        <v>527</v>
      </c>
      <c r="D11" s="109" t="s">
        <v>528</v>
      </c>
      <c r="E11" s="22" t="s">
        <v>379</v>
      </c>
      <c r="F11" s="4" t="s">
        <v>529</v>
      </c>
      <c r="G11" s="91" t="s">
        <v>32</v>
      </c>
      <c r="H11" s="4"/>
      <c r="I11" s="39" t="s">
        <v>812</v>
      </c>
      <c r="J11" s="40" t="s">
        <v>812</v>
      </c>
      <c r="K11" s="5">
        <v>778</v>
      </c>
      <c r="L11" s="24"/>
      <c r="M11" s="120"/>
      <c r="N11" s="41"/>
    </row>
    <row r="12" spans="1:2502" ht="39" x14ac:dyDescent="0.35">
      <c r="A12" s="114"/>
      <c r="B12" s="117"/>
      <c r="C12" s="115"/>
      <c r="D12" s="111"/>
      <c r="E12" s="22" t="s">
        <v>530</v>
      </c>
      <c r="F12" s="4" t="s">
        <v>531</v>
      </c>
      <c r="G12" s="91" t="s">
        <v>32</v>
      </c>
      <c r="H12" s="4"/>
      <c r="I12" s="39" t="s">
        <v>812</v>
      </c>
      <c r="J12" s="40" t="s">
        <v>812</v>
      </c>
      <c r="K12" s="5">
        <v>285</v>
      </c>
      <c r="L12" s="24"/>
      <c r="M12" s="120"/>
      <c r="N12" s="41"/>
    </row>
    <row r="13" spans="1:2502" ht="26.25" customHeight="1" x14ac:dyDescent="0.35">
      <c r="A13" s="114"/>
      <c r="B13" s="117"/>
      <c r="C13" s="113" t="s">
        <v>532</v>
      </c>
      <c r="D13" s="109" t="s">
        <v>533</v>
      </c>
      <c r="E13" s="22" t="s">
        <v>534</v>
      </c>
      <c r="F13" s="23" t="s">
        <v>535</v>
      </c>
      <c r="G13" s="91" t="s">
        <v>32</v>
      </c>
      <c r="H13" s="4"/>
      <c r="I13" s="39" t="s">
        <v>812</v>
      </c>
      <c r="J13" s="40" t="s">
        <v>812</v>
      </c>
      <c r="K13" s="5">
        <v>117</v>
      </c>
      <c r="L13" s="24"/>
      <c r="M13" s="120"/>
      <c r="N13" s="41"/>
    </row>
    <row r="14" spans="1:2502" ht="26" x14ac:dyDescent="0.35">
      <c r="A14" s="114"/>
      <c r="B14" s="117"/>
      <c r="C14" s="114"/>
      <c r="D14" s="110"/>
      <c r="E14" s="22" t="s">
        <v>536</v>
      </c>
      <c r="F14" s="23" t="s">
        <v>537</v>
      </c>
      <c r="G14" s="91" t="s">
        <v>32</v>
      </c>
      <c r="H14" s="4"/>
      <c r="I14" s="39" t="s">
        <v>812</v>
      </c>
      <c r="J14" s="40" t="s">
        <v>812</v>
      </c>
      <c r="K14" s="5">
        <v>117</v>
      </c>
      <c r="L14" s="24"/>
      <c r="M14" s="120"/>
      <c r="N14" s="41"/>
    </row>
    <row r="15" spans="1:2502" ht="26" x14ac:dyDescent="0.35">
      <c r="A15" s="114"/>
      <c r="B15" s="117"/>
      <c r="C15" s="114"/>
      <c r="D15" s="110"/>
      <c r="E15" s="22" t="s">
        <v>538</v>
      </c>
      <c r="F15" s="23" t="s">
        <v>539</v>
      </c>
      <c r="G15" s="91" t="s">
        <v>32</v>
      </c>
      <c r="H15" s="4"/>
      <c r="I15" s="39" t="s">
        <v>812</v>
      </c>
      <c r="J15" s="40" t="s">
        <v>812</v>
      </c>
      <c r="K15" s="5">
        <v>200</v>
      </c>
      <c r="L15" s="24"/>
      <c r="M15" s="120"/>
      <c r="N15" s="41"/>
    </row>
    <row r="16" spans="1:2502" ht="39" x14ac:dyDescent="0.35">
      <c r="A16" s="114"/>
      <c r="B16" s="117"/>
      <c r="C16" s="115"/>
      <c r="D16" s="111"/>
      <c r="E16" s="22" t="s">
        <v>540</v>
      </c>
      <c r="F16" s="23" t="s">
        <v>541</v>
      </c>
      <c r="G16" s="91" t="s">
        <v>32</v>
      </c>
      <c r="H16" s="4"/>
      <c r="I16" s="39" t="s">
        <v>812</v>
      </c>
      <c r="J16" s="40" t="s">
        <v>812</v>
      </c>
      <c r="K16" s="4"/>
      <c r="L16" s="24"/>
      <c r="M16" s="120"/>
      <c r="N16" s="41"/>
    </row>
    <row r="17" spans="1:14" ht="39" x14ac:dyDescent="0.35">
      <c r="A17" s="114"/>
      <c r="B17" s="117"/>
      <c r="C17" s="113" t="s">
        <v>542</v>
      </c>
      <c r="D17" s="109" t="s">
        <v>543</v>
      </c>
      <c r="E17" s="22" t="s">
        <v>544</v>
      </c>
      <c r="F17" s="23" t="s">
        <v>545</v>
      </c>
      <c r="G17" s="91" t="s">
        <v>32</v>
      </c>
      <c r="H17" s="38" t="s">
        <v>812</v>
      </c>
      <c r="I17" s="39" t="s">
        <v>812</v>
      </c>
      <c r="J17" s="40" t="s">
        <v>812</v>
      </c>
      <c r="K17" s="5">
        <v>210</v>
      </c>
      <c r="L17" s="24"/>
      <c r="M17" s="120"/>
      <c r="N17" s="41"/>
    </row>
    <row r="18" spans="1:14" ht="39" x14ac:dyDescent="0.35">
      <c r="A18" s="114"/>
      <c r="B18" s="117"/>
      <c r="C18" s="114"/>
      <c r="D18" s="110"/>
      <c r="E18" s="22" t="s">
        <v>546</v>
      </c>
      <c r="F18" s="23" t="s">
        <v>547</v>
      </c>
      <c r="G18" s="91" t="s">
        <v>32</v>
      </c>
      <c r="H18" s="4"/>
      <c r="I18" s="39" t="s">
        <v>812</v>
      </c>
      <c r="J18" s="40" t="s">
        <v>812</v>
      </c>
      <c r="K18" s="5">
        <v>544</v>
      </c>
      <c r="L18" s="24"/>
      <c r="M18" s="120"/>
      <c r="N18" s="41"/>
    </row>
    <row r="19" spans="1:14" ht="26" x14ac:dyDescent="0.35">
      <c r="A19" s="115"/>
      <c r="B19" s="118"/>
      <c r="C19" s="115"/>
      <c r="D19" s="111"/>
      <c r="E19" s="22" t="s">
        <v>548</v>
      </c>
      <c r="F19" s="23" t="s">
        <v>549</v>
      </c>
      <c r="G19" s="91" t="s">
        <v>32</v>
      </c>
      <c r="H19" s="4"/>
      <c r="I19" s="39" t="s">
        <v>812</v>
      </c>
      <c r="J19" s="40" t="s">
        <v>812</v>
      </c>
      <c r="K19" s="5">
        <v>460</v>
      </c>
      <c r="L19" s="24"/>
      <c r="M19" s="121"/>
      <c r="N19" s="41"/>
    </row>
    <row r="20" spans="1:14" s="13" customFormat="1" x14ac:dyDescent="0.4">
      <c r="B20" s="25"/>
      <c r="D20" s="42"/>
      <c r="E20" s="26"/>
      <c r="G20" s="54"/>
      <c r="N20" s="42"/>
    </row>
    <row r="21" spans="1:14" s="13" customFormat="1" x14ac:dyDescent="0.4">
      <c r="B21" s="25"/>
      <c r="D21" s="42"/>
      <c r="E21" s="26"/>
      <c r="G21" s="54"/>
      <c r="N21" s="42"/>
    </row>
    <row r="22" spans="1:14" s="13" customFormat="1" x14ac:dyDescent="0.4">
      <c r="B22" s="25"/>
      <c r="D22" s="42"/>
      <c r="E22" s="26"/>
      <c r="G22" s="54"/>
      <c r="N22" s="42"/>
    </row>
    <row r="23" spans="1:14" s="13" customFormat="1" x14ac:dyDescent="0.4">
      <c r="B23" s="25"/>
      <c r="D23" s="42"/>
      <c r="E23" s="26"/>
      <c r="G23" s="54"/>
      <c r="N23" s="42"/>
    </row>
    <row r="24" spans="1:14" s="13" customFormat="1" x14ac:dyDescent="0.4">
      <c r="B24" s="25"/>
      <c r="D24" s="42"/>
      <c r="E24" s="26"/>
      <c r="G24" s="54"/>
      <c r="N24" s="42"/>
    </row>
    <row r="25" spans="1:14" s="13" customFormat="1" x14ac:dyDescent="0.4">
      <c r="B25" s="25"/>
      <c r="D25" s="42"/>
      <c r="E25" s="26"/>
      <c r="G25" s="54"/>
      <c r="N25" s="42"/>
    </row>
    <row r="26" spans="1:14" s="13" customFormat="1" x14ac:dyDescent="0.4">
      <c r="B26" s="25"/>
      <c r="D26" s="42"/>
      <c r="E26" s="26"/>
      <c r="G26" s="54"/>
      <c r="N26" s="42"/>
    </row>
    <row r="27" spans="1:14" s="13" customFormat="1" x14ac:dyDescent="0.4">
      <c r="B27" s="25"/>
      <c r="D27" s="42"/>
      <c r="E27" s="26"/>
      <c r="G27" s="54"/>
      <c r="N27" s="42"/>
    </row>
    <row r="28" spans="1:14" s="13" customFormat="1" x14ac:dyDescent="0.4">
      <c r="B28" s="25"/>
      <c r="D28" s="42"/>
      <c r="E28" s="26"/>
      <c r="G28" s="54"/>
      <c r="N28" s="42"/>
    </row>
    <row r="29" spans="1:14" s="13" customFormat="1" x14ac:dyDescent="0.4">
      <c r="B29" s="25"/>
      <c r="D29" s="42"/>
      <c r="E29" s="26"/>
      <c r="G29" s="54"/>
      <c r="N29" s="42"/>
    </row>
    <row r="30" spans="1:14" s="13" customFormat="1" x14ac:dyDescent="0.4">
      <c r="B30" s="25"/>
      <c r="D30" s="42"/>
      <c r="E30" s="26"/>
      <c r="G30" s="54"/>
      <c r="N30" s="42"/>
    </row>
    <row r="31" spans="1:14" s="13" customFormat="1" x14ac:dyDescent="0.4">
      <c r="B31" s="25"/>
      <c r="D31" s="42"/>
      <c r="E31" s="26"/>
      <c r="G31" s="54"/>
      <c r="N31" s="42"/>
    </row>
    <row r="32" spans="1:14" s="13" customFormat="1" x14ac:dyDescent="0.4">
      <c r="B32" s="25"/>
      <c r="D32" s="42"/>
      <c r="E32" s="26"/>
      <c r="G32" s="54"/>
      <c r="N32" s="42"/>
    </row>
    <row r="33" spans="2:14" s="13" customFormat="1" x14ac:dyDescent="0.4">
      <c r="B33" s="25"/>
      <c r="D33" s="42"/>
      <c r="E33" s="26"/>
      <c r="G33" s="54"/>
      <c r="N33" s="42"/>
    </row>
    <row r="34" spans="2:14" s="13" customFormat="1" x14ac:dyDescent="0.4">
      <c r="B34" s="25"/>
      <c r="D34" s="42"/>
      <c r="E34" s="26"/>
      <c r="G34" s="54"/>
      <c r="N34" s="42"/>
    </row>
    <row r="35" spans="2:14" s="13" customFormat="1" x14ac:dyDescent="0.4">
      <c r="B35" s="25"/>
      <c r="D35" s="42"/>
      <c r="E35" s="26"/>
      <c r="G35" s="54"/>
      <c r="N35" s="42"/>
    </row>
    <row r="36" spans="2:14" s="13" customFormat="1" x14ac:dyDescent="0.4">
      <c r="B36" s="25"/>
      <c r="D36" s="42"/>
      <c r="E36" s="26"/>
      <c r="G36" s="54"/>
      <c r="N36" s="42"/>
    </row>
    <row r="37" spans="2:14" s="13" customFormat="1" x14ac:dyDescent="0.4">
      <c r="B37" s="25"/>
      <c r="D37" s="42"/>
      <c r="E37" s="26"/>
      <c r="G37" s="54"/>
      <c r="N37" s="42"/>
    </row>
    <row r="38" spans="2:14" s="13" customFormat="1" x14ac:dyDescent="0.4">
      <c r="B38" s="25"/>
      <c r="D38" s="42"/>
      <c r="E38" s="26"/>
      <c r="G38" s="54"/>
      <c r="N38" s="42"/>
    </row>
    <row r="39" spans="2:14" s="13" customFormat="1" x14ac:dyDescent="0.4">
      <c r="B39" s="25"/>
      <c r="D39" s="42"/>
      <c r="E39" s="26"/>
      <c r="G39" s="54"/>
      <c r="N39" s="42"/>
    </row>
    <row r="40" spans="2:14" s="13" customFormat="1" x14ac:dyDescent="0.4">
      <c r="B40" s="25"/>
      <c r="D40" s="42"/>
      <c r="E40" s="26"/>
      <c r="G40" s="54"/>
      <c r="N40" s="42"/>
    </row>
    <row r="41" spans="2:14" s="13" customFormat="1" x14ac:dyDescent="0.4">
      <c r="B41" s="25"/>
      <c r="D41" s="42"/>
      <c r="E41" s="26"/>
      <c r="G41" s="54"/>
      <c r="N41" s="42"/>
    </row>
    <row r="42" spans="2:14" s="13" customFormat="1" x14ac:dyDescent="0.4">
      <c r="B42" s="25"/>
      <c r="D42" s="42"/>
      <c r="E42" s="26"/>
      <c r="G42" s="54"/>
      <c r="N42" s="42"/>
    </row>
    <row r="43" spans="2:14" s="13" customFormat="1" x14ac:dyDescent="0.4">
      <c r="B43" s="25"/>
      <c r="D43" s="42"/>
      <c r="E43" s="26"/>
      <c r="G43" s="54"/>
      <c r="N43" s="42"/>
    </row>
    <row r="44" spans="2:14" s="13" customFormat="1" x14ac:dyDescent="0.4">
      <c r="B44" s="25"/>
      <c r="D44" s="42"/>
      <c r="E44" s="26"/>
      <c r="G44" s="54"/>
      <c r="N44" s="42"/>
    </row>
    <row r="45" spans="2:14" s="13" customFormat="1" x14ac:dyDescent="0.4">
      <c r="B45" s="25"/>
      <c r="D45" s="42"/>
      <c r="E45" s="26"/>
      <c r="G45" s="54"/>
      <c r="N45" s="42"/>
    </row>
    <row r="46" spans="2:14" s="13" customFormat="1" x14ac:dyDescent="0.4">
      <c r="B46" s="25"/>
      <c r="D46" s="42"/>
      <c r="E46" s="26"/>
      <c r="G46" s="54"/>
      <c r="N46" s="42"/>
    </row>
    <row r="47" spans="2:14" s="13" customFormat="1" x14ac:dyDescent="0.4">
      <c r="B47" s="25"/>
      <c r="D47" s="42"/>
      <c r="E47" s="26"/>
      <c r="G47" s="54"/>
      <c r="N47" s="42"/>
    </row>
    <row r="48" spans="2:14" s="13" customFormat="1" x14ac:dyDescent="0.4">
      <c r="B48" s="25"/>
      <c r="D48" s="42"/>
      <c r="E48" s="26"/>
      <c r="G48" s="54"/>
      <c r="N48" s="42"/>
    </row>
    <row r="49" spans="2:14" s="13" customFormat="1" x14ac:dyDescent="0.4">
      <c r="B49" s="25"/>
      <c r="D49" s="42"/>
      <c r="E49" s="26"/>
      <c r="G49" s="54"/>
      <c r="N49" s="42"/>
    </row>
    <row r="50" spans="2:14" s="13" customFormat="1" x14ac:dyDescent="0.4">
      <c r="B50" s="25"/>
      <c r="D50" s="42"/>
      <c r="E50" s="26"/>
      <c r="G50" s="54"/>
      <c r="N50" s="42"/>
    </row>
    <row r="51" spans="2:14" s="13" customFormat="1" x14ac:dyDescent="0.4">
      <c r="B51" s="25"/>
      <c r="D51" s="42"/>
      <c r="E51" s="26"/>
      <c r="G51" s="54"/>
      <c r="N51" s="42"/>
    </row>
    <row r="52" spans="2:14" s="13" customFormat="1" x14ac:dyDescent="0.4">
      <c r="B52" s="25"/>
      <c r="D52" s="42"/>
      <c r="E52" s="26"/>
      <c r="G52" s="54"/>
      <c r="N52" s="42"/>
    </row>
    <row r="53" spans="2:14" s="13" customFormat="1" x14ac:dyDescent="0.4">
      <c r="B53" s="25"/>
      <c r="D53" s="42"/>
      <c r="E53" s="26"/>
      <c r="G53" s="54"/>
      <c r="N53" s="42"/>
    </row>
    <row r="54" spans="2:14" s="13" customFormat="1" x14ac:dyDescent="0.4">
      <c r="B54" s="25"/>
      <c r="D54" s="42"/>
      <c r="E54" s="26"/>
      <c r="G54" s="54"/>
      <c r="N54" s="42"/>
    </row>
    <row r="55" spans="2:14" s="13" customFormat="1" x14ac:dyDescent="0.4">
      <c r="B55" s="25"/>
      <c r="D55" s="42"/>
      <c r="E55" s="26"/>
      <c r="G55" s="54"/>
      <c r="N55" s="42"/>
    </row>
    <row r="56" spans="2:14" s="13" customFormat="1" x14ac:dyDescent="0.4">
      <c r="B56" s="25"/>
      <c r="D56" s="42"/>
      <c r="E56" s="26"/>
      <c r="G56" s="54"/>
      <c r="N56" s="42"/>
    </row>
    <row r="57" spans="2:14" s="13" customFormat="1" x14ac:dyDescent="0.4">
      <c r="B57" s="25"/>
      <c r="D57" s="42"/>
      <c r="E57" s="26"/>
      <c r="G57" s="54"/>
      <c r="N57" s="42"/>
    </row>
    <row r="58" spans="2:14" s="13" customFormat="1" x14ac:dyDescent="0.4">
      <c r="B58" s="25"/>
      <c r="D58" s="42"/>
      <c r="E58" s="26"/>
      <c r="G58" s="54"/>
      <c r="N58" s="42"/>
    </row>
    <row r="59" spans="2:14" s="13" customFormat="1" x14ac:dyDescent="0.4">
      <c r="B59" s="25"/>
      <c r="D59" s="42"/>
      <c r="E59" s="26"/>
      <c r="G59" s="54"/>
      <c r="N59" s="42"/>
    </row>
    <row r="60" spans="2:14" s="13" customFormat="1" x14ac:dyDescent="0.4">
      <c r="B60" s="25"/>
      <c r="D60" s="42"/>
      <c r="E60" s="26"/>
      <c r="G60" s="54"/>
      <c r="N60" s="42"/>
    </row>
    <row r="61" spans="2:14" s="13" customFormat="1" x14ac:dyDescent="0.4">
      <c r="B61" s="25"/>
      <c r="D61" s="42"/>
      <c r="E61" s="26"/>
      <c r="G61" s="54"/>
      <c r="N61" s="42"/>
    </row>
    <row r="62" spans="2:14" s="13" customFormat="1" x14ac:dyDescent="0.4">
      <c r="B62" s="25"/>
      <c r="D62" s="42"/>
      <c r="E62" s="26"/>
      <c r="G62" s="54"/>
      <c r="N62" s="42"/>
    </row>
    <row r="63" spans="2:14" s="13" customFormat="1" x14ac:dyDescent="0.4">
      <c r="B63" s="25"/>
      <c r="D63" s="42"/>
      <c r="E63" s="26"/>
      <c r="G63" s="54"/>
      <c r="N63" s="42"/>
    </row>
    <row r="64" spans="2:14" s="13" customFormat="1" x14ac:dyDescent="0.4">
      <c r="B64" s="25"/>
      <c r="D64" s="42"/>
      <c r="E64" s="26"/>
      <c r="G64" s="54"/>
      <c r="N64" s="42"/>
    </row>
    <row r="65" spans="2:14" s="13" customFormat="1" x14ac:dyDescent="0.4">
      <c r="B65" s="25"/>
      <c r="D65" s="42"/>
      <c r="E65" s="26"/>
      <c r="G65" s="54"/>
      <c r="N65" s="42"/>
    </row>
    <row r="66" spans="2:14" s="13" customFormat="1" x14ac:dyDescent="0.4">
      <c r="B66" s="25"/>
      <c r="D66" s="42"/>
      <c r="E66" s="26"/>
      <c r="G66" s="54"/>
      <c r="N66" s="42"/>
    </row>
    <row r="67" spans="2:14" s="13" customFormat="1" x14ac:dyDescent="0.4">
      <c r="B67" s="25"/>
      <c r="D67" s="42"/>
      <c r="E67" s="26"/>
      <c r="G67" s="54"/>
      <c r="N67" s="42"/>
    </row>
    <row r="68" spans="2:14" s="13" customFormat="1" x14ac:dyDescent="0.4">
      <c r="B68" s="25"/>
      <c r="D68" s="42"/>
      <c r="E68" s="26"/>
      <c r="G68" s="54"/>
      <c r="N68" s="42"/>
    </row>
    <row r="69" spans="2:14" s="13" customFormat="1" x14ac:dyDescent="0.4">
      <c r="B69" s="25"/>
      <c r="D69" s="42"/>
      <c r="E69" s="26"/>
      <c r="G69" s="54"/>
      <c r="N69" s="42"/>
    </row>
    <row r="70" spans="2:14" s="13" customFormat="1" x14ac:dyDescent="0.4">
      <c r="B70" s="25"/>
      <c r="D70" s="42"/>
      <c r="E70" s="26"/>
      <c r="G70" s="54"/>
      <c r="N70" s="42"/>
    </row>
    <row r="71" spans="2:14" s="13" customFormat="1" x14ac:dyDescent="0.4">
      <c r="B71" s="25"/>
      <c r="D71" s="42"/>
      <c r="E71" s="26"/>
      <c r="G71" s="54"/>
      <c r="N71" s="42"/>
    </row>
    <row r="72" spans="2:14" s="13" customFormat="1" x14ac:dyDescent="0.4">
      <c r="B72" s="25"/>
      <c r="D72" s="42"/>
      <c r="E72" s="26"/>
      <c r="G72" s="54"/>
      <c r="N72" s="42"/>
    </row>
    <row r="73" spans="2:14" s="13" customFormat="1" x14ac:dyDescent="0.4">
      <c r="B73" s="25"/>
      <c r="D73" s="42"/>
      <c r="E73" s="26"/>
      <c r="G73" s="54"/>
      <c r="N73" s="42"/>
    </row>
    <row r="74" spans="2:14" s="13" customFormat="1" x14ac:dyDescent="0.4">
      <c r="B74" s="25"/>
      <c r="D74" s="42"/>
      <c r="E74" s="26"/>
      <c r="G74" s="54"/>
      <c r="N74" s="42"/>
    </row>
    <row r="75" spans="2:14" s="13" customFormat="1" x14ac:dyDescent="0.4">
      <c r="B75" s="25"/>
      <c r="D75" s="42"/>
      <c r="E75" s="26"/>
      <c r="G75" s="54"/>
      <c r="N75" s="42"/>
    </row>
    <row r="76" spans="2:14" s="13" customFormat="1" x14ac:dyDescent="0.4">
      <c r="B76" s="25"/>
      <c r="D76" s="42"/>
      <c r="E76" s="26"/>
      <c r="G76" s="54"/>
      <c r="N76" s="42"/>
    </row>
    <row r="77" spans="2:14" s="13" customFormat="1" x14ac:dyDescent="0.4">
      <c r="B77" s="25"/>
      <c r="D77" s="42"/>
      <c r="E77" s="26"/>
      <c r="G77" s="54"/>
      <c r="N77" s="42"/>
    </row>
    <row r="78" spans="2:14" s="13" customFormat="1" x14ac:dyDescent="0.4">
      <c r="B78" s="25"/>
      <c r="D78" s="42"/>
      <c r="E78" s="26"/>
      <c r="G78" s="54"/>
      <c r="N78" s="42"/>
    </row>
    <row r="79" spans="2:14" s="13" customFormat="1" x14ac:dyDescent="0.4">
      <c r="B79" s="25"/>
      <c r="D79" s="42"/>
      <c r="E79" s="26"/>
      <c r="G79" s="54"/>
      <c r="N79" s="42"/>
    </row>
    <row r="80" spans="2:14" s="13" customFormat="1" x14ac:dyDescent="0.4">
      <c r="B80" s="25"/>
      <c r="D80" s="42"/>
      <c r="E80" s="26"/>
      <c r="G80" s="54"/>
      <c r="N80" s="42"/>
    </row>
    <row r="81" spans="2:14" s="13" customFormat="1" x14ac:dyDescent="0.4">
      <c r="B81" s="25"/>
      <c r="D81" s="42"/>
      <c r="E81" s="26"/>
      <c r="G81" s="54"/>
      <c r="N81" s="42"/>
    </row>
    <row r="82" spans="2:14" s="13" customFormat="1" x14ac:dyDescent="0.4">
      <c r="B82" s="25"/>
      <c r="D82" s="42"/>
      <c r="E82" s="26"/>
      <c r="G82" s="54"/>
      <c r="N82" s="42"/>
    </row>
    <row r="83" spans="2:14" s="13" customFormat="1" x14ac:dyDescent="0.4">
      <c r="B83" s="25"/>
      <c r="D83" s="42"/>
      <c r="E83" s="26"/>
      <c r="G83" s="54"/>
      <c r="N83" s="42"/>
    </row>
    <row r="84" spans="2:14" s="13" customFormat="1" x14ac:dyDescent="0.4">
      <c r="B84" s="25"/>
      <c r="D84" s="42"/>
      <c r="E84" s="26"/>
      <c r="G84" s="54"/>
      <c r="N84" s="42"/>
    </row>
    <row r="85" spans="2:14" s="13" customFormat="1" x14ac:dyDescent="0.4">
      <c r="B85" s="25"/>
      <c r="D85" s="42"/>
      <c r="E85" s="26"/>
      <c r="G85" s="54"/>
      <c r="N85" s="42"/>
    </row>
    <row r="86" spans="2:14" s="13" customFormat="1" x14ac:dyDescent="0.4">
      <c r="B86" s="25"/>
      <c r="D86" s="42"/>
      <c r="E86" s="26"/>
      <c r="G86" s="54"/>
      <c r="N86" s="42"/>
    </row>
    <row r="87" spans="2:14" s="13" customFormat="1" x14ac:dyDescent="0.4">
      <c r="B87" s="25"/>
      <c r="D87" s="42"/>
      <c r="E87" s="26"/>
      <c r="G87" s="54"/>
      <c r="N87" s="42"/>
    </row>
    <row r="88" spans="2:14" s="13" customFormat="1" x14ac:dyDescent="0.4">
      <c r="B88" s="25"/>
      <c r="D88" s="42"/>
      <c r="E88" s="26"/>
      <c r="G88" s="54"/>
      <c r="N88" s="42"/>
    </row>
    <row r="89" spans="2:14" s="13" customFormat="1" x14ac:dyDescent="0.4">
      <c r="B89" s="25"/>
      <c r="D89" s="42"/>
      <c r="E89" s="26"/>
      <c r="G89" s="54"/>
      <c r="N89" s="42"/>
    </row>
    <row r="90" spans="2:14" s="13" customFormat="1" x14ac:dyDescent="0.4">
      <c r="B90" s="25"/>
      <c r="D90" s="42"/>
      <c r="E90" s="26"/>
      <c r="G90" s="54"/>
      <c r="N90" s="42"/>
    </row>
    <row r="91" spans="2:14" s="13" customFormat="1" x14ac:dyDescent="0.4">
      <c r="B91" s="25"/>
      <c r="D91" s="42"/>
      <c r="E91" s="26"/>
      <c r="G91" s="54"/>
      <c r="N91" s="42"/>
    </row>
    <row r="92" spans="2:14" s="13" customFormat="1" x14ac:dyDescent="0.4">
      <c r="B92" s="25"/>
      <c r="D92" s="42"/>
      <c r="E92" s="26"/>
      <c r="G92" s="54"/>
      <c r="N92" s="42"/>
    </row>
    <row r="93" spans="2:14" s="13" customFormat="1" x14ac:dyDescent="0.4">
      <c r="B93" s="25"/>
      <c r="D93" s="42"/>
      <c r="E93" s="26"/>
      <c r="G93" s="54"/>
      <c r="N93" s="42"/>
    </row>
    <row r="94" spans="2:14" s="13" customFormat="1" x14ac:dyDescent="0.4">
      <c r="B94" s="25"/>
      <c r="D94" s="42"/>
      <c r="E94" s="26"/>
      <c r="G94" s="54"/>
      <c r="N94" s="42"/>
    </row>
    <row r="95" spans="2:14" s="13" customFormat="1" x14ac:dyDescent="0.4">
      <c r="B95" s="25"/>
      <c r="D95" s="42"/>
      <c r="E95" s="26"/>
      <c r="G95" s="54"/>
      <c r="N95" s="42"/>
    </row>
    <row r="96" spans="2:14" s="13" customFormat="1" x14ac:dyDescent="0.4">
      <c r="B96" s="25"/>
      <c r="D96" s="42"/>
      <c r="E96" s="26"/>
      <c r="G96" s="54"/>
      <c r="N96" s="42"/>
    </row>
    <row r="97" spans="2:14" s="13" customFormat="1" x14ac:dyDescent="0.4">
      <c r="B97" s="25"/>
      <c r="D97" s="42"/>
      <c r="E97" s="26"/>
      <c r="G97" s="54"/>
      <c r="N97" s="42"/>
    </row>
    <row r="98" spans="2:14" s="13" customFormat="1" x14ac:dyDescent="0.4">
      <c r="B98" s="25"/>
      <c r="D98" s="42"/>
      <c r="E98" s="26"/>
      <c r="G98" s="54"/>
      <c r="N98" s="42"/>
    </row>
    <row r="99" spans="2:14" s="13" customFormat="1" x14ac:dyDescent="0.4">
      <c r="B99" s="25"/>
      <c r="D99" s="42"/>
      <c r="E99" s="26"/>
      <c r="G99" s="54"/>
      <c r="N99" s="42"/>
    </row>
    <row r="100" spans="2:14" s="13" customFormat="1" x14ac:dyDescent="0.4">
      <c r="B100" s="25"/>
      <c r="D100" s="42"/>
      <c r="E100" s="26"/>
      <c r="G100" s="54"/>
      <c r="N100" s="42"/>
    </row>
    <row r="101" spans="2:14" s="13" customFormat="1" x14ac:dyDescent="0.4">
      <c r="B101" s="25"/>
      <c r="D101" s="42"/>
      <c r="E101" s="26"/>
      <c r="G101" s="54"/>
      <c r="N101" s="42"/>
    </row>
    <row r="102" spans="2:14" s="13" customFormat="1" x14ac:dyDescent="0.4">
      <c r="B102" s="25"/>
      <c r="D102" s="42"/>
      <c r="E102" s="26"/>
      <c r="G102" s="54"/>
      <c r="N102" s="42"/>
    </row>
    <row r="103" spans="2:14" s="13" customFormat="1" x14ac:dyDescent="0.4">
      <c r="B103" s="25"/>
      <c r="D103" s="42"/>
      <c r="E103" s="26"/>
      <c r="G103" s="54"/>
      <c r="N103" s="42"/>
    </row>
    <row r="104" spans="2:14" s="13" customFormat="1" x14ac:dyDescent="0.4">
      <c r="B104" s="25"/>
      <c r="D104" s="42"/>
      <c r="E104" s="26"/>
      <c r="G104" s="54"/>
      <c r="N104" s="42"/>
    </row>
    <row r="105" spans="2:14" s="13" customFormat="1" x14ac:dyDescent="0.4">
      <c r="B105" s="25"/>
      <c r="D105" s="42"/>
      <c r="E105" s="26"/>
      <c r="G105" s="54"/>
      <c r="N105" s="42"/>
    </row>
    <row r="106" spans="2:14" s="13" customFormat="1" x14ac:dyDescent="0.4">
      <c r="B106" s="25"/>
      <c r="D106" s="42"/>
      <c r="E106" s="26"/>
      <c r="G106" s="54"/>
      <c r="N106" s="42"/>
    </row>
    <row r="107" spans="2:14" s="13" customFormat="1" x14ac:dyDescent="0.4">
      <c r="B107" s="25"/>
      <c r="D107" s="42"/>
      <c r="E107" s="26"/>
      <c r="G107" s="54"/>
      <c r="N107" s="42"/>
    </row>
    <row r="108" spans="2:14" s="13" customFormat="1" x14ac:dyDescent="0.4">
      <c r="B108" s="25"/>
      <c r="D108" s="42"/>
      <c r="E108" s="26"/>
      <c r="G108" s="54"/>
      <c r="N108" s="42"/>
    </row>
    <row r="109" spans="2:14" s="13" customFormat="1" x14ac:dyDescent="0.4">
      <c r="B109" s="25"/>
      <c r="D109" s="42"/>
      <c r="E109" s="26"/>
      <c r="G109" s="54"/>
      <c r="N109" s="42"/>
    </row>
    <row r="110" spans="2:14" s="13" customFormat="1" x14ac:dyDescent="0.4">
      <c r="B110" s="25"/>
      <c r="D110" s="42"/>
      <c r="E110" s="26"/>
      <c r="G110" s="54"/>
      <c r="N110" s="42"/>
    </row>
    <row r="111" spans="2:14" s="13" customFormat="1" x14ac:dyDescent="0.4">
      <c r="B111" s="25"/>
      <c r="D111" s="42"/>
      <c r="E111" s="26"/>
      <c r="G111" s="54"/>
      <c r="N111" s="42"/>
    </row>
    <row r="112" spans="2:14" s="13" customFormat="1" x14ac:dyDescent="0.4">
      <c r="B112" s="25"/>
      <c r="D112" s="42"/>
      <c r="E112" s="26"/>
      <c r="G112" s="54"/>
      <c r="N112" s="42"/>
    </row>
    <row r="113" spans="2:14" s="13" customFormat="1" x14ac:dyDescent="0.4">
      <c r="B113" s="25"/>
      <c r="D113" s="42"/>
      <c r="E113" s="26"/>
      <c r="G113" s="54"/>
      <c r="N113" s="42"/>
    </row>
    <row r="114" spans="2:14" s="13" customFormat="1" x14ac:dyDescent="0.4">
      <c r="B114" s="25"/>
      <c r="D114" s="42"/>
      <c r="E114" s="26"/>
      <c r="G114" s="54"/>
      <c r="N114" s="42"/>
    </row>
    <row r="115" spans="2:14" s="13" customFormat="1" x14ac:dyDescent="0.4">
      <c r="B115" s="25"/>
      <c r="D115" s="42"/>
      <c r="E115" s="26"/>
      <c r="G115" s="54"/>
      <c r="N115" s="42"/>
    </row>
    <row r="116" spans="2:14" s="13" customFormat="1" x14ac:dyDescent="0.4">
      <c r="B116" s="25"/>
      <c r="D116" s="42"/>
      <c r="E116" s="26"/>
      <c r="G116" s="54"/>
      <c r="N116" s="42"/>
    </row>
    <row r="117" spans="2:14" s="13" customFormat="1" x14ac:dyDescent="0.4">
      <c r="B117" s="25"/>
      <c r="D117" s="42"/>
      <c r="E117" s="26"/>
      <c r="G117" s="54"/>
      <c r="N117" s="42"/>
    </row>
    <row r="118" spans="2:14" s="13" customFormat="1" x14ac:dyDescent="0.4">
      <c r="B118" s="25"/>
      <c r="D118" s="42"/>
      <c r="E118" s="26"/>
      <c r="G118" s="54"/>
      <c r="N118" s="42"/>
    </row>
    <row r="119" spans="2:14" s="13" customFormat="1" x14ac:dyDescent="0.4">
      <c r="B119" s="25"/>
      <c r="D119" s="42"/>
      <c r="E119" s="26"/>
      <c r="G119" s="54"/>
      <c r="N119" s="42"/>
    </row>
    <row r="120" spans="2:14" s="13" customFormat="1" x14ac:dyDescent="0.4">
      <c r="B120" s="25"/>
      <c r="D120" s="42"/>
      <c r="E120" s="26"/>
      <c r="G120" s="54"/>
      <c r="N120" s="42"/>
    </row>
    <row r="121" spans="2:14" s="13" customFormat="1" x14ac:dyDescent="0.4">
      <c r="B121" s="25"/>
      <c r="D121" s="42"/>
      <c r="E121" s="26"/>
      <c r="G121" s="54"/>
      <c r="N121" s="42"/>
    </row>
    <row r="122" spans="2:14" s="13" customFormat="1" x14ac:dyDescent="0.4">
      <c r="B122" s="25"/>
      <c r="D122" s="42"/>
      <c r="E122" s="26"/>
      <c r="G122" s="54"/>
      <c r="N122" s="42"/>
    </row>
    <row r="123" spans="2:14" s="13" customFormat="1" x14ac:dyDescent="0.4">
      <c r="B123" s="25"/>
      <c r="D123" s="42"/>
      <c r="E123" s="26"/>
      <c r="G123" s="54"/>
      <c r="N123" s="42"/>
    </row>
    <row r="124" spans="2:14" s="13" customFormat="1" x14ac:dyDescent="0.4">
      <c r="B124" s="25"/>
      <c r="D124" s="42"/>
      <c r="E124" s="26"/>
      <c r="G124" s="54"/>
      <c r="N124" s="42"/>
    </row>
    <row r="125" spans="2:14" s="13" customFormat="1" x14ac:dyDescent="0.4">
      <c r="B125" s="25"/>
      <c r="D125" s="42"/>
      <c r="E125" s="26"/>
      <c r="G125" s="54"/>
      <c r="N125" s="42"/>
    </row>
    <row r="126" spans="2:14" s="13" customFormat="1" x14ac:dyDescent="0.4">
      <c r="B126" s="25"/>
      <c r="D126" s="42"/>
      <c r="E126" s="26"/>
      <c r="G126" s="54"/>
      <c r="N126" s="42"/>
    </row>
    <row r="127" spans="2:14" s="13" customFormat="1" x14ac:dyDescent="0.4">
      <c r="B127" s="25"/>
      <c r="D127" s="42"/>
      <c r="E127" s="26"/>
      <c r="G127" s="54"/>
      <c r="N127" s="42"/>
    </row>
    <row r="128" spans="2:14" s="13" customFormat="1" x14ac:dyDescent="0.4">
      <c r="B128" s="25"/>
      <c r="D128" s="42"/>
      <c r="E128" s="26"/>
      <c r="G128" s="54"/>
      <c r="N128" s="42"/>
    </row>
    <row r="129" spans="2:14" s="13" customFormat="1" x14ac:dyDescent="0.4">
      <c r="B129" s="25"/>
      <c r="D129" s="42"/>
      <c r="E129" s="26"/>
      <c r="G129" s="54"/>
      <c r="N129" s="42"/>
    </row>
    <row r="130" spans="2:14" s="13" customFormat="1" x14ac:dyDescent="0.4">
      <c r="B130" s="25"/>
      <c r="D130" s="42"/>
      <c r="E130" s="26"/>
      <c r="G130" s="54"/>
      <c r="N130" s="42"/>
    </row>
    <row r="131" spans="2:14" s="13" customFormat="1" x14ac:dyDescent="0.4">
      <c r="B131" s="25"/>
      <c r="D131" s="42"/>
      <c r="E131" s="26"/>
      <c r="G131" s="54"/>
      <c r="N131" s="42"/>
    </row>
    <row r="132" spans="2:14" s="13" customFormat="1" x14ac:dyDescent="0.4">
      <c r="B132" s="25"/>
      <c r="D132" s="42"/>
      <c r="E132" s="26"/>
      <c r="G132" s="54"/>
      <c r="N132" s="42"/>
    </row>
    <row r="133" spans="2:14" s="13" customFormat="1" x14ac:dyDescent="0.4">
      <c r="B133" s="25"/>
      <c r="D133" s="42"/>
      <c r="E133" s="26"/>
      <c r="G133" s="54"/>
      <c r="N133" s="42"/>
    </row>
    <row r="134" spans="2:14" s="13" customFormat="1" x14ac:dyDescent="0.4">
      <c r="B134" s="25"/>
      <c r="D134" s="42"/>
      <c r="E134" s="26"/>
      <c r="G134" s="54"/>
      <c r="N134" s="42"/>
    </row>
    <row r="135" spans="2:14" s="13" customFormat="1" x14ac:dyDescent="0.4">
      <c r="B135" s="25"/>
      <c r="D135" s="42"/>
      <c r="E135" s="26"/>
      <c r="G135" s="54"/>
      <c r="N135" s="42"/>
    </row>
    <row r="136" spans="2:14" s="13" customFormat="1" x14ac:dyDescent="0.4">
      <c r="B136" s="25"/>
      <c r="D136" s="42"/>
      <c r="E136" s="26"/>
      <c r="G136" s="54"/>
      <c r="N136" s="42"/>
    </row>
    <row r="137" spans="2:14" s="13" customFormat="1" x14ac:dyDescent="0.4">
      <c r="B137" s="25"/>
      <c r="D137" s="42"/>
      <c r="E137" s="26"/>
      <c r="G137" s="54"/>
      <c r="N137" s="42"/>
    </row>
    <row r="138" spans="2:14" s="13" customFormat="1" x14ac:dyDescent="0.4">
      <c r="B138" s="25"/>
      <c r="D138" s="42"/>
      <c r="E138" s="26"/>
      <c r="G138" s="54"/>
      <c r="N138" s="42"/>
    </row>
    <row r="139" spans="2:14" s="13" customFormat="1" x14ac:dyDescent="0.4">
      <c r="B139" s="25"/>
      <c r="D139" s="42"/>
      <c r="E139" s="26"/>
      <c r="G139" s="54"/>
      <c r="N139" s="42"/>
    </row>
    <row r="140" spans="2:14" s="13" customFormat="1" x14ac:dyDescent="0.4">
      <c r="B140" s="25"/>
      <c r="D140" s="42"/>
      <c r="E140" s="26"/>
      <c r="G140" s="54"/>
      <c r="N140" s="42"/>
    </row>
    <row r="141" spans="2:14" s="13" customFormat="1" x14ac:dyDescent="0.4">
      <c r="B141" s="25"/>
      <c r="D141" s="42"/>
      <c r="E141" s="26"/>
      <c r="G141" s="54"/>
      <c r="N141" s="42"/>
    </row>
    <row r="142" spans="2:14" s="13" customFormat="1" x14ac:dyDescent="0.4">
      <c r="B142" s="25"/>
      <c r="D142" s="42"/>
      <c r="E142" s="26"/>
      <c r="G142" s="54"/>
      <c r="N142" s="42"/>
    </row>
    <row r="143" spans="2:14" s="13" customFormat="1" x14ac:dyDescent="0.4">
      <c r="B143" s="25"/>
      <c r="D143" s="42"/>
      <c r="E143" s="26"/>
      <c r="G143" s="54"/>
      <c r="N143" s="42"/>
    </row>
    <row r="144" spans="2:14" s="13" customFormat="1" x14ac:dyDescent="0.4">
      <c r="B144" s="25"/>
      <c r="D144" s="42"/>
      <c r="E144" s="26"/>
      <c r="G144" s="54"/>
      <c r="N144" s="42"/>
    </row>
    <row r="145" spans="2:14" s="13" customFormat="1" x14ac:dyDescent="0.4">
      <c r="B145" s="25"/>
      <c r="D145" s="42"/>
      <c r="E145" s="26"/>
      <c r="G145" s="54"/>
      <c r="N145" s="42"/>
    </row>
    <row r="146" spans="2:14" s="13" customFormat="1" x14ac:dyDescent="0.4">
      <c r="B146" s="25"/>
      <c r="D146" s="42"/>
      <c r="E146" s="26"/>
      <c r="G146" s="54"/>
      <c r="N146" s="42"/>
    </row>
    <row r="147" spans="2:14" s="13" customFormat="1" x14ac:dyDescent="0.4">
      <c r="B147" s="25"/>
      <c r="D147" s="42"/>
      <c r="E147" s="26"/>
      <c r="G147" s="54"/>
      <c r="N147" s="42"/>
    </row>
    <row r="148" spans="2:14" s="13" customFormat="1" x14ac:dyDescent="0.4">
      <c r="B148" s="25"/>
      <c r="D148" s="42"/>
      <c r="E148" s="26"/>
      <c r="G148" s="54"/>
      <c r="N148" s="42"/>
    </row>
    <row r="149" spans="2:14" s="13" customFormat="1" x14ac:dyDescent="0.4">
      <c r="B149" s="25"/>
      <c r="D149" s="42"/>
      <c r="E149" s="26"/>
      <c r="G149" s="54"/>
      <c r="N149" s="42"/>
    </row>
    <row r="150" spans="2:14" s="13" customFormat="1" x14ac:dyDescent="0.4">
      <c r="B150" s="25"/>
      <c r="D150" s="42"/>
      <c r="E150" s="26"/>
      <c r="G150" s="54"/>
      <c r="N150" s="42"/>
    </row>
    <row r="151" spans="2:14" s="13" customFormat="1" x14ac:dyDescent="0.4">
      <c r="B151" s="25"/>
      <c r="D151" s="42"/>
      <c r="E151" s="26"/>
      <c r="G151" s="54"/>
      <c r="N151" s="42"/>
    </row>
    <row r="152" spans="2:14" s="13" customFormat="1" x14ac:dyDescent="0.4">
      <c r="B152" s="25"/>
      <c r="D152" s="42"/>
      <c r="E152" s="26"/>
      <c r="G152" s="54"/>
      <c r="N152" s="42"/>
    </row>
    <row r="153" spans="2:14" s="13" customFormat="1" x14ac:dyDescent="0.4">
      <c r="B153" s="25"/>
      <c r="D153" s="42"/>
      <c r="E153" s="26"/>
      <c r="G153" s="54"/>
      <c r="N153" s="42"/>
    </row>
    <row r="154" spans="2:14" s="13" customFormat="1" x14ac:dyDescent="0.4">
      <c r="B154" s="25"/>
      <c r="D154" s="42"/>
      <c r="E154" s="26"/>
      <c r="G154" s="54"/>
      <c r="N154" s="42"/>
    </row>
    <row r="155" spans="2:14" s="13" customFormat="1" x14ac:dyDescent="0.4">
      <c r="B155" s="25"/>
      <c r="D155" s="42"/>
      <c r="E155" s="26"/>
      <c r="G155" s="54"/>
      <c r="N155" s="42"/>
    </row>
    <row r="156" spans="2:14" s="13" customFormat="1" x14ac:dyDescent="0.4">
      <c r="B156" s="25"/>
      <c r="D156" s="42"/>
      <c r="E156" s="26"/>
      <c r="G156" s="54"/>
      <c r="N156" s="42"/>
    </row>
    <row r="157" spans="2:14" s="13" customFormat="1" x14ac:dyDescent="0.4">
      <c r="B157" s="25"/>
      <c r="D157" s="42"/>
      <c r="E157" s="26"/>
      <c r="G157" s="54"/>
      <c r="N157" s="42"/>
    </row>
    <row r="158" spans="2:14" s="13" customFormat="1" x14ac:dyDescent="0.4">
      <c r="B158" s="25"/>
      <c r="D158" s="42"/>
      <c r="E158" s="26"/>
      <c r="G158" s="54"/>
      <c r="N158" s="42"/>
    </row>
    <row r="159" spans="2:14" s="13" customFormat="1" x14ac:dyDescent="0.4">
      <c r="B159" s="25"/>
      <c r="D159" s="42"/>
      <c r="E159" s="26"/>
      <c r="G159" s="54"/>
      <c r="N159" s="42"/>
    </row>
    <row r="160" spans="2:14" s="13" customFormat="1" x14ac:dyDescent="0.4">
      <c r="B160" s="25"/>
      <c r="D160" s="42"/>
      <c r="E160" s="26"/>
      <c r="G160" s="54"/>
      <c r="N160" s="42"/>
    </row>
    <row r="161" spans="2:14" s="13" customFormat="1" x14ac:dyDescent="0.4">
      <c r="B161" s="25"/>
      <c r="D161" s="42"/>
      <c r="E161" s="26"/>
      <c r="G161" s="54"/>
      <c r="N161" s="42"/>
    </row>
    <row r="162" spans="2:14" s="13" customFormat="1" x14ac:dyDescent="0.4">
      <c r="B162" s="25"/>
      <c r="D162" s="42"/>
      <c r="E162" s="26"/>
      <c r="G162" s="54"/>
      <c r="N162" s="42"/>
    </row>
    <row r="163" spans="2:14" s="13" customFormat="1" x14ac:dyDescent="0.4">
      <c r="B163" s="25"/>
      <c r="D163" s="42"/>
      <c r="E163" s="26"/>
      <c r="G163" s="54"/>
      <c r="N163" s="42"/>
    </row>
    <row r="164" spans="2:14" s="13" customFormat="1" x14ac:dyDescent="0.4">
      <c r="B164" s="25"/>
      <c r="D164" s="42"/>
      <c r="E164" s="26"/>
      <c r="G164" s="54"/>
      <c r="N164" s="42"/>
    </row>
    <row r="165" spans="2:14" s="13" customFormat="1" x14ac:dyDescent="0.4">
      <c r="B165" s="25"/>
      <c r="D165" s="42"/>
      <c r="E165" s="26"/>
      <c r="G165" s="54"/>
      <c r="N165" s="42"/>
    </row>
    <row r="166" spans="2:14" s="13" customFormat="1" x14ac:dyDescent="0.4">
      <c r="B166" s="25"/>
      <c r="D166" s="42"/>
      <c r="E166" s="26"/>
      <c r="G166" s="54"/>
      <c r="N166" s="42"/>
    </row>
    <row r="167" spans="2:14" s="13" customFormat="1" x14ac:dyDescent="0.4">
      <c r="B167" s="25"/>
      <c r="D167" s="42"/>
      <c r="E167" s="26"/>
      <c r="G167" s="54"/>
      <c r="N167" s="42"/>
    </row>
    <row r="168" spans="2:14" s="13" customFormat="1" x14ac:dyDescent="0.4">
      <c r="B168" s="25"/>
      <c r="D168" s="42"/>
      <c r="E168" s="26"/>
      <c r="G168" s="54"/>
      <c r="N168" s="42"/>
    </row>
    <row r="169" spans="2:14" s="13" customFormat="1" x14ac:dyDescent="0.4">
      <c r="B169" s="25"/>
      <c r="D169" s="42"/>
      <c r="E169" s="26"/>
      <c r="G169" s="54"/>
      <c r="N169" s="42"/>
    </row>
    <row r="170" spans="2:14" s="13" customFormat="1" x14ac:dyDescent="0.4">
      <c r="B170" s="25"/>
      <c r="D170" s="42"/>
      <c r="E170" s="26"/>
      <c r="G170" s="54"/>
      <c r="N170" s="42"/>
    </row>
    <row r="171" spans="2:14" s="13" customFormat="1" x14ac:dyDescent="0.4">
      <c r="B171" s="25"/>
      <c r="D171" s="42"/>
      <c r="E171" s="26"/>
      <c r="G171" s="54"/>
      <c r="N171" s="42"/>
    </row>
    <row r="172" spans="2:14" s="13" customFormat="1" x14ac:dyDescent="0.4">
      <c r="B172" s="25"/>
      <c r="D172" s="42"/>
      <c r="E172" s="26"/>
      <c r="G172" s="54"/>
      <c r="N172" s="42"/>
    </row>
    <row r="173" spans="2:14" s="13" customFormat="1" x14ac:dyDescent="0.4">
      <c r="B173" s="25"/>
      <c r="D173" s="42"/>
      <c r="E173" s="26"/>
      <c r="G173" s="54"/>
      <c r="N173" s="42"/>
    </row>
    <row r="174" spans="2:14" s="13" customFormat="1" x14ac:dyDescent="0.4">
      <c r="B174" s="25"/>
      <c r="D174" s="42"/>
      <c r="E174" s="26"/>
      <c r="G174" s="54"/>
      <c r="N174" s="42"/>
    </row>
    <row r="175" spans="2:14" s="13" customFormat="1" x14ac:dyDescent="0.4">
      <c r="B175" s="25"/>
      <c r="D175" s="42"/>
      <c r="E175" s="26"/>
      <c r="G175" s="54"/>
      <c r="N175" s="42"/>
    </row>
    <row r="176" spans="2:14" s="13" customFormat="1" x14ac:dyDescent="0.4">
      <c r="B176" s="25"/>
      <c r="D176" s="42"/>
      <c r="E176" s="26"/>
      <c r="G176" s="54"/>
      <c r="N176" s="42"/>
    </row>
    <row r="177" spans="2:14" s="13" customFormat="1" x14ac:dyDescent="0.4">
      <c r="B177" s="25"/>
      <c r="D177" s="42"/>
      <c r="E177" s="26"/>
      <c r="G177" s="54"/>
      <c r="N177" s="42"/>
    </row>
    <row r="178" spans="2:14" s="13" customFormat="1" x14ac:dyDescent="0.4">
      <c r="B178" s="25"/>
      <c r="D178" s="42"/>
      <c r="E178" s="26"/>
      <c r="G178" s="54"/>
      <c r="N178" s="42"/>
    </row>
    <row r="179" spans="2:14" s="13" customFormat="1" x14ac:dyDescent="0.4">
      <c r="B179" s="25"/>
      <c r="D179" s="42"/>
      <c r="E179" s="26"/>
      <c r="G179" s="54"/>
      <c r="N179" s="42"/>
    </row>
    <row r="180" spans="2:14" s="13" customFormat="1" x14ac:dyDescent="0.4">
      <c r="B180" s="25"/>
      <c r="D180" s="42"/>
      <c r="E180" s="26"/>
      <c r="G180" s="54"/>
      <c r="N180" s="42"/>
    </row>
    <row r="181" spans="2:14" s="13" customFormat="1" x14ac:dyDescent="0.4">
      <c r="B181" s="25"/>
      <c r="D181" s="42"/>
      <c r="E181" s="26"/>
      <c r="G181" s="54"/>
      <c r="N181" s="42"/>
    </row>
    <row r="182" spans="2:14" s="13" customFormat="1" x14ac:dyDescent="0.4">
      <c r="B182" s="25"/>
      <c r="D182" s="42"/>
      <c r="E182" s="26"/>
      <c r="G182" s="54"/>
      <c r="N182" s="42"/>
    </row>
    <row r="183" spans="2:14" s="13" customFormat="1" x14ac:dyDescent="0.4">
      <c r="B183" s="25"/>
      <c r="D183" s="42"/>
      <c r="E183" s="26"/>
      <c r="G183" s="54"/>
      <c r="N183" s="42"/>
    </row>
    <row r="184" spans="2:14" s="13" customFormat="1" x14ac:dyDescent="0.4">
      <c r="B184" s="25"/>
      <c r="D184" s="42"/>
      <c r="E184" s="26"/>
      <c r="G184" s="54"/>
      <c r="N184" s="42"/>
    </row>
    <row r="185" spans="2:14" s="13" customFormat="1" x14ac:dyDescent="0.4">
      <c r="B185" s="25"/>
      <c r="D185" s="42"/>
      <c r="E185" s="26"/>
      <c r="G185" s="54"/>
      <c r="N185" s="42"/>
    </row>
    <row r="186" spans="2:14" s="13" customFormat="1" x14ac:dyDescent="0.4">
      <c r="B186" s="25"/>
      <c r="D186" s="42"/>
      <c r="E186" s="26"/>
      <c r="G186" s="54"/>
      <c r="N186" s="42"/>
    </row>
    <row r="187" spans="2:14" s="13" customFormat="1" x14ac:dyDescent="0.4">
      <c r="B187" s="25"/>
      <c r="D187" s="42"/>
      <c r="E187" s="26"/>
      <c r="G187" s="54"/>
      <c r="N187" s="42"/>
    </row>
    <row r="188" spans="2:14" s="13" customFormat="1" x14ac:dyDescent="0.4">
      <c r="B188" s="25"/>
      <c r="D188" s="42"/>
      <c r="E188" s="26"/>
      <c r="G188" s="54"/>
      <c r="N188" s="42"/>
    </row>
    <row r="189" spans="2:14" s="13" customFormat="1" x14ac:dyDescent="0.4">
      <c r="B189" s="25"/>
      <c r="D189" s="42"/>
      <c r="E189" s="26"/>
      <c r="G189" s="54"/>
      <c r="N189" s="42"/>
    </row>
    <row r="190" spans="2:14" s="13" customFormat="1" x14ac:dyDescent="0.4">
      <c r="B190" s="25"/>
      <c r="D190" s="42"/>
      <c r="E190" s="26"/>
      <c r="G190" s="54"/>
      <c r="N190" s="42"/>
    </row>
    <row r="191" spans="2:14" s="13" customFormat="1" x14ac:dyDescent="0.4">
      <c r="B191" s="25"/>
      <c r="D191" s="42"/>
      <c r="E191" s="26"/>
      <c r="G191" s="54"/>
      <c r="N191" s="42"/>
    </row>
    <row r="192" spans="2:14" s="13" customFormat="1" x14ac:dyDescent="0.4">
      <c r="B192" s="25"/>
      <c r="D192" s="42"/>
      <c r="E192" s="26"/>
      <c r="G192" s="54"/>
      <c r="N192" s="42"/>
    </row>
    <row r="193" spans="2:14" s="13" customFormat="1" x14ac:dyDescent="0.4">
      <c r="B193" s="25"/>
      <c r="D193" s="42"/>
      <c r="E193" s="26"/>
      <c r="G193" s="54"/>
      <c r="N193" s="42"/>
    </row>
    <row r="194" spans="2:14" s="13" customFormat="1" x14ac:dyDescent="0.4">
      <c r="B194" s="25"/>
      <c r="D194" s="42"/>
      <c r="E194" s="26"/>
      <c r="G194" s="54"/>
      <c r="N194" s="42"/>
    </row>
    <row r="195" spans="2:14" s="13" customFormat="1" x14ac:dyDescent="0.4">
      <c r="B195" s="25"/>
      <c r="D195" s="42"/>
      <c r="E195" s="26"/>
      <c r="G195" s="54"/>
      <c r="N195" s="42"/>
    </row>
    <row r="196" spans="2:14" s="13" customFormat="1" x14ac:dyDescent="0.4">
      <c r="B196" s="25"/>
      <c r="D196" s="42"/>
      <c r="E196" s="26"/>
      <c r="G196" s="54"/>
      <c r="N196" s="42"/>
    </row>
    <row r="197" spans="2:14" s="13" customFormat="1" x14ac:dyDescent="0.4">
      <c r="B197" s="25"/>
      <c r="D197" s="42"/>
      <c r="E197" s="26"/>
      <c r="G197" s="54"/>
      <c r="N197" s="42"/>
    </row>
    <row r="198" spans="2:14" s="13" customFormat="1" x14ac:dyDescent="0.4">
      <c r="B198" s="25"/>
      <c r="D198" s="42"/>
      <c r="E198" s="26"/>
      <c r="G198" s="54"/>
      <c r="N198" s="42"/>
    </row>
    <row r="199" spans="2:14" s="13" customFormat="1" x14ac:dyDescent="0.4">
      <c r="B199" s="25"/>
      <c r="D199" s="42"/>
      <c r="E199" s="26"/>
      <c r="G199" s="54"/>
      <c r="N199" s="42"/>
    </row>
    <row r="200" spans="2:14" s="13" customFormat="1" x14ac:dyDescent="0.4">
      <c r="B200" s="25"/>
      <c r="D200" s="42"/>
      <c r="E200" s="26"/>
      <c r="G200" s="54"/>
      <c r="N200" s="42"/>
    </row>
    <row r="201" spans="2:14" s="13" customFormat="1" x14ac:dyDescent="0.4">
      <c r="B201" s="25"/>
      <c r="D201" s="42"/>
      <c r="E201" s="26"/>
      <c r="G201" s="54"/>
      <c r="N201" s="42"/>
    </row>
    <row r="202" spans="2:14" s="13" customFormat="1" x14ac:dyDescent="0.4">
      <c r="B202" s="25"/>
      <c r="D202" s="42"/>
      <c r="E202" s="26"/>
      <c r="G202" s="54"/>
      <c r="N202" s="42"/>
    </row>
    <row r="203" spans="2:14" s="13" customFormat="1" x14ac:dyDescent="0.4">
      <c r="B203" s="25"/>
      <c r="D203" s="42"/>
      <c r="E203" s="26"/>
      <c r="G203" s="54"/>
      <c r="N203" s="42"/>
    </row>
    <row r="204" spans="2:14" s="13" customFormat="1" x14ac:dyDescent="0.4">
      <c r="B204" s="25"/>
      <c r="D204" s="42"/>
      <c r="E204" s="26"/>
      <c r="G204" s="54"/>
      <c r="N204" s="42"/>
    </row>
    <row r="205" spans="2:14" s="13" customFormat="1" x14ac:dyDescent="0.4">
      <c r="B205" s="25"/>
      <c r="D205" s="42"/>
      <c r="E205" s="26"/>
      <c r="G205" s="54"/>
      <c r="N205" s="42"/>
    </row>
    <row r="206" spans="2:14" s="13" customFormat="1" x14ac:dyDescent="0.4">
      <c r="B206" s="25"/>
      <c r="D206" s="42"/>
      <c r="E206" s="26"/>
      <c r="G206" s="54"/>
      <c r="N206" s="42"/>
    </row>
    <row r="207" spans="2:14" s="13" customFormat="1" x14ac:dyDescent="0.4">
      <c r="B207" s="25"/>
      <c r="D207" s="42"/>
      <c r="E207" s="26"/>
      <c r="G207" s="54"/>
      <c r="N207" s="42"/>
    </row>
    <row r="208" spans="2:14" s="13" customFormat="1" x14ac:dyDescent="0.4">
      <c r="B208" s="25"/>
      <c r="D208" s="42"/>
      <c r="E208" s="26"/>
      <c r="G208" s="54"/>
      <c r="N208" s="42"/>
    </row>
    <row r="209" spans="2:14" s="13" customFormat="1" x14ac:dyDescent="0.4">
      <c r="B209" s="25"/>
      <c r="D209" s="42"/>
      <c r="E209" s="26"/>
      <c r="G209" s="54"/>
      <c r="N209" s="42"/>
    </row>
    <row r="210" spans="2:14" s="13" customFormat="1" x14ac:dyDescent="0.4">
      <c r="B210" s="25"/>
      <c r="D210" s="42"/>
      <c r="E210" s="26"/>
      <c r="G210" s="54"/>
      <c r="N210" s="42"/>
    </row>
    <row r="211" spans="2:14" s="13" customFormat="1" x14ac:dyDescent="0.4">
      <c r="B211" s="25"/>
      <c r="D211" s="42"/>
      <c r="E211" s="26"/>
      <c r="G211" s="54"/>
      <c r="N211" s="42"/>
    </row>
    <row r="212" spans="2:14" s="13" customFormat="1" x14ac:dyDescent="0.4">
      <c r="B212" s="25"/>
      <c r="D212" s="42"/>
      <c r="E212" s="26"/>
      <c r="G212" s="54"/>
      <c r="N212" s="42"/>
    </row>
    <row r="213" spans="2:14" s="13" customFormat="1" x14ac:dyDescent="0.4">
      <c r="B213" s="25"/>
      <c r="D213" s="42"/>
      <c r="E213" s="26"/>
      <c r="G213" s="54"/>
      <c r="N213" s="42"/>
    </row>
    <row r="214" spans="2:14" s="13" customFormat="1" x14ac:dyDescent="0.4">
      <c r="B214" s="25"/>
      <c r="D214" s="42"/>
      <c r="E214" s="26"/>
      <c r="G214" s="54"/>
      <c r="N214" s="42"/>
    </row>
    <row r="215" spans="2:14" s="13" customFormat="1" x14ac:dyDescent="0.4">
      <c r="B215" s="25"/>
      <c r="D215" s="42"/>
      <c r="E215" s="26"/>
      <c r="G215" s="54"/>
      <c r="N215" s="42"/>
    </row>
    <row r="216" spans="2:14" s="13" customFormat="1" x14ac:dyDescent="0.4">
      <c r="B216" s="25"/>
      <c r="D216" s="42"/>
      <c r="E216" s="26"/>
      <c r="G216" s="54"/>
      <c r="N216" s="42"/>
    </row>
    <row r="217" spans="2:14" s="13" customFormat="1" x14ac:dyDescent="0.4">
      <c r="B217" s="25"/>
      <c r="D217" s="42"/>
      <c r="E217" s="26"/>
      <c r="G217" s="54"/>
      <c r="N217" s="42"/>
    </row>
    <row r="218" spans="2:14" s="13" customFormat="1" x14ac:dyDescent="0.4">
      <c r="B218" s="25"/>
      <c r="D218" s="42"/>
      <c r="E218" s="26"/>
      <c r="G218" s="54"/>
      <c r="N218" s="42"/>
    </row>
    <row r="219" spans="2:14" s="13" customFormat="1" x14ac:dyDescent="0.4">
      <c r="B219" s="25"/>
      <c r="D219" s="42"/>
      <c r="E219" s="26"/>
      <c r="G219" s="54"/>
      <c r="N219" s="42"/>
    </row>
    <row r="220" spans="2:14" s="13" customFormat="1" x14ac:dyDescent="0.4">
      <c r="B220" s="25"/>
      <c r="D220" s="42"/>
      <c r="E220" s="26"/>
      <c r="G220" s="54"/>
      <c r="N220" s="42"/>
    </row>
    <row r="221" spans="2:14" s="13" customFormat="1" x14ac:dyDescent="0.4">
      <c r="B221" s="25"/>
      <c r="D221" s="42"/>
      <c r="E221" s="26"/>
      <c r="G221" s="54"/>
      <c r="N221" s="42"/>
    </row>
    <row r="222" spans="2:14" s="13" customFormat="1" x14ac:dyDescent="0.4">
      <c r="B222" s="25"/>
      <c r="D222" s="42"/>
      <c r="E222" s="26"/>
      <c r="G222" s="54"/>
      <c r="N222" s="42"/>
    </row>
    <row r="223" spans="2:14" s="13" customFormat="1" x14ac:dyDescent="0.4">
      <c r="B223" s="25"/>
      <c r="D223" s="42"/>
      <c r="E223" s="26"/>
      <c r="G223" s="54"/>
      <c r="N223" s="42"/>
    </row>
    <row r="224" spans="2:14" s="13" customFormat="1" x14ac:dyDescent="0.4">
      <c r="B224" s="25"/>
      <c r="D224" s="42"/>
      <c r="E224" s="26"/>
      <c r="G224" s="54"/>
      <c r="N224" s="42"/>
    </row>
    <row r="225" spans="2:14" s="13" customFormat="1" x14ac:dyDescent="0.4">
      <c r="B225" s="25"/>
      <c r="D225" s="42"/>
      <c r="E225" s="26"/>
      <c r="G225" s="54"/>
      <c r="N225" s="42"/>
    </row>
    <row r="226" spans="2:14" s="13" customFormat="1" x14ac:dyDescent="0.4">
      <c r="B226" s="25"/>
      <c r="D226" s="42"/>
      <c r="E226" s="26"/>
      <c r="G226" s="54"/>
      <c r="N226" s="42"/>
    </row>
    <row r="227" spans="2:14" s="13" customFormat="1" x14ac:dyDescent="0.4">
      <c r="B227" s="25"/>
      <c r="D227" s="42"/>
      <c r="E227" s="26"/>
      <c r="G227" s="54"/>
      <c r="N227" s="42"/>
    </row>
    <row r="228" spans="2:14" s="13" customFormat="1" x14ac:dyDescent="0.4">
      <c r="B228" s="25"/>
      <c r="D228" s="42"/>
      <c r="E228" s="26"/>
      <c r="G228" s="54"/>
      <c r="N228" s="42"/>
    </row>
    <row r="229" spans="2:14" s="13" customFormat="1" x14ac:dyDescent="0.4">
      <c r="B229" s="25"/>
      <c r="D229" s="42"/>
      <c r="E229" s="26"/>
      <c r="G229" s="54"/>
      <c r="N229" s="42"/>
    </row>
    <row r="230" spans="2:14" s="13" customFormat="1" x14ac:dyDescent="0.4">
      <c r="B230" s="25"/>
      <c r="D230" s="42"/>
      <c r="E230" s="26"/>
      <c r="G230" s="54"/>
      <c r="N230" s="42"/>
    </row>
    <row r="231" spans="2:14" s="13" customFormat="1" x14ac:dyDescent="0.4">
      <c r="B231" s="25"/>
      <c r="D231" s="42"/>
      <c r="E231" s="26"/>
      <c r="G231" s="54"/>
      <c r="N231" s="42"/>
    </row>
    <row r="232" spans="2:14" s="13" customFormat="1" x14ac:dyDescent="0.4">
      <c r="B232" s="25"/>
      <c r="D232" s="42"/>
      <c r="E232" s="26"/>
      <c r="G232" s="54"/>
      <c r="N232" s="42"/>
    </row>
    <row r="233" spans="2:14" s="13" customFormat="1" x14ac:dyDescent="0.4">
      <c r="B233" s="25"/>
      <c r="D233" s="42"/>
      <c r="E233" s="26"/>
      <c r="G233" s="54"/>
      <c r="N233" s="42"/>
    </row>
    <row r="234" spans="2:14" s="13" customFormat="1" x14ac:dyDescent="0.4">
      <c r="B234" s="25"/>
      <c r="D234" s="42"/>
      <c r="E234" s="26"/>
      <c r="G234" s="54"/>
      <c r="N234" s="42"/>
    </row>
    <row r="235" spans="2:14" s="13" customFormat="1" x14ac:dyDescent="0.4">
      <c r="B235" s="25"/>
      <c r="D235" s="42"/>
      <c r="E235" s="26"/>
      <c r="G235" s="54"/>
      <c r="N235" s="42"/>
    </row>
    <row r="236" spans="2:14" s="13" customFormat="1" x14ac:dyDescent="0.4">
      <c r="B236" s="25"/>
      <c r="D236" s="42"/>
      <c r="E236" s="26"/>
      <c r="G236" s="54"/>
      <c r="N236" s="42"/>
    </row>
    <row r="237" spans="2:14" s="13" customFormat="1" x14ac:dyDescent="0.4">
      <c r="B237" s="25"/>
      <c r="D237" s="42"/>
      <c r="E237" s="26"/>
      <c r="G237" s="54"/>
      <c r="N237" s="42"/>
    </row>
    <row r="238" spans="2:14" s="13" customFormat="1" x14ac:dyDescent="0.4">
      <c r="B238" s="25"/>
      <c r="D238" s="42"/>
      <c r="E238" s="26"/>
      <c r="G238" s="54"/>
      <c r="N238" s="42"/>
    </row>
    <row r="239" spans="2:14" s="13" customFormat="1" x14ac:dyDescent="0.4">
      <c r="B239" s="25"/>
      <c r="D239" s="42"/>
      <c r="E239" s="26"/>
      <c r="G239" s="54"/>
      <c r="N239" s="42"/>
    </row>
    <row r="240" spans="2:14" s="13" customFormat="1" x14ac:dyDescent="0.4">
      <c r="B240" s="25"/>
      <c r="D240" s="42"/>
      <c r="E240" s="26"/>
      <c r="G240" s="54"/>
      <c r="N240" s="42"/>
    </row>
    <row r="241" spans="2:14" s="13" customFormat="1" x14ac:dyDescent="0.4">
      <c r="B241" s="25"/>
      <c r="D241" s="42"/>
      <c r="E241" s="26"/>
      <c r="G241" s="54"/>
      <c r="N241" s="42"/>
    </row>
    <row r="242" spans="2:14" s="13" customFormat="1" x14ac:dyDescent="0.4">
      <c r="B242" s="25"/>
      <c r="D242" s="42"/>
      <c r="E242" s="26"/>
      <c r="G242" s="54"/>
      <c r="N242" s="42"/>
    </row>
    <row r="243" spans="2:14" s="13" customFormat="1" x14ac:dyDescent="0.4">
      <c r="B243" s="25"/>
      <c r="D243" s="42"/>
      <c r="E243" s="26"/>
      <c r="G243" s="54"/>
      <c r="N243" s="42"/>
    </row>
    <row r="244" spans="2:14" s="13" customFormat="1" x14ac:dyDescent="0.4">
      <c r="B244" s="25"/>
      <c r="D244" s="42"/>
      <c r="E244" s="26"/>
      <c r="G244" s="54"/>
      <c r="N244" s="42"/>
    </row>
    <row r="245" spans="2:14" s="13" customFormat="1" x14ac:dyDescent="0.4">
      <c r="B245" s="25"/>
      <c r="D245" s="42"/>
      <c r="E245" s="26"/>
      <c r="G245" s="54"/>
      <c r="N245" s="42"/>
    </row>
    <row r="246" spans="2:14" s="13" customFormat="1" x14ac:dyDescent="0.4">
      <c r="B246" s="25"/>
      <c r="D246" s="42"/>
      <c r="E246" s="26"/>
      <c r="G246" s="54"/>
      <c r="N246" s="42"/>
    </row>
    <row r="247" spans="2:14" s="13" customFormat="1" x14ac:dyDescent="0.4">
      <c r="B247" s="25"/>
      <c r="D247" s="42"/>
      <c r="E247" s="26"/>
      <c r="G247" s="54"/>
      <c r="N247" s="42"/>
    </row>
    <row r="248" spans="2:14" s="13" customFormat="1" x14ac:dyDescent="0.4">
      <c r="B248" s="25"/>
      <c r="D248" s="42"/>
      <c r="E248" s="26"/>
      <c r="G248" s="54"/>
      <c r="N248" s="42"/>
    </row>
    <row r="249" spans="2:14" s="13" customFormat="1" x14ac:dyDescent="0.4">
      <c r="B249" s="25"/>
      <c r="D249" s="42"/>
      <c r="E249" s="26"/>
      <c r="G249" s="54"/>
      <c r="N249" s="42"/>
    </row>
    <row r="250" spans="2:14" s="13" customFormat="1" x14ac:dyDescent="0.4">
      <c r="B250" s="25"/>
      <c r="D250" s="42"/>
      <c r="E250" s="26"/>
      <c r="G250" s="54"/>
      <c r="N250" s="42"/>
    </row>
    <row r="251" spans="2:14" s="13" customFormat="1" x14ac:dyDescent="0.4">
      <c r="B251" s="25"/>
      <c r="D251" s="42"/>
      <c r="E251" s="26"/>
      <c r="G251" s="54"/>
      <c r="N251" s="42"/>
    </row>
    <row r="252" spans="2:14" s="13" customFormat="1" x14ac:dyDescent="0.4">
      <c r="B252" s="25"/>
      <c r="D252" s="42"/>
      <c r="E252" s="26"/>
      <c r="G252" s="54"/>
      <c r="N252" s="42"/>
    </row>
    <row r="253" spans="2:14" s="13" customFormat="1" x14ac:dyDescent="0.4">
      <c r="B253" s="25"/>
      <c r="D253" s="42"/>
      <c r="E253" s="26"/>
      <c r="G253" s="54"/>
      <c r="N253" s="42"/>
    </row>
    <row r="254" spans="2:14" s="13" customFormat="1" x14ac:dyDescent="0.4">
      <c r="B254" s="25"/>
      <c r="D254" s="42"/>
      <c r="E254" s="26"/>
      <c r="G254" s="54"/>
      <c r="N254" s="42"/>
    </row>
    <row r="255" spans="2:14" s="13" customFormat="1" x14ac:dyDescent="0.4">
      <c r="B255" s="25"/>
      <c r="D255" s="42"/>
      <c r="E255" s="26"/>
      <c r="G255" s="54"/>
      <c r="N255" s="42"/>
    </row>
    <row r="256" spans="2:14" s="13" customFormat="1" x14ac:dyDescent="0.4">
      <c r="B256" s="25"/>
      <c r="D256" s="42"/>
      <c r="E256" s="26"/>
      <c r="G256" s="54"/>
      <c r="N256" s="42"/>
    </row>
    <row r="257" spans="2:14" s="13" customFormat="1" x14ac:dyDescent="0.4">
      <c r="B257" s="25"/>
      <c r="D257" s="42"/>
      <c r="E257" s="26"/>
      <c r="G257" s="54"/>
      <c r="N257" s="42"/>
    </row>
    <row r="258" spans="2:14" s="13" customFormat="1" x14ac:dyDescent="0.4">
      <c r="B258" s="25"/>
      <c r="D258" s="42"/>
      <c r="E258" s="26"/>
      <c r="G258" s="54"/>
      <c r="N258" s="42"/>
    </row>
    <row r="259" spans="2:14" s="13" customFormat="1" x14ac:dyDescent="0.4">
      <c r="B259" s="25"/>
      <c r="D259" s="42"/>
      <c r="E259" s="26"/>
      <c r="G259" s="54"/>
      <c r="N259" s="42"/>
    </row>
    <row r="260" spans="2:14" s="13" customFormat="1" x14ac:dyDescent="0.4">
      <c r="B260" s="25"/>
      <c r="D260" s="42"/>
      <c r="E260" s="26"/>
      <c r="G260" s="54"/>
      <c r="N260" s="42"/>
    </row>
    <row r="261" spans="2:14" s="13" customFormat="1" x14ac:dyDescent="0.4">
      <c r="B261" s="25"/>
      <c r="D261" s="42"/>
      <c r="E261" s="26"/>
      <c r="G261" s="54"/>
      <c r="N261" s="42"/>
    </row>
    <row r="262" spans="2:14" s="13" customFormat="1" x14ac:dyDescent="0.4">
      <c r="B262" s="25"/>
      <c r="D262" s="42"/>
      <c r="E262" s="26"/>
      <c r="G262" s="54"/>
      <c r="N262" s="42"/>
    </row>
    <row r="263" spans="2:14" s="13" customFormat="1" x14ac:dyDescent="0.4">
      <c r="B263" s="25"/>
      <c r="D263" s="42"/>
      <c r="E263" s="26"/>
      <c r="G263" s="54"/>
      <c r="N263" s="42"/>
    </row>
    <row r="264" spans="2:14" s="13" customFormat="1" x14ac:dyDescent="0.4">
      <c r="B264" s="25"/>
      <c r="D264" s="42"/>
      <c r="E264" s="26"/>
      <c r="G264" s="54"/>
      <c r="N264" s="42"/>
    </row>
    <row r="265" spans="2:14" s="13" customFormat="1" x14ac:dyDescent="0.4">
      <c r="B265" s="25"/>
      <c r="D265" s="42"/>
      <c r="E265" s="26"/>
      <c r="G265" s="54"/>
      <c r="N265" s="42"/>
    </row>
    <row r="266" spans="2:14" s="13" customFormat="1" x14ac:dyDescent="0.4">
      <c r="B266" s="25"/>
      <c r="D266" s="42"/>
      <c r="E266" s="26"/>
      <c r="G266" s="54"/>
      <c r="N266" s="42"/>
    </row>
    <row r="267" spans="2:14" s="13" customFormat="1" x14ac:dyDescent="0.4">
      <c r="B267" s="25"/>
      <c r="D267" s="42"/>
      <c r="E267" s="26"/>
      <c r="G267" s="54"/>
      <c r="N267" s="42"/>
    </row>
    <row r="268" spans="2:14" s="13" customFormat="1" x14ac:dyDescent="0.4">
      <c r="B268" s="25"/>
      <c r="D268" s="42"/>
      <c r="E268" s="26"/>
      <c r="G268" s="54"/>
      <c r="N268" s="42"/>
    </row>
    <row r="269" spans="2:14" s="13" customFormat="1" x14ac:dyDescent="0.4">
      <c r="B269" s="25"/>
      <c r="D269" s="42"/>
      <c r="E269" s="26"/>
      <c r="G269" s="54"/>
      <c r="N269" s="42"/>
    </row>
    <row r="270" spans="2:14" s="13" customFormat="1" x14ac:dyDescent="0.4">
      <c r="B270" s="25"/>
      <c r="D270" s="42"/>
      <c r="E270" s="26"/>
      <c r="G270" s="54"/>
      <c r="N270" s="42"/>
    </row>
    <row r="271" spans="2:14" s="13" customFormat="1" x14ac:dyDescent="0.4">
      <c r="B271" s="25"/>
      <c r="D271" s="42"/>
      <c r="E271" s="26"/>
      <c r="G271" s="54"/>
      <c r="N271" s="42"/>
    </row>
    <row r="272" spans="2:14" s="13" customFormat="1" x14ac:dyDescent="0.4">
      <c r="B272" s="25"/>
      <c r="D272" s="42"/>
      <c r="E272" s="26"/>
      <c r="G272" s="54"/>
      <c r="N272" s="42"/>
    </row>
    <row r="273" spans="2:14" s="13" customFormat="1" x14ac:dyDescent="0.4">
      <c r="B273" s="25"/>
      <c r="D273" s="42"/>
      <c r="E273" s="26"/>
      <c r="G273" s="54"/>
      <c r="N273" s="42"/>
    </row>
    <row r="274" spans="2:14" s="13" customFormat="1" x14ac:dyDescent="0.4">
      <c r="B274" s="25"/>
      <c r="D274" s="42"/>
      <c r="E274" s="26"/>
      <c r="G274" s="54"/>
      <c r="N274" s="42"/>
    </row>
    <row r="275" spans="2:14" s="13" customFormat="1" x14ac:dyDescent="0.4">
      <c r="B275" s="25"/>
      <c r="D275" s="42"/>
      <c r="E275" s="26"/>
      <c r="G275" s="54"/>
      <c r="N275" s="42"/>
    </row>
    <row r="276" spans="2:14" s="13" customFormat="1" x14ac:dyDescent="0.4">
      <c r="B276" s="25"/>
      <c r="D276" s="42"/>
      <c r="E276" s="26"/>
      <c r="G276" s="54"/>
      <c r="N276" s="42"/>
    </row>
    <row r="277" spans="2:14" s="13" customFormat="1" x14ac:dyDescent="0.4">
      <c r="B277" s="25"/>
      <c r="D277" s="42"/>
      <c r="E277" s="26"/>
      <c r="G277" s="54"/>
      <c r="N277" s="42"/>
    </row>
    <row r="278" spans="2:14" s="13" customFormat="1" x14ac:dyDescent="0.4">
      <c r="B278" s="25"/>
      <c r="D278" s="42"/>
      <c r="E278" s="26"/>
      <c r="G278" s="54"/>
      <c r="N278" s="42"/>
    </row>
    <row r="279" spans="2:14" s="13" customFormat="1" x14ac:dyDescent="0.4">
      <c r="B279" s="25"/>
      <c r="D279" s="42"/>
      <c r="E279" s="26"/>
      <c r="G279" s="54"/>
      <c r="N279" s="42"/>
    </row>
    <row r="280" spans="2:14" s="13" customFormat="1" x14ac:dyDescent="0.4">
      <c r="B280" s="25"/>
      <c r="D280" s="42"/>
      <c r="E280" s="26"/>
      <c r="G280" s="54"/>
      <c r="N280" s="42"/>
    </row>
    <row r="281" spans="2:14" s="13" customFormat="1" x14ac:dyDescent="0.4">
      <c r="B281" s="25"/>
      <c r="D281" s="42"/>
      <c r="E281" s="26"/>
      <c r="G281" s="54"/>
      <c r="N281" s="42"/>
    </row>
    <row r="282" spans="2:14" s="13" customFormat="1" x14ac:dyDescent="0.4">
      <c r="B282" s="25"/>
      <c r="D282" s="42"/>
      <c r="E282" s="26"/>
      <c r="G282" s="54"/>
      <c r="N282" s="42"/>
    </row>
    <row r="283" spans="2:14" s="13" customFormat="1" x14ac:dyDescent="0.4">
      <c r="B283" s="25"/>
      <c r="D283" s="42"/>
      <c r="E283" s="26"/>
      <c r="G283" s="54"/>
      <c r="N283" s="42"/>
    </row>
    <row r="284" spans="2:14" s="13" customFormat="1" x14ac:dyDescent="0.4">
      <c r="B284" s="25"/>
      <c r="D284" s="42"/>
      <c r="E284" s="26"/>
      <c r="G284" s="54"/>
      <c r="N284" s="42"/>
    </row>
    <row r="285" spans="2:14" s="13" customFormat="1" x14ac:dyDescent="0.4">
      <c r="B285" s="25"/>
      <c r="D285" s="42"/>
      <c r="E285" s="26"/>
      <c r="G285" s="54"/>
      <c r="N285" s="42"/>
    </row>
    <row r="286" spans="2:14" s="13" customFormat="1" x14ac:dyDescent="0.4">
      <c r="B286" s="25"/>
      <c r="D286" s="42"/>
      <c r="E286" s="26"/>
      <c r="G286" s="54"/>
      <c r="N286" s="42"/>
    </row>
    <row r="287" spans="2:14" s="13" customFormat="1" x14ac:dyDescent="0.4">
      <c r="B287" s="25"/>
      <c r="D287" s="42"/>
      <c r="E287" s="26"/>
      <c r="G287" s="54"/>
      <c r="N287" s="42"/>
    </row>
    <row r="288" spans="2:14" s="13" customFormat="1" x14ac:dyDescent="0.4">
      <c r="B288" s="25"/>
      <c r="D288" s="42"/>
      <c r="E288" s="26"/>
      <c r="G288" s="54"/>
      <c r="N288" s="42"/>
    </row>
    <row r="289" spans="2:14" s="13" customFormat="1" x14ac:dyDescent="0.4">
      <c r="B289" s="25"/>
      <c r="D289" s="42"/>
      <c r="E289" s="26"/>
      <c r="G289" s="54"/>
      <c r="N289" s="42"/>
    </row>
    <row r="290" spans="2:14" s="13" customFormat="1" x14ac:dyDescent="0.4">
      <c r="B290" s="25"/>
      <c r="D290" s="42"/>
      <c r="E290" s="26"/>
      <c r="G290" s="54"/>
      <c r="N290" s="42"/>
    </row>
    <row r="291" spans="2:14" s="13" customFormat="1" x14ac:dyDescent="0.4">
      <c r="B291" s="25"/>
      <c r="D291" s="42"/>
      <c r="E291" s="26"/>
      <c r="G291" s="54"/>
      <c r="N291" s="42"/>
    </row>
    <row r="292" spans="2:14" s="13" customFormat="1" x14ac:dyDescent="0.4">
      <c r="B292" s="25"/>
      <c r="D292" s="42"/>
      <c r="E292" s="26"/>
      <c r="G292" s="54"/>
      <c r="N292" s="42"/>
    </row>
    <row r="293" spans="2:14" s="13" customFormat="1" x14ac:dyDescent="0.4">
      <c r="B293" s="25"/>
      <c r="D293" s="42"/>
      <c r="E293" s="26"/>
      <c r="G293" s="54"/>
      <c r="N293" s="42"/>
    </row>
    <row r="294" spans="2:14" s="13" customFormat="1" x14ac:dyDescent="0.4">
      <c r="B294" s="25"/>
      <c r="D294" s="42"/>
      <c r="E294" s="26"/>
      <c r="G294" s="54"/>
      <c r="N294" s="42"/>
    </row>
    <row r="295" spans="2:14" s="13" customFormat="1" x14ac:dyDescent="0.4">
      <c r="B295" s="25"/>
      <c r="D295" s="42"/>
      <c r="E295" s="26"/>
      <c r="G295" s="54"/>
      <c r="N295" s="42"/>
    </row>
    <row r="296" spans="2:14" s="13" customFormat="1" x14ac:dyDescent="0.4">
      <c r="B296" s="25"/>
      <c r="D296" s="42"/>
      <c r="E296" s="26"/>
      <c r="G296" s="54"/>
      <c r="N296" s="42"/>
    </row>
    <row r="297" spans="2:14" s="13" customFormat="1" x14ac:dyDescent="0.4">
      <c r="B297" s="25"/>
      <c r="D297" s="42"/>
      <c r="E297" s="26"/>
      <c r="G297" s="54"/>
      <c r="N297" s="42"/>
    </row>
    <row r="298" spans="2:14" s="13" customFormat="1" x14ac:dyDescent="0.4">
      <c r="B298" s="25"/>
      <c r="D298" s="42"/>
      <c r="E298" s="26"/>
      <c r="G298" s="54"/>
      <c r="N298" s="42"/>
    </row>
    <row r="299" spans="2:14" s="13" customFormat="1" x14ac:dyDescent="0.4">
      <c r="B299" s="25"/>
      <c r="D299" s="42"/>
      <c r="E299" s="26"/>
      <c r="G299" s="54"/>
      <c r="N299" s="42"/>
    </row>
    <row r="300" spans="2:14" s="13" customFormat="1" x14ac:dyDescent="0.4">
      <c r="B300" s="25"/>
      <c r="D300" s="42"/>
      <c r="E300" s="26"/>
      <c r="G300" s="54"/>
      <c r="N300" s="42"/>
    </row>
    <row r="301" spans="2:14" s="13" customFormat="1" x14ac:dyDescent="0.4">
      <c r="B301" s="25"/>
      <c r="D301" s="42"/>
      <c r="E301" s="26"/>
      <c r="G301" s="54"/>
      <c r="N301" s="42"/>
    </row>
    <row r="302" spans="2:14" s="13" customFormat="1" x14ac:dyDescent="0.4">
      <c r="B302" s="25"/>
      <c r="D302" s="42"/>
      <c r="E302" s="26"/>
      <c r="G302" s="54"/>
      <c r="N302" s="42"/>
    </row>
    <row r="303" spans="2:14" s="13" customFormat="1" x14ac:dyDescent="0.4">
      <c r="B303" s="25"/>
      <c r="D303" s="42"/>
      <c r="E303" s="26"/>
      <c r="G303" s="54"/>
      <c r="N303" s="42"/>
    </row>
    <row r="304" spans="2:14" s="13" customFormat="1" x14ac:dyDescent="0.4">
      <c r="B304" s="25"/>
      <c r="D304" s="42"/>
      <c r="E304" s="26"/>
      <c r="G304" s="54"/>
      <c r="N304" s="42"/>
    </row>
    <row r="305" spans="2:14" s="13" customFormat="1" x14ac:dyDescent="0.4">
      <c r="B305" s="25"/>
      <c r="D305" s="42"/>
      <c r="E305" s="26"/>
      <c r="G305" s="54"/>
      <c r="N305" s="42"/>
    </row>
    <row r="306" spans="2:14" s="13" customFormat="1" x14ac:dyDescent="0.4">
      <c r="B306" s="25"/>
      <c r="D306" s="42"/>
      <c r="E306" s="26"/>
      <c r="G306" s="54"/>
      <c r="N306" s="42"/>
    </row>
    <row r="307" spans="2:14" s="13" customFormat="1" x14ac:dyDescent="0.4">
      <c r="B307" s="25"/>
      <c r="D307" s="42"/>
      <c r="E307" s="26"/>
      <c r="G307" s="54"/>
      <c r="N307" s="42"/>
    </row>
    <row r="308" spans="2:14" s="13" customFormat="1" x14ac:dyDescent="0.4">
      <c r="B308" s="25"/>
      <c r="D308" s="42"/>
      <c r="E308" s="26"/>
      <c r="G308" s="54"/>
      <c r="N308" s="42"/>
    </row>
    <row r="309" spans="2:14" s="13" customFormat="1" x14ac:dyDescent="0.4">
      <c r="B309" s="25"/>
      <c r="D309" s="42"/>
      <c r="E309" s="26"/>
      <c r="G309" s="54"/>
      <c r="N309" s="42"/>
    </row>
    <row r="310" spans="2:14" s="13" customFormat="1" x14ac:dyDescent="0.4">
      <c r="B310" s="25"/>
      <c r="D310" s="42"/>
      <c r="E310" s="26"/>
      <c r="G310" s="54"/>
      <c r="N310" s="42"/>
    </row>
    <row r="311" spans="2:14" s="13" customFormat="1" x14ac:dyDescent="0.4">
      <c r="B311" s="25"/>
      <c r="D311" s="42"/>
      <c r="E311" s="26"/>
      <c r="G311" s="54"/>
      <c r="N311" s="42"/>
    </row>
    <row r="312" spans="2:14" s="13" customFormat="1" x14ac:dyDescent="0.4">
      <c r="B312" s="25"/>
      <c r="D312" s="42"/>
      <c r="E312" s="26"/>
      <c r="G312" s="54"/>
      <c r="N312" s="42"/>
    </row>
    <row r="313" spans="2:14" s="13" customFormat="1" x14ac:dyDescent="0.4">
      <c r="B313" s="25"/>
      <c r="D313" s="42"/>
      <c r="E313" s="26"/>
      <c r="G313" s="54"/>
      <c r="N313" s="42"/>
    </row>
    <row r="314" spans="2:14" s="13" customFormat="1" x14ac:dyDescent="0.4">
      <c r="B314" s="25"/>
      <c r="D314" s="42"/>
      <c r="E314" s="26"/>
      <c r="G314" s="54"/>
      <c r="N314" s="42"/>
    </row>
    <row r="315" spans="2:14" s="13" customFormat="1" x14ac:dyDescent="0.4">
      <c r="B315" s="25"/>
      <c r="D315" s="42"/>
      <c r="E315" s="26"/>
      <c r="G315" s="54"/>
      <c r="N315" s="42"/>
    </row>
    <row r="316" spans="2:14" s="13" customFormat="1" x14ac:dyDescent="0.4">
      <c r="B316" s="25"/>
      <c r="D316" s="42"/>
      <c r="E316" s="26"/>
      <c r="G316" s="54"/>
      <c r="N316" s="42"/>
    </row>
    <row r="317" spans="2:14" s="13" customFormat="1" x14ac:dyDescent="0.4">
      <c r="B317" s="25"/>
      <c r="D317" s="42"/>
      <c r="E317" s="26"/>
      <c r="G317" s="54"/>
      <c r="N317" s="42"/>
    </row>
    <row r="318" spans="2:14" s="13" customFormat="1" x14ac:dyDescent="0.4">
      <c r="B318" s="25"/>
      <c r="D318" s="42"/>
      <c r="E318" s="26"/>
      <c r="G318" s="54"/>
      <c r="N318" s="42"/>
    </row>
    <row r="319" spans="2:14" s="13" customFormat="1" x14ac:dyDescent="0.4">
      <c r="B319" s="25"/>
      <c r="D319" s="42"/>
      <c r="E319" s="26"/>
      <c r="G319" s="54"/>
      <c r="N319" s="42"/>
    </row>
    <row r="320" spans="2:14" s="13" customFormat="1" x14ac:dyDescent="0.4">
      <c r="B320" s="25"/>
      <c r="D320" s="42"/>
      <c r="E320" s="26"/>
      <c r="G320" s="54"/>
      <c r="N320" s="42"/>
    </row>
    <row r="321" spans="2:14" s="13" customFormat="1" x14ac:dyDescent="0.4">
      <c r="B321" s="25"/>
      <c r="D321" s="42"/>
      <c r="E321" s="26"/>
      <c r="G321" s="54"/>
      <c r="N321" s="42"/>
    </row>
    <row r="322" spans="2:14" s="13" customFormat="1" x14ac:dyDescent="0.4">
      <c r="B322" s="25"/>
      <c r="D322" s="42"/>
      <c r="E322" s="26"/>
      <c r="G322" s="54"/>
      <c r="N322" s="42"/>
    </row>
    <row r="323" spans="2:14" s="13" customFormat="1" x14ac:dyDescent="0.4">
      <c r="B323" s="25"/>
      <c r="D323" s="42"/>
      <c r="E323" s="26"/>
      <c r="G323" s="54"/>
      <c r="N323" s="42"/>
    </row>
    <row r="324" spans="2:14" s="13" customFormat="1" x14ac:dyDescent="0.4">
      <c r="B324" s="25"/>
      <c r="D324" s="42"/>
      <c r="E324" s="26"/>
      <c r="G324" s="54"/>
      <c r="N324" s="42"/>
    </row>
    <row r="325" spans="2:14" s="13" customFormat="1" x14ac:dyDescent="0.4">
      <c r="B325" s="25"/>
      <c r="D325" s="42"/>
      <c r="E325" s="26"/>
      <c r="G325" s="54"/>
      <c r="N325" s="42"/>
    </row>
    <row r="326" spans="2:14" s="13" customFormat="1" x14ac:dyDescent="0.4">
      <c r="B326" s="25"/>
      <c r="D326" s="42"/>
      <c r="E326" s="26"/>
      <c r="G326" s="54"/>
      <c r="N326" s="42"/>
    </row>
    <row r="327" spans="2:14" s="13" customFormat="1" x14ac:dyDescent="0.4">
      <c r="B327" s="25"/>
      <c r="D327" s="42"/>
      <c r="E327" s="26"/>
      <c r="G327" s="54"/>
      <c r="N327" s="42"/>
    </row>
    <row r="328" spans="2:14" s="13" customFormat="1" x14ac:dyDescent="0.4">
      <c r="B328" s="25"/>
      <c r="D328" s="42"/>
      <c r="E328" s="26"/>
      <c r="G328" s="54"/>
      <c r="N328" s="42"/>
    </row>
    <row r="329" spans="2:14" s="13" customFormat="1" x14ac:dyDescent="0.4">
      <c r="B329" s="25"/>
      <c r="D329" s="42"/>
      <c r="E329" s="26"/>
      <c r="G329" s="54"/>
      <c r="N329" s="42"/>
    </row>
    <row r="330" spans="2:14" s="13" customFormat="1" x14ac:dyDescent="0.4">
      <c r="B330" s="25"/>
      <c r="D330" s="42"/>
      <c r="E330" s="26"/>
      <c r="G330" s="54"/>
      <c r="N330" s="42"/>
    </row>
    <row r="331" spans="2:14" s="13" customFormat="1" x14ac:dyDescent="0.4">
      <c r="B331" s="25"/>
      <c r="D331" s="42"/>
      <c r="E331" s="26"/>
      <c r="G331" s="54"/>
      <c r="N331" s="42"/>
    </row>
    <row r="332" spans="2:14" s="13" customFormat="1" x14ac:dyDescent="0.4">
      <c r="B332" s="25"/>
      <c r="D332" s="42"/>
      <c r="E332" s="26"/>
      <c r="G332" s="54"/>
      <c r="N332" s="42"/>
    </row>
    <row r="333" spans="2:14" s="13" customFormat="1" x14ac:dyDescent="0.4">
      <c r="B333" s="25"/>
      <c r="D333" s="42"/>
      <c r="E333" s="26"/>
      <c r="G333" s="54"/>
      <c r="N333" s="42"/>
    </row>
    <row r="334" spans="2:14" s="13" customFormat="1" x14ac:dyDescent="0.4">
      <c r="B334" s="25"/>
      <c r="D334" s="42"/>
      <c r="E334" s="26"/>
      <c r="G334" s="54"/>
      <c r="N334" s="42"/>
    </row>
    <row r="335" spans="2:14" s="13" customFormat="1" x14ac:dyDescent="0.4">
      <c r="B335" s="25"/>
      <c r="D335" s="42"/>
      <c r="E335" s="26"/>
      <c r="G335" s="54"/>
      <c r="N335" s="42"/>
    </row>
    <row r="336" spans="2:14" s="13" customFormat="1" x14ac:dyDescent="0.4">
      <c r="B336" s="25"/>
      <c r="D336" s="42"/>
      <c r="E336" s="26"/>
      <c r="G336" s="54"/>
      <c r="N336" s="42"/>
    </row>
    <row r="337" spans="2:14" s="13" customFormat="1" x14ac:dyDescent="0.4">
      <c r="B337" s="25"/>
      <c r="D337" s="42"/>
      <c r="E337" s="26"/>
      <c r="G337" s="54"/>
      <c r="N337" s="42"/>
    </row>
    <row r="338" spans="2:14" s="13" customFormat="1" x14ac:dyDescent="0.4">
      <c r="B338" s="25"/>
      <c r="D338" s="42"/>
      <c r="E338" s="26"/>
      <c r="G338" s="54"/>
      <c r="N338" s="42"/>
    </row>
    <row r="339" spans="2:14" s="13" customFormat="1" x14ac:dyDescent="0.4">
      <c r="B339" s="25"/>
      <c r="D339" s="42"/>
      <c r="E339" s="26"/>
      <c r="G339" s="54"/>
      <c r="N339" s="42"/>
    </row>
    <row r="340" spans="2:14" s="13" customFormat="1" x14ac:dyDescent="0.4">
      <c r="B340" s="25"/>
      <c r="D340" s="42"/>
      <c r="E340" s="26"/>
      <c r="G340" s="54"/>
      <c r="N340" s="42"/>
    </row>
    <row r="341" spans="2:14" s="13" customFormat="1" x14ac:dyDescent="0.4">
      <c r="B341" s="25"/>
      <c r="D341" s="42"/>
      <c r="E341" s="26"/>
      <c r="G341" s="54"/>
      <c r="N341" s="42"/>
    </row>
    <row r="342" spans="2:14" s="13" customFormat="1" x14ac:dyDescent="0.4">
      <c r="B342" s="25"/>
      <c r="D342" s="42"/>
      <c r="E342" s="26"/>
      <c r="G342" s="54"/>
      <c r="N342" s="42"/>
    </row>
    <row r="343" spans="2:14" s="13" customFormat="1" x14ac:dyDescent="0.4">
      <c r="B343" s="25"/>
      <c r="D343" s="42"/>
      <c r="E343" s="26"/>
      <c r="G343" s="54"/>
      <c r="N343" s="42"/>
    </row>
    <row r="344" spans="2:14" s="13" customFormat="1" x14ac:dyDescent="0.4">
      <c r="B344" s="25"/>
      <c r="D344" s="42"/>
      <c r="E344" s="26"/>
      <c r="G344" s="54"/>
      <c r="N344" s="42"/>
    </row>
    <row r="345" spans="2:14" s="13" customFormat="1" x14ac:dyDescent="0.4">
      <c r="B345" s="25"/>
      <c r="D345" s="42"/>
      <c r="E345" s="26"/>
      <c r="G345" s="54"/>
      <c r="N345" s="42"/>
    </row>
    <row r="346" spans="2:14" s="13" customFormat="1" x14ac:dyDescent="0.4">
      <c r="B346" s="25"/>
      <c r="D346" s="42"/>
      <c r="E346" s="26"/>
      <c r="G346" s="54"/>
      <c r="N346" s="42"/>
    </row>
    <row r="347" spans="2:14" s="13" customFormat="1" x14ac:dyDescent="0.4">
      <c r="B347" s="25"/>
      <c r="D347" s="42"/>
      <c r="E347" s="26"/>
      <c r="G347" s="54"/>
      <c r="N347" s="42"/>
    </row>
    <row r="348" spans="2:14" s="13" customFormat="1" x14ac:dyDescent="0.4">
      <c r="B348" s="25"/>
      <c r="D348" s="42"/>
      <c r="E348" s="26"/>
      <c r="G348" s="54"/>
      <c r="N348" s="42"/>
    </row>
    <row r="349" spans="2:14" s="13" customFormat="1" x14ac:dyDescent="0.4">
      <c r="B349" s="25"/>
      <c r="D349" s="42"/>
      <c r="E349" s="26"/>
      <c r="G349" s="54"/>
      <c r="N349" s="42"/>
    </row>
    <row r="350" spans="2:14" s="13" customFormat="1" x14ac:dyDescent="0.4">
      <c r="B350" s="25"/>
      <c r="D350" s="42"/>
      <c r="E350" s="26"/>
      <c r="G350" s="54"/>
      <c r="N350" s="42"/>
    </row>
    <row r="351" spans="2:14" s="13" customFormat="1" x14ac:dyDescent="0.4">
      <c r="B351" s="25"/>
      <c r="D351" s="42"/>
      <c r="E351" s="26"/>
      <c r="G351" s="54"/>
      <c r="N351" s="42"/>
    </row>
    <row r="352" spans="2:14" s="13" customFormat="1" x14ac:dyDescent="0.4">
      <c r="B352" s="25"/>
      <c r="D352" s="42"/>
      <c r="E352" s="26"/>
      <c r="G352" s="54"/>
      <c r="N352" s="42"/>
    </row>
    <row r="353" spans="2:14" s="13" customFormat="1" x14ac:dyDescent="0.4">
      <c r="B353" s="25"/>
      <c r="D353" s="42"/>
      <c r="E353" s="26"/>
      <c r="G353" s="54"/>
      <c r="N353" s="42"/>
    </row>
    <row r="354" spans="2:14" s="13" customFormat="1" x14ac:dyDescent="0.4">
      <c r="B354" s="25"/>
      <c r="D354" s="42"/>
      <c r="E354" s="26"/>
      <c r="G354" s="54"/>
      <c r="N354" s="42"/>
    </row>
    <row r="355" spans="2:14" s="13" customFormat="1" x14ac:dyDescent="0.4">
      <c r="B355" s="25"/>
      <c r="D355" s="42"/>
      <c r="E355" s="26"/>
      <c r="G355" s="54"/>
      <c r="N355" s="42"/>
    </row>
    <row r="356" spans="2:14" s="13" customFormat="1" x14ac:dyDescent="0.4">
      <c r="B356" s="25"/>
      <c r="D356" s="42"/>
      <c r="E356" s="26"/>
      <c r="G356" s="54"/>
      <c r="N356" s="42"/>
    </row>
    <row r="357" spans="2:14" s="13" customFormat="1" x14ac:dyDescent="0.4">
      <c r="B357" s="25"/>
      <c r="D357" s="42"/>
      <c r="E357" s="26"/>
      <c r="G357" s="54"/>
      <c r="N357" s="42"/>
    </row>
    <row r="358" spans="2:14" s="13" customFormat="1" x14ac:dyDescent="0.4">
      <c r="B358" s="25"/>
      <c r="D358" s="42"/>
      <c r="E358" s="26"/>
      <c r="G358" s="54"/>
      <c r="N358" s="42"/>
    </row>
    <row r="359" spans="2:14" s="13" customFormat="1" x14ac:dyDescent="0.4">
      <c r="B359" s="25"/>
      <c r="D359" s="42"/>
      <c r="E359" s="26"/>
      <c r="G359" s="54"/>
      <c r="N359" s="42"/>
    </row>
    <row r="360" spans="2:14" s="13" customFormat="1" x14ac:dyDescent="0.4">
      <c r="B360" s="25"/>
      <c r="D360" s="42"/>
      <c r="E360" s="26"/>
      <c r="G360" s="54"/>
      <c r="N360" s="42"/>
    </row>
    <row r="361" spans="2:14" s="13" customFormat="1" x14ac:dyDescent="0.4">
      <c r="B361" s="25"/>
      <c r="D361" s="42"/>
      <c r="E361" s="26"/>
      <c r="G361" s="54"/>
      <c r="N361" s="42"/>
    </row>
    <row r="362" spans="2:14" s="13" customFormat="1" x14ac:dyDescent="0.4">
      <c r="B362" s="25"/>
      <c r="D362" s="42"/>
      <c r="E362" s="26"/>
      <c r="G362" s="54"/>
      <c r="N362" s="42"/>
    </row>
    <row r="363" spans="2:14" s="13" customFormat="1" x14ac:dyDescent="0.4">
      <c r="B363" s="25"/>
      <c r="D363" s="42"/>
      <c r="E363" s="26"/>
      <c r="G363" s="54"/>
      <c r="N363" s="42"/>
    </row>
    <row r="364" spans="2:14" s="13" customFormat="1" x14ac:dyDescent="0.4">
      <c r="B364" s="25"/>
      <c r="D364" s="42"/>
      <c r="E364" s="26"/>
      <c r="G364" s="54"/>
      <c r="N364" s="42"/>
    </row>
    <row r="365" spans="2:14" s="13" customFormat="1" x14ac:dyDescent="0.4">
      <c r="B365" s="25"/>
      <c r="D365" s="42"/>
      <c r="E365" s="26"/>
      <c r="G365" s="54"/>
      <c r="N365" s="42"/>
    </row>
    <row r="366" spans="2:14" s="13" customFormat="1" x14ac:dyDescent="0.4">
      <c r="B366" s="25"/>
      <c r="D366" s="42"/>
      <c r="E366" s="26"/>
      <c r="G366" s="54"/>
      <c r="N366" s="42"/>
    </row>
    <row r="367" spans="2:14" s="13" customFormat="1" x14ac:dyDescent="0.4">
      <c r="B367" s="25"/>
      <c r="D367" s="42"/>
      <c r="E367" s="26"/>
      <c r="G367" s="54"/>
      <c r="N367" s="42"/>
    </row>
    <row r="368" spans="2:14" s="13" customFormat="1" x14ac:dyDescent="0.4">
      <c r="B368" s="25"/>
      <c r="D368" s="42"/>
      <c r="E368" s="26"/>
      <c r="G368" s="54"/>
      <c r="N368" s="42"/>
    </row>
    <row r="369" spans="2:14" s="13" customFormat="1" x14ac:dyDescent="0.4">
      <c r="B369" s="25"/>
      <c r="D369" s="42"/>
      <c r="E369" s="26"/>
      <c r="G369" s="54"/>
      <c r="N369" s="42"/>
    </row>
    <row r="370" spans="2:14" s="13" customFormat="1" x14ac:dyDescent="0.4">
      <c r="B370" s="25"/>
      <c r="D370" s="42"/>
      <c r="E370" s="26"/>
      <c r="G370" s="54"/>
      <c r="N370" s="42"/>
    </row>
    <row r="371" spans="2:14" s="13" customFormat="1" x14ac:dyDescent="0.4">
      <c r="B371" s="25"/>
      <c r="D371" s="42"/>
      <c r="E371" s="26"/>
      <c r="G371" s="54"/>
      <c r="N371" s="42"/>
    </row>
    <row r="372" spans="2:14" s="13" customFormat="1" x14ac:dyDescent="0.4">
      <c r="B372" s="25"/>
      <c r="D372" s="42"/>
      <c r="E372" s="26"/>
      <c r="G372" s="54"/>
      <c r="N372" s="42"/>
    </row>
    <row r="373" spans="2:14" s="13" customFormat="1" x14ac:dyDescent="0.4">
      <c r="B373" s="25"/>
      <c r="D373" s="42"/>
      <c r="E373" s="26"/>
      <c r="G373" s="54"/>
      <c r="N373" s="42"/>
    </row>
    <row r="374" spans="2:14" s="13" customFormat="1" x14ac:dyDescent="0.4">
      <c r="B374" s="25"/>
      <c r="D374" s="42"/>
      <c r="E374" s="26"/>
      <c r="G374" s="54"/>
      <c r="N374" s="42"/>
    </row>
    <row r="375" spans="2:14" s="13" customFormat="1" x14ac:dyDescent="0.4">
      <c r="B375" s="25"/>
      <c r="D375" s="42"/>
      <c r="E375" s="26"/>
      <c r="G375" s="54"/>
      <c r="N375" s="42"/>
    </row>
    <row r="376" spans="2:14" s="13" customFormat="1" x14ac:dyDescent="0.4">
      <c r="B376" s="25"/>
      <c r="D376" s="42"/>
      <c r="E376" s="26"/>
      <c r="G376" s="54"/>
      <c r="N376" s="42"/>
    </row>
    <row r="377" spans="2:14" s="13" customFormat="1" x14ac:dyDescent="0.4">
      <c r="B377" s="25"/>
      <c r="D377" s="42"/>
      <c r="E377" s="26"/>
      <c r="G377" s="54"/>
      <c r="N377" s="42"/>
    </row>
    <row r="378" spans="2:14" s="13" customFormat="1" x14ac:dyDescent="0.4">
      <c r="B378" s="25"/>
      <c r="D378" s="42"/>
      <c r="E378" s="26"/>
      <c r="G378" s="54"/>
      <c r="N378" s="42"/>
    </row>
    <row r="379" spans="2:14" s="13" customFormat="1" x14ac:dyDescent="0.4">
      <c r="B379" s="25"/>
      <c r="D379" s="42"/>
      <c r="E379" s="26"/>
      <c r="G379" s="54"/>
      <c r="N379" s="42"/>
    </row>
    <row r="380" spans="2:14" s="13" customFormat="1" x14ac:dyDescent="0.4">
      <c r="B380" s="25"/>
      <c r="D380" s="42"/>
      <c r="E380" s="26"/>
      <c r="G380" s="54"/>
      <c r="N380" s="42"/>
    </row>
    <row r="381" spans="2:14" s="13" customFormat="1" x14ac:dyDescent="0.4">
      <c r="B381" s="25"/>
      <c r="D381" s="42"/>
      <c r="E381" s="26"/>
      <c r="G381" s="54"/>
      <c r="N381" s="42"/>
    </row>
    <row r="382" spans="2:14" s="13" customFormat="1" x14ac:dyDescent="0.4">
      <c r="B382" s="25"/>
      <c r="D382" s="42"/>
      <c r="E382" s="26"/>
      <c r="G382" s="54"/>
      <c r="N382" s="42"/>
    </row>
    <row r="383" spans="2:14" s="13" customFormat="1" x14ac:dyDescent="0.4">
      <c r="B383" s="25"/>
      <c r="D383" s="42"/>
      <c r="E383" s="26"/>
      <c r="G383" s="54"/>
      <c r="N383" s="42"/>
    </row>
    <row r="384" spans="2:14" s="13" customFormat="1" x14ac:dyDescent="0.4">
      <c r="B384" s="25"/>
      <c r="D384" s="42"/>
      <c r="E384" s="26"/>
      <c r="G384" s="54"/>
      <c r="N384" s="42"/>
    </row>
    <row r="385" spans="2:14" s="13" customFormat="1" x14ac:dyDescent="0.4">
      <c r="B385" s="25"/>
      <c r="D385" s="42"/>
      <c r="E385" s="26"/>
      <c r="G385" s="54"/>
      <c r="N385" s="42"/>
    </row>
    <row r="386" spans="2:14" s="13" customFormat="1" x14ac:dyDescent="0.4">
      <c r="B386" s="25"/>
      <c r="D386" s="42"/>
      <c r="E386" s="26"/>
      <c r="G386" s="54"/>
      <c r="N386" s="42"/>
    </row>
    <row r="387" spans="2:14" s="13" customFormat="1" x14ac:dyDescent="0.4">
      <c r="B387" s="25"/>
      <c r="D387" s="42"/>
      <c r="E387" s="26"/>
      <c r="G387" s="54"/>
      <c r="N387" s="42"/>
    </row>
    <row r="388" spans="2:14" s="13" customFormat="1" x14ac:dyDescent="0.4">
      <c r="B388" s="25"/>
      <c r="D388" s="42"/>
      <c r="E388" s="26"/>
      <c r="G388" s="54"/>
      <c r="N388" s="42"/>
    </row>
    <row r="389" spans="2:14" s="13" customFormat="1" x14ac:dyDescent="0.4">
      <c r="B389" s="25"/>
      <c r="D389" s="42"/>
      <c r="E389" s="26"/>
      <c r="G389" s="54"/>
      <c r="N389" s="42"/>
    </row>
    <row r="390" spans="2:14" s="13" customFormat="1" x14ac:dyDescent="0.4">
      <c r="B390" s="25"/>
      <c r="D390" s="42"/>
      <c r="E390" s="26"/>
      <c r="G390" s="54"/>
      <c r="N390" s="42"/>
    </row>
    <row r="391" spans="2:14" s="13" customFormat="1" x14ac:dyDescent="0.4">
      <c r="B391" s="25"/>
      <c r="D391" s="42"/>
      <c r="E391" s="26"/>
      <c r="G391" s="54"/>
      <c r="N391" s="42"/>
    </row>
    <row r="392" spans="2:14" s="13" customFormat="1" x14ac:dyDescent="0.4">
      <c r="B392" s="25"/>
      <c r="D392" s="42"/>
      <c r="E392" s="26"/>
      <c r="G392" s="54"/>
      <c r="N392" s="42"/>
    </row>
    <row r="393" spans="2:14" s="13" customFormat="1" x14ac:dyDescent="0.4">
      <c r="B393" s="25"/>
      <c r="D393" s="42"/>
      <c r="E393" s="26"/>
      <c r="G393" s="54"/>
      <c r="N393" s="42"/>
    </row>
    <row r="394" spans="2:14" s="13" customFormat="1" x14ac:dyDescent="0.4">
      <c r="B394" s="25"/>
      <c r="D394" s="42"/>
      <c r="E394" s="26"/>
      <c r="G394" s="54"/>
      <c r="N394" s="42"/>
    </row>
    <row r="395" spans="2:14" s="13" customFormat="1" x14ac:dyDescent="0.4">
      <c r="B395" s="25"/>
      <c r="D395" s="42"/>
      <c r="E395" s="26"/>
      <c r="G395" s="54"/>
      <c r="N395" s="42"/>
    </row>
    <row r="396" spans="2:14" s="13" customFormat="1" x14ac:dyDescent="0.4">
      <c r="B396" s="25"/>
      <c r="D396" s="42"/>
      <c r="E396" s="26"/>
      <c r="G396" s="54"/>
      <c r="N396" s="42"/>
    </row>
    <row r="397" spans="2:14" s="13" customFormat="1" x14ac:dyDescent="0.4">
      <c r="B397" s="25"/>
      <c r="D397" s="42"/>
      <c r="E397" s="26"/>
      <c r="G397" s="54"/>
      <c r="N397" s="42"/>
    </row>
    <row r="398" spans="2:14" s="13" customFormat="1" x14ac:dyDescent="0.4">
      <c r="B398" s="25"/>
      <c r="D398" s="42"/>
      <c r="E398" s="26"/>
      <c r="G398" s="54"/>
      <c r="N398" s="42"/>
    </row>
    <row r="399" spans="2:14" s="13" customFormat="1" x14ac:dyDescent="0.4">
      <c r="B399" s="25"/>
      <c r="D399" s="42"/>
      <c r="E399" s="26"/>
      <c r="G399" s="54"/>
      <c r="N399" s="42"/>
    </row>
    <row r="400" spans="2:14" s="13" customFormat="1" x14ac:dyDescent="0.4">
      <c r="B400" s="25"/>
      <c r="D400" s="42"/>
      <c r="E400" s="26"/>
      <c r="G400" s="54"/>
      <c r="N400" s="42"/>
    </row>
    <row r="401" spans="2:14" s="13" customFormat="1" x14ac:dyDescent="0.4">
      <c r="B401" s="25"/>
      <c r="D401" s="42"/>
      <c r="E401" s="26"/>
      <c r="G401" s="54"/>
      <c r="N401" s="42"/>
    </row>
    <row r="402" spans="2:14" s="13" customFormat="1" x14ac:dyDescent="0.4">
      <c r="B402" s="25"/>
      <c r="D402" s="42"/>
      <c r="E402" s="26"/>
      <c r="G402" s="54"/>
      <c r="N402" s="42"/>
    </row>
    <row r="403" spans="2:14" s="13" customFormat="1" x14ac:dyDescent="0.4">
      <c r="B403" s="25"/>
      <c r="D403" s="42"/>
      <c r="E403" s="26"/>
      <c r="G403" s="54"/>
      <c r="N403" s="42"/>
    </row>
    <row r="404" spans="2:14" s="13" customFormat="1" x14ac:dyDescent="0.4">
      <c r="B404" s="25"/>
      <c r="D404" s="42"/>
      <c r="E404" s="26"/>
      <c r="G404" s="54"/>
      <c r="N404" s="42"/>
    </row>
    <row r="405" spans="2:14" s="13" customFormat="1" x14ac:dyDescent="0.4">
      <c r="B405" s="25"/>
      <c r="D405" s="42"/>
      <c r="E405" s="26"/>
      <c r="G405" s="54"/>
      <c r="N405" s="42"/>
    </row>
    <row r="406" spans="2:14" s="13" customFormat="1" x14ac:dyDescent="0.4">
      <c r="B406" s="25"/>
      <c r="D406" s="42"/>
      <c r="E406" s="26"/>
      <c r="G406" s="54"/>
      <c r="N406" s="42"/>
    </row>
    <row r="407" spans="2:14" s="13" customFormat="1" x14ac:dyDescent="0.4">
      <c r="B407" s="25"/>
      <c r="D407" s="42"/>
      <c r="E407" s="26"/>
      <c r="G407" s="54"/>
      <c r="N407" s="42"/>
    </row>
    <row r="408" spans="2:14" s="13" customFormat="1" x14ac:dyDescent="0.4">
      <c r="B408" s="25"/>
      <c r="D408" s="42"/>
      <c r="E408" s="26"/>
      <c r="G408" s="54"/>
      <c r="N408" s="42"/>
    </row>
    <row r="409" spans="2:14" s="13" customFormat="1" x14ac:dyDescent="0.4">
      <c r="B409" s="25"/>
      <c r="D409" s="42"/>
      <c r="E409" s="26"/>
      <c r="G409" s="54"/>
      <c r="N409" s="42"/>
    </row>
    <row r="410" spans="2:14" s="13" customFormat="1" x14ac:dyDescent="0.4">
      <c r="B410" s="25"/>
      <c r="D410" s="42"/>
      <c r="E410" s="26"/>
      <c r="G410" s="54"/>
      <c r="N410" s="42"/>
    </row>
    <row r="411" spans="2:14" s="13" customFormat="1" x14ac:dyDescent="0.4">
      <c r="B411" s="25"/>
      <c r="D411" s="42"/>
      <c r="E411" s="26"/>
      <c r="G411" s="54"/>
      <c r="N411" s="42"/>
    </row>
    <row r="412" spans="2:14" s="13" customFormat="1" x14ac:dyDescent="0.4">
      <c r="B412" s="25"/>
      <c r="D412" s="42"/>
      <c r="E412" s="26"/>
      <c r="G412" s="54"/>
      <c r="N412" s="42"/>
    </row>
    <row r="413" spans="2:14" s="13" customFormat="1" x14ac:dyDescent="0.4">
      <c r="B413" s="25"/>
      <c r="D413" s="42"/>
      <c r="E413" s="26"/>
      <c r="G413" s="54"/>
      <c r="N413" s="42"/>
    </row>
    <row r="414" spans="2:14" s="13" customFormat="1" x14ac:dyDescent="0.4">
      <c r="B414" s="25"/>
      <c r="D414" s="42"/>
      <c r="E414" s="26"/>
      <c r="G414" s="54"/>
      <c r="N414" s="42"/>
    </row>
    <row r="415" spans="2:14" s="13" customFormat="1" x14ac:dyDescent="0.4">
      <c r="B415" s="25"/>
      <c r="D415" s="42"/>
      <c r="E415" s="26"/>
      <c r="G415" s="54"/>
      <c r="N415" s="42"/>
    </row>
    <row r="416" spans="2:14" s="13" customFormat="1" x14ac:dyDescent="0.4">
      <c r="B416" s="25"/>
      <c r="D416" s="42"/>
      <c r="E416" s="26"/>
      <c r="G416" s="54"/>
      <c r="N416" s="42"/>
    </row>
    <row r="417" spans="2:14" s="13" customFormat="1" x14ac:dyDescent="0.4">
      <c r="B417" s="25"/>
      <c r="D417" s="42"/>
      <c r="E417" s="26"/>
      <c r="G417" s="54"/>
      <c r="N417" s="42"/>
    </row>
    <row r="418" spans="2:14" s="13" customFormat="1" x14ac:dyDescent="0.4">
      <c r="B418" s="25"/>
      <c r="D418" s="42"/>
      <c r="E418" s="26"/>
      <c r="G418" s="54"/>
      <c r="N418" s="42"/>
    </row>
    <row r="419" spans="2:14" s="13" customFormat="1" x14ac:dyDescent="0.4">
      <c r="B419" s="25"/>
      <c r="D419" s="42"/>
      <c r="E419" s="26"/>
      <c r="G419" s="54"/>
      <c r="N419" s="42"/>
    </row>
    <row r="420" spans="2:14" s="13" customFormat="1" x14ac:dyDescent="0.4">
      <c r="B420" s="25"/>
      <c r="D420" s="42"/>
      <c r="E420" s="26"/>
      <c r="G420" s="54"/>
      <c r="N420" s="42"/>
    </row>
    <row r="421" spans="2:14" s="13" customFormat="1" x14ac:dyDescent="0.4">
      <c r="B421" s="25"/>
      <c r="D421" s="42"/>
      <c r="E421" s="26"/>
      <c r="G421" s="54"/>
      <c r="N421" s="42"/>
    </row>
    <row r="422" spans="2:14" s="13" customFormat="1" x14ac:dyDescent="0.4">
      <c r="B422" s="25"/>
      <c r="D422" s="42"/>
      <c r="E422" s="26"/>
      <c r="G422" s="54"/>
      <c r="N422" s="42"/>
    </row>
    <row r="423" spans="2:14" s="13" customFormat="1" x14ac:dyDescent="0.4">
      <c r="B423" s="25"/>
      <c r="D423" s="42"/>
      <c r="E423" s="26"/>
      <c r="G423" s="54"/>
      <c r="N423" s="42"/>
    </row>
    <row r="424" spans="2:14" s="13" customFormat="1" x14ac:dyDescent="0.4">
      <c r="B424" s="25"/>
      <c r="D424" s="42"/>
      <c r="E424" s="26"/>
      <c r="G424" s="54"/>
      <c r="N424" s="42"/>
    </row>
    <row r="425" spans="2:14" s="13" customFormat="1" x14ac:dyDescent="0.4">
      <c r="B425" s="25"/>
      <c r="D425" s="42"/>
      <c r="E425" s="26"/>
      <c r="G425" s="54"/>
      <c r="N425" s="42"/>
    </row>
    <row r="426" spans="2:14" s="13" customFormat="1" x14ac:dyDescent="0.4">
      <c r="B426" s="25"/>
      <c r="D426" s="42"/>
      <c r="E426" s="26"/>
      <c r="G426" s="54"/>
      <c r="N426" s="42"/>
    </row>
    <row r="427" spans="2:14" s="13" customFormat="1" x14ac:dyDescent="0.4">
      <c r="B427" s="25"/>
      <c r="D427" s="42"/>
      <c r="E427" s="26"/>
      <c r="G427" s="54"/>
      <c r="N427" s="42"/>
    </row>
    <row r="428" spans="2:14" s="13" customFormat="1" x14ac:dyDescent="0.4">
      <c r="B428" s="25"/>
      <c r="D428" s="42"/>
      <c r="E428" s="26"/>
      <c r="G428" s="54"/>
      <c r="N428" s="42"/>
    </row>
    <row r="429" spans="2:14" s="13" customFormat="1" x14ac:dyDescent="0.4">
      <c r="B429" s="25"/>
      <c r="D429" s="42"/>
      <c r="E429" s="26"/>
      <c r="G429" s="54"/>
      <c r="N429" s="42"/>
    </row>
    <row r="430" spans="2:14" s="13" customFormat="1" x14ac:dyDescent="0.4">
      <c r="B430" s="25"/>
      <c r="D430" s="42"/>
      <c r="E430" s="26"/>
      <c r="G430" s="54"/>
      <c r="N430" s="42"/>
    </row>
    <row r="431" spans="2:14" s="13" customFormat="1" x14ac:dyDescent="0.4">
      <c r="B431" s="25"/>
      <c r="D431" s="42"/>
      <c r="E431" s="26"/>
      <c r="G431" s="54"/>
      <c r="N431" s="42"/>
    </row>
    <row r="432" spans="2:14" s="13" customFormat="1" x14ac:dyDescent="0.4">
      <c r="B432" s="25"/>
      <c r="D432" s="42"/>
      <c r="E432" s="26"/>
      <c r="G432" s="54"/>
      <c r="N432" s="42"/>
    </row>
    <row r="433" spans="2:14" s="13" customFormat="1" x14ac:dyDescent="0.4">
      <c r="B433" s="25"/>
      <c r="D433" s="42"/>
      <c r="E433" s="26"/>
      <c r="G433" s="54"/>
      <c r="N433" s="42"/>
    </row>
    <row r="434" spans="2:14" s="13" customFormat="1" x14ac:dyDescent="0.4">
      <c r="B434" s="25"/>
      <c r="D434" s="42"/>
      <c r="E434" s="26"/>
      <c r="G434" s="54"/>
      <c r="N434" s="42"/>
    </row>
    <row r="435" spans="2:14" s="13" customFormat="1" x14ac:dyDescent="0.4">
      <c r="B435" s="25"/>
      <c r="D435" s="42"/>
      <c r="E435" s="26"/>
      <c r="G435" s="54"/>
      <c r="N435" s="42"/>
    </row>
    <row r="436" spans="2:14" s="13" customFormat="1" x14ac:dyDescent="0.4">
      <c r="B436" s="25"/>
      <c r="D436" s="42"/>
      <c r="E436" s="26"/>
      <c r="G436" s="54"/>
      <c r="N436" s="42"/>
    </row>
    <row r="437" spans="2:14" s="13" customFormat="1" x14ac:dyDescent="0.4">
      <c r="B437" s="25"/>
      <c r="D437" s="42"/>
      <c r="E437" s="26"/>
      <c r="G437" s="54"/>
      <c r="N437" s="42"/>
    </row>
    <row r="438" spans="2:14" s="13" customFormat="1" x14ac:dyDescent="0.4">
      <c r="B438" s="25"/>
      <c r="D438" s="42"/>
      <c r="E438" s="26"/>
      <c r="G438" s="54"/>
      <c r="N438" s="42"/>
    </row>
    <row r="439" spans="2:14" s="13" customFormat="1" x14ac:dyDescent="0.4">
      <c r="B439" s="25"/>
      <c r="D439" s="42"/>
      <c r="E439" s="26"/>
      <c r="G439" s="54"/>
      <c r="N439" s="42"/>
    </row>
    <row r="440" spans="2:14" s="13" customFormat="1" x14ac:dyDescent="0.4">
      <c r="B440" s="25"/>
      <c r="D440" s="42"/>
      <c r="E440" s="26"/>
      <c r="G440" s="54"/>
      <c r="N440" s="42"/>
    </row>
    <row r="441" spans="2:14" s="13" customFormat="1" x14ac:dyDescent="0.4">
      <c r="B441" s="25"/>
      <c r="D441" s="42"/>
      <c r="E441" s="26"/>
      <c r="G441" s="54"/>
      <c r="N441" s="42"/>
    </row>
    <row r="442" spans="2:14" s="13" customFormat="1" x14ac:dyDescent="0.4">
      <c r="B442" s="25"/>
      <c r="D442" s="42"/>
      <c r="E442" s="26"/>
      <c r="G442" s="54"/>
      <c r="N442" s="42"/>
    </row>
    <row r="443" spans="2:14" s="13" customFormat="1" x14ac:dyDescent="0.4">
      <c r="B443" s="25"/>
      <c r="D443" s="42"/>
      <c r="E443" s="26"/>
      <c r="G443" s="54"/>
      <c r="N443" s="42"/>
    </row>
    <row r="444" spans="2:14" s="13" customFormat="1" x14ac:dyDescent="0.4">
      <c r="B444" s="25"/>
      <c r="D444" s="42"/>
      <c r="E444" s="26"/>
      <c r="G444" s="54"/>
      <c r="N444" s="42"/>
    </row>
    <row r="445" spans="2:14" s="13" customFormat="1" x14ac:dyDescent="0.4">
      <c r="B445" s="25"/>
      <c r="D445" s="42"/>
      <c r="E445" s="26"/>
      <c r="G445" s="54"/>
      <c r="N445" s="42"/>
    </row>
    <row r="446" spans="2:14" s="13" customFormat="1" x14ac:dyDescent="0.4">
      <c r="B446" s="25"/>
      <c r="D446" s="42"/>
      <c r="E446" s="26"/>
      <c r="G446" s="54"/>
      <c r="N446" s="42"/>
    </row>
    <row r="447" spans="2:14" s="13" customFormat="1" x14ac:dyDescent="0.4">
      <c r="B447" s="25"/>
      <c r="D447" s="42"/>
      <c r="E447" s="26"/>
      <c r="G447" s="54"/>
      <c r="N447" s="42"/>
    </row>
    <row r="448" spans="2:14" s="13" customFormat="1" x14ac:dyDescent="0.4">
      <c r="B448" s="25"/>
      <c r="D448" s="42"/>
      <c r="E448" s="26"/>
      <c r="G448" s="54"/>
      <c r="N448" s="42"/>
    </row>
    <row r="449" spans="2:14" s="13" customFormat="1" x14ac:dyDescent="0.4">
      <c r="B449" s="25"/>
      <c r="D449" s="42"/>
      <c r="E449" s="26"/>
      <c r="G449" s="54"/>
      <c r="N449" s="42"/>
    </row>
    <row r="450" spans="2:14" s="13" customFormat="1" x14ac:dyDescent="0.4">
      <c r="B450" s="25"/>
      <c r="D450" s="42"/>
      <c r="E450" s="26"/>
      <c r="G450" s="54"/>
      <c r="N450" s="42"/>
    </row>
    <row r="451" spans="2:14" s="13" customFormat="1" x14ac:dyDescent="0.4">
      <c r="B451" s="25"/>
      <c r="D451" s="42"/>
      <c r="E451" s="26"/>
      <c r="G451" s="54"/>
      <c r="N451" s="42"/>
    </row>
    <row r="452" spans="2:14" s="13" customFormat="1" x14ac:dyDescent="0.4">
      <c r="B452" s="25"/>
      <c r="D452" s="42"/>
      <c r="E452" s="26"/>
      <c r="G452" s="54"/>
      <c r="N452" s="42"/>
    </row>
    <row r="453" spans="2:14" s="13" customFormat="1" x14ac:dyDescent="0.4">
      <c r="B453" s="25"/>
      <c r="D453" s="42"/>
      <c r="E453" s="26"/>
      <c r="G453" s="54"/>
      <c r="N453" s="42"/>
    </row>
    <row r="454" spans="2:14" s="13" customFormat="1" x14ac:dyDescent="0.4">
      <c r="B454" s="25"/>
      <c r="D454" s="42"/>
      <c r="E454" s="26"/>
      <c r="G454" s="54"/>
      <c r="N454" s="42"/>
    </row>
    <row r="455" spans="2:14" s="13" customFormat="1" x14ac:dyDescent="0.4">
      <c r="B455" s="25"/>
      <c r="D455" s="42"/>
      <c r="E455" s="26"/>
      <c r="G455" s="54"/>
      <c r="N455" s="42"/>
    </row>
    <row r="456" spans="2:14" s="13" customFormat="1" x14ac:dyDescent="0.4">
      <c r="B456" s="25"/>
      <c r="D456" s="42"/>
      <c r="E456" s="26"/>
      <c r="G456" s="54"/>
      <c r="N456" s="42"/>
    </row>
    <row r="457" spans="2:14" s="13" customFormat="1" x14ac:dyDescent="0.4">
      <c r="B457" s="25"/>
      <c r="D457" s="42"/>
      <c r="E457" s="26"/>
      <c r="G457" s="54"/>
      <c r="N457" s="42"/>
    </row>
    <row r="458" spans="2:14" s="13" customFormat="1" x14ac:dyDescent="0.4">
      <c r="B458" s="25"/>
      <c r="D458" s="42"/>
      <c r="E458" s="26"/>
      <c r="G458" s="54"/>
      <c r="N458" s="42"/>
    </row>
    <row r="459" spans="2:14" s="13" customFormat="1" x14ac:dyDescent="0.4">
      <c r="B459" s="25"/>
      <c r="D459" s="42"/>
      <c r="E459" s="26"/>
      <c r="G459" s="54"/>
      <c r="N459" s="42"/>
    </row>
    <row r="460" spans="2:14" s="13" customFormat="1" x14ac:dyDescent="0.4">
      <c r="B460" s="25"/>
      <c r="D460" s="42"/>
      <c r="E460" s="26"/>
      <c r="G460" s="54"/>
      <c r="N460" s="42"/>
    </row>
    <row r="461" spans="2:14" s="13" customFormat="1" x14ac:dyDescent="0.4">
      <c r="B461" s="25"/>
      <c r="D461" s="42"/>
      <c r="E461" s="26"/>
      <c r="G461" s="54"/>
      <c r="N461" s="42"/>
    </row>
    <row r="462" spans="2:14" s="13" customFormat="1" x14ac:dyDescent="0.4">
      <c r="B462" s="25"/>
      <c r="D462" s="42"/>
      <c r="E462" s="26"/>
      <c r="G462" s="54"/>
      <c r="N462" s="42"/>
    </row>
    <row r="463" spans="2:14" s="13" customFormat="1" x14ac:dyDescent="0.4">
      <c r="B463" s="25"/>
      <c r="D463" s="42"/>
      <c r="E463" s="26"/>
      <c r="G463" s="54"/>
      <c r="N463" s="42"/>
    </row>
    <row r="464" spans="2:14" s="13" customFormat="1" x14ac:dyDescent="0.4">
      <c r="B464" s="25"/>
      <c r="D464" s="42"/>
      <c r="E464" s="26"/>
      <c r="G464" s="54"/>
      <c r="N464" s="42"/>
    </row>
    <row r="465" spans="2:14" s="13" customFormat="1" x14ac:dyDescent="0.4">
      <c r="B465" s="25"/>
      <c r="D465" s="42"/>
      <c r="E465" s="26"/>
      <c r="G465" s="54"/>
      <c r="N465" s="42"/>
    </row>
    <row r="466" spans="2:14" s="13" customFormat="1" x14ac:dyDescent="0.4">
      <c r="B466" s="25"/>
      <c r="D466" s="42"/>
      <c r="E466" s="26"/>
      <c r="G466" s="54"/>
      <c r="N466" s="42"/>
    </row>
    <row r="467" spans="2:14" s="13" customFormat="1" x14ac:dyDescent="0.4">
      <c r="B467" s="25"/>
      <c r="D467" s="42"/>
      <c r="E467" s="26"/>
      <c r="G467" s="54"/>
      <c r="N467" s="42"/>
    </row>
    <row r="468" spans="2:14" s="13" customFormat="1" x14ac:dyDescent="0.4">
      <c r="B468" s="25"/>
      <c r="D468" s="42"/>
      <c r="E468" s="26"/>
      <c r="G468" s="54"/>
      <c r="N468" s="42"/>
    </row>
    <row r="469" spans="2:14" s="13" customFormat="1" x14ac:dyDescent="0.4">
      <c r="B469" s="25"/>
      <c r="D469" s="42"/>
      <c r="E469" s="26"/>
      <c r="G469" s="54"/>
      <c r="N469" s="42"/>
    </row>
    <row r="470" spans="2:14" s="13" customFormat="1" x14ac:dyDescent="0.4">
      <c r="B470" s="25"/>
      <c r="D470" s="42"/>
      <c r="E470" s="26"/>
      <c r="G470" s="54"/>
      <c r="N470" s="42"/>
    </row>
    <row r="471" spans="2:14" s="13" customFormat="1" x14ac:dyDescent="0.4">
      <c r="B471" s="25"/>
      <c r="D471" s="42"/>
      <c r="E471" s="26"/>
      <c r="G471" s="54"/>
      <c r="N471" s="42"/>
    </row>
    <row r="472" spans="2:14" s="13" customFormat="1" x14ac:dyDescent="0.4">
      <c r="B472" s="25"/>
      <c r="D472" s="42"/>
      <c r="E472" s="26"/>
      <c r="G472" s="54"/>
      <c r="N472" s="42"/>
    </row>
    <row r="473" spans="2:14" s="13" customFormat="1" x14ac:dyDescent="0.4">
      <c r="B473" s="25"/>
      <c r="D473" s="42"/>
      <c r="E473" s="26"/>
      <c r="G473" s="54"/>
      <c r="N473" s="42"/>
    </row>
    <row r="474" spans="2:14" s="13" customFormat="1" x14ac:dyDescent="0.4">
      <c r="B474" s="25"/>
      <c r="D474" s="42"/>
      <c r="E474" s="26"/>
      <c r="G474" s="54"/>
      <c r="N474" s="42"/>
    </row>
    <row r="475" spans="2:14" s="13" customFormat="1" x14ac:dyDescent="0.4">
      <c r="B475" s="25"/>
      <c r="D475" s="42"/>
      <c r="E475" s="26"/>
      <c r="G475" s="54"/>
      <c r="N475" s="42"/>
    </row>
    <row r="476" spans="2:14" s="13" customFormat="1" x14ac:dyDescent="0.4">
      <c r="B476" s="25"/>
      <c r="D476" s="42"/>
      <c r="E476" s="26"/>
      <c r="G476" s="54"/>
      <c r="N476" s="42"/>
    </row>
    <row r="477" spans="2:14" s="13" customFormat="1" x14ac:dyDescent="0.4">
      <c r="B477" s="25"/>
      <c r="D477" s="42"/>
      <c r="E477" s="26"/>
      <c r="G477" s="54"/>
      <c r="N477" s="42"/>
    </row>
    <row r="478" spans="2:14" s="13" customFormat="1" x14ac:dyDescent="0.4">
      <c r="B478" s="25"/>
      <c r="D478" s="42"/>
      <c r="E478" s="26"/>
      <c r="G478" s="54"/>
      <c r="N478" s="42"/>
    </row>
    <row r="479" spans="2:14" s="13" customFormat="1" x14ac:dyDescent="0.4">
      <c r="B479" s="25"/>
      <c r="D479" s="42"/>
      <c r="E479" s="26"/>
      <c r="G479" s="54"/>
      <c r="N479" s="42"/>
    </row>
    <row r="480" spans="2:14" s="13" customFormat="1" x14ac:dyDescent="0.4">
      <c r="B480" s="25"/>
      <c r="D480" s="42"/>
      <c r="E480" s="26"/>
      <c r="G480" s="54"/>
      <c r="N480" s="42"/>
    </row>
    <row r="481" spans="2:14" s="13" customFormat="1" x14ac:dyDescent="0.4">
      <c r="B481" s="25"/>
      <c r="D481" s="42"/>
      <c r="E481" s="26"/>
      <c r="G481" s="54"/>
      <c r="N481" s="42"/>
    </row>
    <row r="482" spans="2:14" s="13" customFormat="1" x14ac:dyDescent="0.4">
      <c r="B482" s="25"/>
      <c r="D482" s="42"/>
      <c r="E482" s="26"/>
      <c r="G482" s="54"/>
      <c r="N482" s="42"/>
    </row>
    <row r="483" spans="2:14" s="13" customFormat="1" x14ac:dyDescent="0.4">
      <c r="B483" s="25"/>
      <c r="D483" s="42"/>
      <c r="E483" s="26"/>
      <c r="G483" s="54"/>
      <c r="N483" s="42"/>
    </row>
    <row r="484" spans="2:14" s="13" customFormat="1" x14ac:dyDescent="0.4">
      <c r="B484" s="25"/>
      <c r="D484" s="42"/>
      <c r="E484" s="26"/>
      <c r="G484" s="54"/>
      <c r="N484" s="42"/>
    </row>
    <row r="485" spans="2:14" s="13" customFormat="1" x14ac:dyDescent="0.4">
      <c r="B485" s="25"/>
      <c r="D485" s="42"/>
      <c r="E485" s="26"/>
      <c r="G485" s="54"/>
      <c r="N485" s="42"/>
    </row>
    <row r="486" spans="2:14" s="13" customFormat="1" x14ac:dyDescent="0.4">
      <c r="B486" s="25"/>
      <c r="D486" s="42"/>
      <c r="E486" s="26"/>
      <c r="G486" s="54"/>
      <c r="N486" s="42"/>
    </row>
    <row r="487" spans="2:14" s="13" customFormat="1" x14ac:dyDescent="0.4">
      <c r="B487" s="25"/>
      <c r="D487" s="42"/>
      <c r="E487" s="26"/>
      <c r="G487" s="54"/>
      <c r="N487" s="42"/>
    </row>
    <row r="488" spans="2:14" s="13" customFormat="1" x14ac:dyDescent="0.4">
      <c r="B488" s="25"/>
      <c r="D488" s="42"/>
      <c r="E488" s="26"/>
      <c r="G488" s="54"/>
      <c r="N488" s="42"/>
    </row>
    <row r="489" spans="2:14" s="13" customFormat="1" x14ac:dyDescent="0.4">
      <c r="B489" s="25"/>
      <c r="D489" s="42"/>
      <c r="E489" s="26"/>
      <c r="G489" s="54"/>
      <c r="N489" s="42"/>
    </row>
    <row r="490" spans="2:14" s="13" customFormat="1" x14ac:dyDescent="0.4">
      <c r="B490" s="25"/>
      <c r="D490" s="42"/>
      <c r="E490" s="26"/>
      <c r="G490" s="54"/>
      <c r="N490" s="42"/>
    </row>
    <row r="491" spans="2:14" s="13" customFormat="1" x14ac:dyDescent="0.4">
      <c r="B491" s="25"/>
      <c r="D491" s="42"/>
      <c r="E491" s="26"/>
      <c r="G491" s="54"/>
      <c r="N491" s="42"/>
    </row>
    <row r="492" spans="2:14" s="13" customFormat="1" x14ac:dyDescent="0.4">
      <c r="B492" s="25"/>
      <c r="D492" s="42"/>
      <c r="E492" s="26"/>
      <c r="G492" s="54"/>
      <c r="N492" s="42"/>
    </row>
    <row r="493" spans="2:14" s="13" customFormat="1" x14ac:dyDescent="0.4">
      <c r="B493" s="25"/>
      <c r="D493" s="42"/>
      <c r="E493" s="26"/>
      <c r="G493" s="54"/>
      <c r="N493" s="42"/>
    </row>
    <row r="494" spans="2:14" s="13" customFormat="1" x14ac:dyDescent="0.4">
      <c r="B494" s="25"/>
      <c r="D494" s="42"/>
      <c r="E494" s="26"/>
      <c r="G494" s="54"/>
      <c r="N494" s="42"/>
    </row>
    <row r="495" spans="2:14" s="13" customFormat="1" x14ac:dyDescent="0.4">
      <c r="B495" s="25"/>
      <c r="D495" s="42"/>
      <c r="E495" s="26"/>
      <c r="G495" s="54"/>
      <c r="N495" s="42"/>
    </row>
    <row r="496" spans="2:14" s="13" customFormat="1" x14ac:dyDescent="0.4">
      <c r="B496" s="25"/>
      <c r="D496" s="42"/>
      <c r="E496" s="26"/>
      <c r="G496" s="54"/>
      <c r="N496" s="42"/>
    </row>
    <row r="497" spans="2:14" s="13" customFormat="1" x14ac:dyDescent="0.4">
      <c r="B497" s="25"/>
      <c r="D497" s="42"/>
      <c r="E497" s="26"/>
      <c r="G497" s="54"/>
      <c r="N497" s="42"/>
    </row>
    <row r="498" spans="2:14" s="13" customFormat="1" x14ac:dyDescent="0.4">
      <c r="B498" s="25"/>
      <c r="D498" s="42"/>
      <c r="E498" s="26"/>
      <c r="G498" s="54"/>
      <c r="N498" s="42"/>
    </row>
    <row r="499" spans="2:14" s="13" customFormat="1" x14ac:dyDescent="0.4">
      <c r="B499" s="25"/>
      <c r="D499" s="42"/>
      <c r="E499" s="26"/>
      <c r="G499" s="54"/>
      <c r="N499" s="42"/>
    </row>
    <row r="500" spans="2:14" s="13" customFormat="1" x14ac:dyDescent="0.4">
      <c r="B500" s="25"/>
      <c r="D500" s="42"/>
      <c r="E500" s="26"/>
      <c r="G500" s="54"/>
      <c r="N500" s="42"/>
    </row>
    <row r="501" spans="2:14" s="13" customFormat="1" x14ac:dyDescent="0.4">
      <c r="B501" s="25"/>
      <c r="D501" s="42"/>
      <c r="E501" s="26"/>
      <c r="G501" s="54"/>
      <c r="N501" s="42"/>
    </row>
    <row r="502" spans="2:14" s="13" customFormat="1" x14ac:dyDescent="0.4">
      <c r="B502" s="25"/>
      <c r="D502" s="42"/>
      <c r="E502" s="26"/>
      <c r="G502" s="54"/>
      <c r="N502" s="42"/>
    </row>
    <row r="503" spans="2:14" s="13" customFormat="1" x14ac:dyDescent="0.4">
      <c r="B503" s="25"/>
      <c r="D503" s="42"/>
      <c r="E503" s="26"/>
      <c r="G503" s="54"/>
      <c r="N503" s="42"/>
    </row>
    <row r="504" spans="2:14" s="13" customFormat="1" x14ac:dyDescent="0.4">
      <c r="B504" s="25"/>
      <c r="D504" s="42"/>
      <c r="E504" s="26"/>
      <c r="G504" s="54"/>
      <c r="N504" s="42"/>
    </row>
    <row r="505" spans="2:14" s="13" customFormat="1" x14ac:dyDescent="0.4">
      <c r="B505" s="25"/>
      <c r="D505" s="42"/>
      <c r="E505" s="26"/>
      <c r="G505" s="54"/>
      <c r="N505" s="42"/>
    </row>
    <row r="506" spans="2:14" s="13" customFormat="1" x14ac:dyDescent="0.4">
      <c r="B506" s="25"/>
      <c r="D506" s="42"/>
      <c r="E506" s="26"/>
      <c r="G506" s="54"/>
      <c r="N506" s="42"/>
    </row>
    <row r="507" spans="2:14" s="13" customFormat="1" x14ac:dyDescent="0.4">
      <c r="B507" s="25"/>
      <c r="D507" s="42"/>
      <c r="E507" s="26"/>
      <c r="G507" s="54"/>
      <c r="N507" s="42"/>
    </row>
    <row r="508" spans="2:14" s="13" customFormat="1" x14ac:dyDescent="0.4">
      <c r="B508" s="25"/>
      <c r="D508" s="42"/>
      <c r="E508" s="26"/>
      <c r="G508" s="54"/>
      <c r="N508" s="42"/>
    </row>
    <row r="509" spans="2:14" s="13" customFormat="1" x14ac:dyDescent="0.4">
      <c r="B509" s="25"/>
      <c r="D509" s="42"/>
      <c r="E509" s="26"/>
      <c r="G509" s="54"/>
      <c r="N509" s="42"/>
    </row>
    <row r="510" spans="2:14" s="13" customFormat="1" x14ac:dyDescent="0.4">
      <c r="B510" s="25"/>
      <c r="D510" s="42"/>
      <c r="E510" s="26"/>
      <c r="G510" s="54"/>
      <c r="N510" s="42"/>
    </row>
    <row r="511" spans="2:14" s="13" customFormat="1" x14ac:dyDescent="0.4">
      <c r="B511" s="25"/>
      <c r="D511" s="42"/>
      <c r="E511" s="26"/>
      <c r="G511" s="54"/>
      <c r="N511" s="42"/>
    </row>
    <row r="512" spans="2:14" s="13" customFormat="1" x14ac:dyDescent="0.4">
      <c r="B512" s="25"/>
      <c r="D512" s="42"/>
      <c r="E512" s="26"/>
      <c r="G512" s="54"/>
      <c r="N512" s="42"/>
    </row>
    <row r="513" spans="2:14" s="13" customFormat="1" x14ac:dyDescent="0.4">
      <c r="B513" s="25"/>
      <c r="D513" s="42"/>
      <c r="E513" s="26"/>
      <c r="G513" s="54"/>
      <c r="N513" s="42"/>
    </row>
    <row r="514" spans="2:14" s="13" customFormat="1" x14ac:dyDescent="0.4">
      <c r="B514" s="25"/>
      <c r="D514" s="42"/>
      <c r="E514" s="26"/>
      <c r="G514" s="54"/>
      <c r="N514" s="42"/>
    </row>
    <row r="515" spans="2:14" s="13" customFormat="1" x14ac:dyDescent="0.4">
      <c r="B515" s="25"/>
      <c r="D515" s="42"/>
      <c r="E515" s="26"/>
      <c r="G515" s="54"/>
      <c r="N515" s="42"/>
    </row>
    <row r="516" spans="2:14" s="13" customFormat="1" x14ac:dyDescent="0.4">
      <c r="B516" s="25"/>
      <c r="D516" s="42"/>
      <c r="E516" s="26"/>
      <c r="G516" s="54"/>
      <c r="N516" s="42"/>
    </row>
    <row r="517" spans="2:14" s="13" customFormat="1" x14ac:dyDescent="0.4">
      <c r="B517" s="25"/>
      <c r="D517" s="42"/>
      <c r="E517" s="26"/>
      <c r="G517" s="54"/>
      <c r="N517" s="42"/>
    </row>
    <row r="518" spans="2:14" s="13" customFormat="1" x14ac:dyDescent="0.4">
      <c r="B518" s="25"/>
      <c r="D518" s="42"/>
      <c r="E518" s="26"/>
      <c r="G518" s="54"/>
      <c r="N518" s="42"/>
    </row>
    <row r="519" spans="2:14" s="13" customFormat="1" x14ac:dyDescent="0.4">
      <c r="B519" s="25"/>
      <c r="D519" s="42"/>
      <c r="E519" s="26"/>
      <c r="G519" s="54"/>
      <c r="N519" s="42"/>
    </row>
    <row r="520" spans="2:14" s="13" customFormat="1" x14ac:dyDescent="0.4">
      <c r="B520" s="25"/>
      <c r="D520" s="42"/>
      <c r="E520" s="26"/>
      <c r="G520" s="54"/>
      <c r="N520" s="42"/>
    </row>
    <row r="521" spans="2:14" s="13" customFormat="1" x14ac:dyDescent="0.4">
      <c r="B521" s="25"/>
      <c r="D521" s="42"/>
      <c r="E521" s="26"/>
      <c r="G521" s="54"/>
      <c r="N521" s="42"/>
    </row>
    <row r="522" spans="2:14" s="13" customFormat="1" x14ac:dyDescent="0.4">
      <c r="B522" s="25"/>
      <c r="D522" s="42"/>
      <c r="E522" s="26"/>
      <c r="G522" s="54"/>
      <c r="N522" s="42"/>
    </row>
    <row r="523" spans="2:14" s="13" customFormat="1" x14ac:dyDescent="0.4">
      <c r="B523" s="25"/>
      <c r="D523" s="42"/>
      <c r="E523" s="26"/>
      <c r="G523" s="54"/>
      <c r="N523" s="42"/>
    </row>
    <row r="524" spans="2:14" s="13" customFormat="1" x14ac:dyDescent="0.4">
      <c r="B524" s="25"/>
      <c r="D524" s="42"/>
      <c r="E524" s="26"/>
      <c r="G524" s="54"/>
      <c r="N524" s="42"/>
    </row>
    <row r="525" spans="2:14" s="13" customFormat="1" x14ac:dyDescent="0.4">
      <c r="B525" s="25"/>
      <c r="D525" s="42"/>
      <c r="E525" s="26"/>
      <c r="G525" s="54"/>
      <c r="N525" s="42"/>
    </row>
    <row r="526" spans="2:14" s="13" customFormat="1" x14ac:dyDescent="0.4">
      <c r="B526" s="25"/>
      <c r="D526" s="42"/>
      <c r="E526" s="26"/>
      <c r="G526" s="54"/>
      <c r="N526" s="42"/>
    </row>
    <row r="527" spans="2:14" s="13" customFormat="1" x14ac:dyDescent="0.4">
      <c r="B527" s="25"/>
      <c r="D527" s="42"/>
      <c r="E527" s="26"/>
      <c r="G527" s="54"/>
      <c r="N527" s="42"/>
    </row>
    <row r="528" spans="2:14" s="13" customFormat="1" x14ac:dyDescent="0.4">
      <c r="B528" s="25"/>
      <c r="D528" s="42"/>
      <c r="E528" s="26"/>
      <c r="G528" s="54"/>
      <c r="N528" s="42"/>
    </row>
    <row r="529" spans="2:14" s="13" customFormat="1" x14ac:dyDescent="0.4">
      <c r="B529" s="25"/>
      <c r="D529" s="42"/>
      <c r="E529" s="26"/>
      <c r="G529" s="54"/>
      <c r="N529" s="42"/>
    </row>
    <row r="530" spans="2:14" s="13" customFormat="1" x14ac:dyDescent="0.4">
      <c r="B530" s="25"/>
      <c r="D530" s="42"/>
      <c r="E530" s="26"/>
      <c r="G530" s="54"/>
      <c r="N530" s="42"/>
    </row>
    <row r="531" spans="2:14" s="13" customFormat="1" x14ac:dyDescent="0.4">
      <c r="B531" s="25"/>
      <c r="D531" s="42"/>
      <c r="E531" s="26"/>
      <c r="G531" s="54"/>
      <c r="N531" s="42"/>
    </row>
    <row r="532" spans="2:14" s="13" customFormat="1" x14ac:dyDescent="0.4">
      <c r="B532" s="25"/>
      <c r="D532" s="42"/>
      <c r="E532" s="26"/>
      <c r="G532" s="54"/>
      <c r="N532" s="42"/>
    </row>
    <row r="533" spans="2:14" s="13" customFormat="1" x14ac:dyDescent="0.4">
      <c r="B533" s="25"/>
      <c r="D533" s="42"/>
      <c r="E533" s="26"/>
      <c r="G533" s="54"/>
      <c r="N533" s="42"/>
    </row>
    <row r="534" spans="2:14" s="13" customFormat="1" x14ac:dyDescent="0.4">
      <c r="B534" s="25"/>
      <c r="D534" s="42"/>
      <c r="E534" s="26"/>
      <c r="G534" s="54"/>
      <c r="N534" s="42"/>
    </row>
    <row r="535" spans="2:14" s="13" customFormat="1" x14ac:dyDescent="0.4">
      <c r="B535" s="25"/>
      <c r="D535" s="42"/>
      <c r="E535" s="26"/>
      <c r="G535" s="54"/>
      <c r="N535" s="42"/>
    </row>
    <row r="536" spans="2:14" s="13" customFormat="1" x14ac:dyDescent="0.4">
      <c r="B536" s="25"/>
      <c r="D536" s="42"/>
      <c r="E536" s="26"/>
      <c r="G536" s="54"/>
      <c r="N536" s="42"/>
    </row>
    <row r="537" spans="2:14" s="13" customFormat="1" x14ac:dyDescent="0.4">
      <c r="B537" s="25"/>
      <c r="D537" s="42"/>
      <c r="E537" s="26"/>
      <c r="G537" s="54"/>
      <c r="N537" s="42"/>
    </row>
    <row r="538" spans="2:14" s="13" customFormat="1" x14ac:dyDescent="0.4">
      <c r="B538" s="25"/>
      <c r="D538" s="42"/>
      <c r="E538" s="26"/>
      <c r="G538" s="54"/>
      <c r="N538" s="42"/>
    </row>
    <row r="539" spans="2:14" s="13" customFormat="1" x14ac:dyDescent="0.4">
      <c r="B539" s="25"/>
      <c r="D539" s="42"/>
      <c r="E539" s="26"/>
      <c r="G539" s="54"/>
      <c r="N539" s="42"/>
    </row>
    <row r="540" spans="2:14" s="13" customFormat="1" x14ac:dyDescent="0.4">
      <c r="B540" s="25"/>
      <c r="D540" s="42"/>
      <c r="E540" s="26"/>
      <c r="G540" s="54"/>
      <c r="N540" s="42"/>
    </row>
    <row r="541" spans="2:14" s="13" customFormat="1" x14ac:dyDescent="0.4">
      <c r="B541" s="25"/>
      <c r="D541" s="42"/>
      <c r="E541" s="26"/>
      <c r="G541" s="54"/>
      <c r="N541" s="42"/>
    </row>
    <row r="542" spans="2:14" s="13" customFormat="1" x14ac:dyDescent="0.4">
      <c r="B542" s="25"/>
      <c r="D542" s="42"/>
      <c r="E542" s="26"/>
      <c r="G542" s="54"/>
      <c r="N542" s="42"/>
    </row>
    <row r="543" spans="2:14" s="13" customFormat="1" x14ac:dyDescent="0.4">
      <c r="B543" s="25"/>
      <c r="D543" s="42"/>
      <c r="E543" s="26"/>
      <c r="G543" s="54"/>
      <c r="N543" s="42"/>
    </row>
    <row r="544" spans="2:14" s="13" customFormat="1" x14ac:dyDescent="0.4">
      <c r="B544" s="25"/>
      <c r="D544" s="42"/>
      <c r="E544" s="26"/>
      <c r="G544" s="54"/>
      <c r="N544" s="42"/>
    </row>
    <row r="545" spans="2:14" s="13" customFormat="1" x14ac:dyDescent="0.4">
      <c r="B545" s="25"/>
      <c r="D545" s="42"/>
      <c r="E545" s="26"/>
      <c r="G545" s="54"/>
      <c r="N545" s="42"/>
    </row>
    <row r="546" spans="2:14" s="13" customFormat="1" x14ac:dyDescent="0.4">
      <c r="B546" s="25"/>
      <c r="D546" s="42"/>
      <c r="E546" s="26"/>
      <c r="G546" s="54"/>
      <c r="N546" s="42"/>
    </row>
    <row r="547" spans="2:14" s="13" customFormat="1" x14ac:dyDescent="0.4">
      <c r="B547" s="25"/>
      <c r="D547" s="42"/>
      <c r="E547" s="26"/>
      <c r="G547" s="54"/>
      <c r="N547" s="42"/>
    </row>
    <row r="548" spans="2:14" s="13" customFormat="1" x14ac:dyDescent="0.4">
      <c r="B548" s="25"/>
      <c r="D548" s="42"/>
      <c r="E548" s="26"/>
      <c r="G548" s="54"/>
      <c r="N548" s="42"/>
    </row>
    <row r="549" spans="2:14" s="13" customFormat="1" x14ac:dyDescent="0.4">
      <c r="B549" s="25"/>
      <c r="D549" s="42"/>
      <c r="E549" s="26"/>
      <c r="G549" s="54"/>
      <c r="N549" s="42"/>
    </row>
    <row r="550" spans="2:14" s="13" customFormat="1" x14ac:dyDescent="0.4">
      <c r="B550" s="25"/>
      <c r="D550" s="42"/>
      <c r="E550" s="26"/>
      <c r="G550" s="54"/>
      <c r="N550" s="42"/>
    </row>
    <row r="551" spans="2:14" s="13" customFormat="1" x14ac:dyDescent="0.4">
      <c r="B551" s="25"/>
      <c r="D551" s="42"/>
      <c r="E551" s="26"/>
      <c r="G551" s="54"/>
      <c r="N551" s="42"/>
    </row>
    <row r="552" spans="2:14" s="13" customFormat="1" x14ac:dyDescent="0.4">
      <c r="B552" s="25"/>
      <c r="D552" s="42"/>
      <c r="E552" s="26"/>
      <c r="G552" s="54"/>
      <c r="N552" s="42"/>
    </row>
    <row r="553" spans="2:14" s="13" customFormat="1" x14ac:dyDescent="0.4">
      <c r="B553" s="25"/>
      <c r="D553" s="42"/>
      <c r="E553" s="26"/>
      <c r="G553" s="54"/>
      <c r="N553" s="42"/>
    </row>
    <row r="554" spans="2:14" s="13" customFormat="1" x14ac:dyDescent="0.4">
      <c r="B554" s="25"/>
      <c r="D554" s="42"/>
      <c r="E554" s="26"/>
      <c r="G554" s="54"/>
      <c r="N554" s="42"/>
    </row>
    <row r="555" spans="2:14" s="13" customFormat="1" x14ac:dyDescent="0.4">
      <c r="B555" s="25"/>
      <c r="D555" s="42"/>
      <c r="E555" s="26"/>
      <c r="G555" s="54"/>
      <c r="N555" s="42"/>
    </row>
    <row r="556" spans="2:14" s="13" customFormat="1" x14ac:dyDescent="0.4">
      <c r="B556" s="25"/>
      <c r="D556" s="42"/>
      <c r="E556" s="26"/>
      <c r="G556" s="54"/>
      <c r="N556" s="42"/>
    </row>
    <row r="557" spans="2:14" s="13" customFormat="1" x14ac:dyDescent="0.4">
      <c r="B557" s="25"/>
      <c r="D557" s="42"/>
      <c r="E557" s="26"/>
      <c r="G557" s="54"/>
      <c r="N557" s="42"/>
    </row>
    <row r="558" spans="2:14" s="13" customFormat="1" x14ac:dyDescent="0.4">
      <c r="B558" s="25"/>
      <c r="D558" s="42"/>
      <c r="E558" s="26"/>
      <c r="G558" s="54"/>
      <c r="N558" s="42"/>
    </row>
    <row r="559" spans="2:14" s="13" customFormat="1" x14ac:dyDescent="0.4">
      <c r="B559" s="25"/>
      <c r="D559" s="42"/>
      <c r="E559" s="26"/>
      <c r="G559" s="54"/>
      <c r="N559" s="42"/>
    </row>
    <row r="560" spans="2:14" s="13" customFormat="1" x14ac:dyDescent="0.4">
      <c r="B560" s="25"/>
      <c r="D560" s="42"/>
      <c r="E560" s="26"/>
      <c r="G560" s="54"/>
      <c r="N560" s="42"/>
    </row>
    <row r="561" spans="2:14" s="13" customFormat="1" x14ac:dyDescent="0.4">
      <c r="B561" s="25"/>
      <c r="D561" s="42"/>
      <c r="E561" s="26"/>
      <c r="G561" s="54"/>
      <c r="N561" s="42"/>
    </row>
    <row r="562" spans="2:14" s="13" customFormat="1" x14ac:dyDescent="0.4">
      <c r="B562" s="25"/>
      <c r="D562" s="42"/>
      <c r="E562" s="26"/>
      <c r="G562" s="54"/>
      <c r="N562" s="42"/>
    </row>
    <row r="563" spans="2:14" s="13" customFormat="1" x14ac:dyDescent="0.4">
      <c r="B563" s="25"/>
      <c r="D563" s="42"/>
      <c r="E563" s="26"/>
      <c r="G563" s="54"/>
      <c r="N563" s="42"/>
    </row>
    <row r="564" spans="2:14" s="13" customFormat="1" x14ac:dyDescent="0.4">
      <c r="B564" s="25"/>
      <c r="D564" s="42"/>
      <c r="E564" s="26"/>
      <c r="G564" s="54"/>
      <c r="N564" s="42"/>
    </row>
    <row r="565" spans="2:14" s="13" customFormat="1" x14ac:dyDescent="0.4">
      <c r="B565" s="25"/>
      <c r="D565" s="42"/>
      <c r="E565" s="26"/>
      <c r="G565" s="54"/>
      <c r="N565" s="42"/>
    </row>
    <row r="566" spans="2:14" s="13" customFormat="1" x14ac:dyDescent="0.4">
      <c r="B566" s="25"/>
      <c r="D566" s="42"/>
      <c r="E566" s="26"/>
      <c r="G566" s="54"/>
      <c r="N566" s="42"/>
    </row>
    <row r="567" spans="2:14" s="13" customFormat="1" x14ac:dyDescent="0.4">
      <c r="B567" s="25"/>
      <c r="D567" s="42"/>
      <c r="E567" s="26"/>
      <c r="G567" s="54"/>
      <c r="N567" s="42"/>
    </row>
    <row r="568" spans="2:14" s="13" customFormat="1" x14ac:dyDescent="0.4">
      <c r="B568" s="25"/>
      <c r="D568" s="42"/>
      <c r="E568" s="26"/>
      <c r="G568" s="54"/>
      <c r="N568" s="42"/>
    </row>
    <row r="569" spans="2:14" s="13" customFormat="1" x14ac:dyDescent="0.4">
      <c r="B569" s="25"/>
      <c r="D569" s="42"/>
      <c r="E569" s="26"/>
      <c r="G569" s="54"/>
      <c r="N569" s="42"/>
    </row>
    <row r="570" spans="2:14" s="13" customFormat="1" x14ac:dyDescent="0.4">
      <c r="B570" s="25"/>
      <c r="D570" s="42"/>
      <c r="E570" s="26"/>
      <c r="G570" s="54"/>
      <c r="N570" s="42"/>
    </row>
    <row r="571" spans="2:14" s="13" customFormat="1" x14ac:dyDescent="0.4">
      <c r="B571" s="25"/>
      <c r="D571" s="42"/>
      <c r="E571" s="26"/>
      <c r="G571" s="54"/>
      <c r="N571" s="42"/>
    </row>
    <row r="572" spans="2:14" s="13" customFormat="1" x14ac:dyDescent="0.4">
      <c r="B572" s="25"/>
      <c r="D572" s="42"/>
      <c r="E572" s="26"/>
      <c r="G572" s="54"/>
      <c r="N572" s="42"/>
    </row>
    <row r="573" spans="2:14" s="13" customFormat="1" x14ac:dyDescent="0.4">
      <c r="B573" s="25"/>
      <c r="D573" s="42"/>
      <c r="E573" s="26"/>
      <c r="G573" s="54"/>
      <c r="N573" s="42"/>
    </row>
    <row r="574" spans="2:14" s="13" customFormat="1" x14ac:dyDescent="0.4">
      <c r="B574" s="25"/>
      <c r="D574" s="42"/>
      <c r="E574" s="26"/>
      <c r="G574" s="54"/>
      <c r="N574" s="42"/>
    </row>
    <row r="575" spans="2:14" s="13" customFormat="1" x14ac:dyDescent="0.4">
      <c r="B575" s="25"/>
      <c r="D575" s="42"/>
      <c r="E575" s="26"/>
      <c r="G575" s="54"/>
      <c r="N575" s="42"/>
    </row>
    <row r="576" spans="2:14" s="13" customFormat="1" x14ac:dyDescent="0.4">
      <c r="B576" s="25"/>
      <c r="D576" s="42"/>
      <c r="E576" s="26"/>
      <c r="G576" s="54"/>
      <c r="N576" s="42"/>
    </row>
    <row r="577" spans="2:14" s="13" customFormat="1" x14ac:dyDescent="0.4">
      <c r="B577" s="25"/>
      <c r="D577" s="42"/>
      <c r="E577" s="26"/>
      <c r="G577" s="54"/>
      <c r="N577" s="42"/>
    </row>
    <row r="578" spans="2:14" s="13" customFormat="1" x14ac:dyDescent="0.4">
      <c r="B578" s="25"/>
      <c r="D578" s="42"/>
      <c r="E578" s="26"/>
      <c r="G578" s="54"/>
      <c r="N578" s="42"/>
    </row>
    <row r="579" spans="2:14" s="13" customFormat="1" x14ac:dyDescent="0.4">
      <c r="B579" s="25"/>
      <c r="D579" s="42"/>
      <c r="E579" s="26"/>
      <c r="G579" s="54"/>
      <c r="N579" s="42"/>
    </row>
    <row r="580" spans="2:14" s="13" customFormat="1" x14ac:dyDescent="0.4">
      <c r="B580" s="25"/>
      <c r="D580" s="42"/>
      <c r="E580" s="26"/>
      <c r="G580" s="54"/>
      <c r="N580" s="42"/>
    </row>
    <row r="581" spans="2:14" s="13" customFormat="1" x14ac:dyDescent="0.4">
      <c r="B581" s="25"/>
      <c r="D581" s="42"/>
      <c r="E581" s="26"/>
      <c r="G581" s="54"/>
      <c r="N581" s="42"/>
    </row>
    <row r="582" spans="2:14" s="13" customFormat="1" x14ac:dyDescent="0.4">
      <c r="B582" s="25"/>
      <c r="D582" s="42"/>
      <c r="E582" s="26"/>
      <c r="G582" s="54"/>
      <c r="N582" s="42"/>
    </row>
    <row r="583" spans="2:14" s="13" customFormat="1" x14ac:dyDescent="0.4">
      <c r="B583" s="25"/>
      <c r="D583" s="42"/>
      <c r="E583" s="26"/>
      <c r="G583" s="54"/>
      <c r="N583" s="42"/>
    </row>
    <row r="584" spans="2:14" s="13" customFormat="1" x14ac:dyDescent="0.4">
      <c r="B584" s="25"/>
      <c r="D584" s="42"/>
      <c r="E584" s="26"/>
      <c r="G584" s="54"/>
      <c r="N584" s="42"/>
    </row>
    <row r="585" spans="2:14" s="13" customFormat="1" x14ac:dyDescent="0.4">
      <c r="B585" s="25"/>
      <c r="D585" s="42"/>
      <c r="E585" s="26"/>
      <c r="G585" s="54"/>
      <c r="N585" s="42"/>
    </row>
    <row r="586" spans="2:14" s="13" customFormat="1" x14ac:dyDescent="0.4">
      <c r="B586" s="25"/>
      <c r="D586" s="42"/>
      <c r="E586" s="26"/>
      <c r="G586" s="54"/>
      <c r="N586" s="42"/>
    </row>
    <row r="587" spans="2:14" s="13" customFormat="1" x14ac:dyDescent="0.4">
      <c r="B587" s="25"/>
      <c r="D587" s="42"/>
      <c r="E587" s="26"/>
      <c r="G587" s="54"/>
      <c r="N587" s="42"/>
    </row>
    <row r="588" spans="2:14" s="13" customFormat="1" x14ac:dyDescent="0.4">
      <c r="B588" s="25"/>
      <c r="D588" s="42"/>
      <c r="E588" s="26"/>
      <c r="G588" s="54"/>
      <c r="N588" s="42"/>
    </row>
    <row r="589" spans="2:14" s="13" customFormat="1" x14ac:dyDescent="0.4">
      <c r="B589" s="25"/>
      <c r="D589" s="42"/>
      <c r="E589" s="26"/>
      <c r="G589" s="54"/>
      <c r="N589" s="42"/>
    </row>
    <row r="590" spans="2:14" s="13" customFormat="1" x14ac:dyDescent="0.4">
      <c r="B590" s="25"/>
      <c r="D590" s="42"/>
      <c r="E590" s="26"/>
      <c r="G590" s="54"/>
      <c r="N590" s="42"/>
    </row>
    <row r="591" spans="2:14" s="13" customFormat="1" x14ac:dyDescent="0.4">
      <c r="B591" s="25"/>
      <c r="D591" s="42"/>
      <c r="E591" s="26"/>
      <c r="G591" s="54"/>
      <c r="N591" s="42"/>
    </row>
    <row r="592" spans="2:14" s="13" customFormat="1" x14ac:dyDescent="0.4">
      <c r="B592" s="25"/>
      <c r="D592" s="42"/>
      <c r="E592" s="26"/>
      <c r="G592" s="54"/>
      <c r="N592" s="42"/>
    </row>
    <row r="593" spans="2:14" s="13" customFormat="1" x14ac:dyDescent="0.4">
      <c r="B593" s="25"/>
      <c r="D593" s="42"/>
      <c r="E593" s="26"/>
      <c r="G593" s="54"/>
      <c r="N593" s="42"/>
    </row>
    <row r="594" spans="2:14" s="13" customFormat="1" x14ac:dyDescent="0.4">
      <c r="B594" s="25"/>
      <c r="D594" s="42"/>
      <c r="E594" s="26"/>
      <c r="G594" s="54"/>
      <c r="N594" s="42"/>
    </row>
    <row r="595" spans="2:14" s="13" customFormat="1" x14ac:dyDescent="0.4">
      <c r="B595" s="25"/>
      <c r="D595" s="42"/>
      <c r="E595" s="26"/>
      <c r="G595" s="54"/>
      <c r="N595" s="42"/>
    </row>
    <row r="596" spans="2:14" s="13" customFormat="1" x14ac:dyDescent="0.4">
      <c r="B596" s="25"/>
      <c r="D596" s="42"/>
      <c r="E596" s="26"/>
      <c r="G596" s="54"/>
      <c r="N596" s="42"/>
    </row>
    <row r="597" spans="2:14" s="13" customFormat="1" x14ac:dyDescent="0.4">
      <c r="B597" s="25"/>
      <c r="D597" s="42"/>
      <c r="E597" s="26"/>
      <c r="G597" s="54"/>
      <c r="N597" s="42"/>
    </row>
    <row r="598" spans="2:14" s="13" customFormat="1" x14ac:dyDescent="0.4">
      <c r="B598" s="25"/>
      <c r="D598" s="42"/>
      <c r="E598" s="26"/>
      <c r="G598" s="54"/>
      <c r="N598" s="42"/>
    </row>
    <row r="599" spans="2:14" s="13" customFormat="1" x14ac:dyDescent="0.4">
      <c r="B599" s="25"/>
      <c r="D599" s="42"/>
      <c r="E599" s="26"/>
      <c r="G599" s="54"/>
      <c r="N599" s="42"/>
    </row>
    <row r="600" spans="2:14" s="13" customFormat="1" x14ac:dyDescent="0.4">
      <c r="B600" s="25"/>
      <c r="D600" s="42"/>
      <c r="E600" s="26"/>
      <c r="G600" s="54"/>
      <c r="N600" s="42"/>
    </row>
    <row r="601" spans="2:14" s="13" customFormat="1" x14ac:dyDescent="0.4">
      <c r="B601" s="25"/>
      <c r="D601" s="42"/>
      <c r="E601" s="26"/>
      <c r="G601" s="54"/>
      <c r="N601" s="42"/>
    </row>
    <row r="602" spans="2:14" s="13" customFormat="1" x14ac:dyDescent="0.4">
      <c r="B602" s="25"/>
      <c r="D602" s="42"/>
      <c r="E602" s="26"/>
      <c r="G602" s="54"/>
      <c r="N602" s="42"/>
    </row>
    <row r="603" spans="2:14" s="13" customFormat="1" x14ac:dyDescent="0.4">
      <c r="B603" s="25"/>
      <c r="D603" s="42"/>
      <c r="E603" s="26"/>
      <c r="G603" s="54"/>
      <c r="N603" s="42"/>
    </row>
    <row r="604" spans="2:14" s="13" customFormat="1" x14ac:dyDescent="0.4">
      <c r="B604" s="25"/>
      <c r="D604" s="42"/>
      <c r="E604" s="26"/>
      <c r="G604" s="54"/>
      <c r="N604" s="42"/>
    </row>
    <row r="605" spans="2:14" s="13" customFormat="1" x14ac:dyDescent="0.4">
      <c r="B605" s="25"/>
      <c r="D605" s="42"/>
      <c r="E605" s="26"/>
      <c r="G605" s="54"/>
      <c r="N605" s="42"/>
    </row>
    <row r="606" spans="2:14" s="13" customFormat="1" x14ac:dyDescent="0.4">
      <c r="B606" s="25"/>
      <c r="D606" s="42"/>
      <c r="E606" s="26"/>
      <c r="G606" s="54"/>
      <c r="N606" s="42"/>
    </row>
    <row r="607" spans="2:14" s="13" customFormat="1" x14ac:dyDescent="0.4">
      <c r="B607" s="25"/>
      <c r="D607" s="42"/>
      <c r="E607" s="26"/>
      <c r="G607" s="54"/>
      <c r="N607" s="42"/>
    </row>
    <row r="608" spans="2:14" s="13" customFormat="1" x14ac:dyDescent="0.4">
      <c r="B608" s="25"/>
      <c r="D608" s="42"/>
      <c r="E608" s="26"/>
      <c r="G608" s="54"/>
      <c r="N608" s="42"/>
    </row>
    <row r="609" spans="2:14" s="13" customFormat="1" x14ac:dyDescent="0.4">
      <c r="B609" s="25"/>
      <c r="D609" s="42"/>
      <c r="E609" s="26"/>
      <c r="G609" s="54"/>
      <c r="N609" s="42"/>
    </row>
    <row r="610" spans="2:14" s="13" customFormat="1" x14ac:dyDescent="0.4">
      <c r="B610" s="25"/>
      <c r="D610" s="42"/>
      <c r="E610" s="26"/>
      <c r="G610" s="54"/>
      <c r="N610" s="42"/>
    </row>
    <row r="611" spans="2:14" s="13" customFormat="1" x14ac:dyDescent="0.4">
      <c r="B611" s="25"/>
      <c r="D611" s="42"/>
      <c r="E611" s="26"/>
      <c r="G611" s="54"/>
      <c r="N611" s="42"/>
    </row>
    <row r="612" spans="2:14" s="13" customFormat="1" x14ac:dyDescent="0.4">
      <c r="B612" s="25"/>
      <c r="D612" s="42"/>
      <c r="E612" s="26"/>
      <c r="G612" s="54"/>
      <c r="N612" s="42"/>
    </row>
    <row r="613" spans="2:14" s="13" customFormat="1" x14ac:dyDescent="0.4">
      <c r="B613" s="25"/>
      <c r="D613" s="42"/>
      <c r="E613" s="26"/>
      <c r="G613" s="54"/>
      <c r="N613" s="42"/>
    </row>
    <row r="614" spans="2:14" s="13" customFormat="1" x14ac:dyDescent="0.4">
      <c r="B614" s="25"/>
      <c r="D614" s="42"/>
      <c r="E614" s="26"/>
      <c r="G614" s="54"/>
      <c r="N614" s="42"/>
    </row>
    <row r="615" spans="2:14" s="13" customFormat="1" x14ac:dyDescent="0.4">
      <c r="B615" s="25"/>
      <c r="D615" s="42"/>
      <c r="E615" s="26"/>
      <c r="G615" s="54"/>
      <c r="N615" s="42"/>
    </row>
    <row r="616" spans="2:14" s="13" customFormat="1" x14ac:dyDescent="0.4">
      <c r="B616" s="25"/>
      <c r="D616" s="42"/>
      <c r="E616" s="26"/>
      <c r="G616" s="54"/>
      <c r="N616" s="42"/>
    </row>
    <row r="617" spans="2:14" s="13" customFormat="1" x14ac:dyDescent="0.4">
      <c r="B617" s="25"/>
      <c r="D617" s="42"/>
      <c r="E617" s="26"/>
      <c r="G617" s="54"/>
      <c r="N617" s="42"/>
    </row>
    <row r="618" spans="2:14" s="13" customFormat="1" x14ac:dyDescent="0.4">
      <c r="B618" s="25"/>
      <c r="D618" s="42"/>
      <c r="E618" s="26"/>
      <c r="G618" s="54"/>
      <c r="N618" s="42"/>
    </row>
    <row r="619" spans="2:14" s="13" customFormat="1" x14ac:dyDescent="0.4">
      <c r="B619" s="25"/>
      <c r="D619" s="42"/>
      <c r="E619" s="26"/>
      <c r="G619" s="54"/>
      <c r="N619" s="42"/>
    </row>
    <row r="620" spans="2:14" s="13" customFormat="1" x14ac:dyDescent="0.4">
      <c r="B620" s="25"/>
      <c r="D620" s="42"/>
      <c r="E620" s="26"/>
      <c r="G620" s="54"/>
      <c r="N620" s="42"/>
    </row>
    <row r="621" spans="2:14" s="13" customFormat="1" x14ac:dyDescent="0.4">
      <c r="B621" s="25"/>
      <c r="D621" s="42"/>
      <c r="E621" s="26"/>
      <c r="G621" s="54"/>
      <c r="N621" s="42"/>
    </row>
    <row r="622" spans="2:14" s="13" customFormat="1" x14ac:dyDescent="0.4">
      <c r="B622" s="25"/>
      <c r="D622" s="42"/>
      <c r="E622" s="26"/>
      <c r="G622" s="54"/>
      <c r="N622" s="42"/>
    </row>
    <row r="623" spans="2:14" s="13" customFormat="1" x14ac:dyDescent="0.4">
      <c r="B623" s="25"/>
      <c r="D623" s="42"/>
      <c r="E623" s="26"/>
      <c r="G623" s="54"/>
      <c r="N623" s="42"/>
    </row>
    <row r="624" spans="2:14" s="13" customFormat="1" x14ac:dyDescent="0.4">
      <c r="B624" s="25"/>
      <c r="D624" s="42"/>
      <c r="E624" s="26"/>
      <c r="G624" s="54"/>
      <c r="N624" s="42"/>
    </row>
    <row r="625" spans="2:14" s="13" customFormat="1" x14ac:dyDescent="0.4">
      <c r="B625" s="25"/>
      <c r="D625" s="42"/>
      <c r="E625" s="26"/>
      <c r="G625" s="54"/>
      <c r="N625" s="42"/>
    </row>
    <row r="626" spans="2:14" s="13" customFormat="1" x14ac:dyDescent="0.4">
      <c r="B626" s="25"/>
      <c r="D626" s="42"/>
      <c r="E626" s="26"/>
      <c r="G626" s="54"/>
      <c r="N626" s="42"/>
    </row>
    <row r="627" spans="2:14" s="13" customFormat="1" x14ac:dyDescent="0.4">
      <c r="B627" s="25"/>
      <c r="D627" s="42"/>
      <c r="E627" s="26"/>
      <c r="G627" s="54"/>
      <c r="N627" s="42"/>
    </row>
    <row r="628" spans="2:14" s="13" customFormat="1" x14ac:dyDescent="0.4">
      <c r="B628" s="25"/>
      <c r="D628" s="42"/>
      <c r="E628" s="26"/>
      <c r="G628" s="54"/>
      <c r="N628" s="42"/>
    </row>
    <row r="629" spans="2:14" s="13" customFormat="1" x14ac:dyDescent="0.4">
      <c r="B629" s="25"/>
      <c r="D629" s="42"/>
      <c r="E629" s="26"/>
      <c r="G629" s="54"/>
      <c r="N629" s="42"/>
    </row>
    <row r="630" spans="2:14" s="13" customFormat="1" x14ac:dyDescent="0.4">
      <c r="B630" s="25"/>
      <c r="D630" s="42"/>
      <c r="E630" s="26"/>
      <c r="G630" s="54"/>
      <c r="N630" s="42"/>
    </row>
    <row r="631" spans="2:14" s="13" customFormat="1" x14ac:dyDescent="0.4">
      <c r="B631" s="25"/>
      <c r="D631" s="42"/>
      <c r="E631" s="26"/>
      <c r="G631" s="54"/>
      <c r="N631" s="42"/>
    </row>
    <row r="632" spans="2:14" s="13" customFormat="1" x14ac:dyDescent="0.4">
      <c r="B632" s="25"/>
      <c r="D632" s="42"/>
      <c r="E632" s="26"/>
      <c r="G632" s="54"/>
      <c r="N632" s="42"/>
    </row>
    <row r="633" spans="2:14" s="13" customFormat="1" x14ac:dyDescent="0.4">
      <c r="B633" s="25"/>
      <c r="D633" s="42"/>
      <c r="E633" s="26"/>
      <c r="G633" s="54"/>
      <c r="N633" s="42"/>
    </row>
    <row r="634" spans="2:14" s="13" customFormat="1" x14ac:dyDescent="0.4">
      <c r="B634" s="25"/>
      <c r="D634" s="42"/>
      <c r="E634" s="26"/>
      <c r="G634" s="54"/>
      <c r="N634" s="42"/>
    </row>
    <row r="635" spans="2:14" s="13" customFormat="1" x14ac:dyDescent="0.4">
      <c r="B635" s="25"/>
      <c r="D635" s="42"/>
      <c r="E635" s="26"/>
      <c r="G635" s="54"/>
      <c r="N635" s="42"/>
    </row>
    <row r="636" spans="2:14" s="13" customFormat="1" x14ac:dyDescent="0.4">
      <c r="B636" s="25"/>
      <c r="D636" s="42"/>
      <c r="E636" s="26"/>
      <c r="G636" s="54"/>
      <c r="N636" s="42"/>
    </row>
    <row r="637" spans="2:14" s="13" customFormat="1" x14ac:dyDescent="0.4">
      <c r="B637" s="25"/>
      <c r="D637" s="42"/>
      <c r="E637" s="26"/>
      <c r="G637" s="54"/>
      <c r="N637" s="42"/>
    </row>
    <row r="638" spans="2:14" s="13" customFormat="1" x14ac:dyDescent="0.4">
      <c r="B638" s="25"/>
      <c r="D638" s="42"/>
      <c r="E638" s="26"/>
      <c r="G638" s="54"/>
      <c r="N638" s="42"/>
    </row>
    <row r="639" spans="2:14" s="13" customFormat="1" x14ac:dyDescent="0.4">
      <c r="B639" s="25"/>
      <c r="D639" s="42"/>
      <c r="E639" s="26"/>
      <c r="G639" s="54"/>
      <c r="N639" s="42"/>
    </row>
    <row r="640" spans="2:14" s="13" customFormat="1" x14ac:dyDescent="0.4">
      <c r="B640" s="25"/>
      <c r="D640" s="42"/>
      <c r="E640" s="26"/>
      <c r="G640" s="54"/>
      <c r="N640" s="42"/>
    </row>
    <row r="641" spans="2:14" s="13" customFormat="1" x14ac:dyDescent="0.4">
      <c r="B641" s="25"/>
      <c r="D641" s="42"/>
      <c r="E641" s="26"/>
      <c r="G641" s="54"/>
      <c r="N641" s="42"/>
    </row>
    <row r="642" spans="2:14" s="13" customFormat="1" x14ac:dyDescent="0.4">
      <c r="B642" s="25"/>
      <c r="D642" s="42"/>
      <c r="E642" s="26"/>
      <c r="G642" s="54"/>
      <c r="N642" s="42"/>
    </row>
    <row r="643" spans="2:14" s="13" customFormat="1" x14ac:dyDescent="0.4">
      <c r="B643" s="25"/>
      <c r="D643" s="42"/>
      <c r="E643" s="26"/>
      <c r="G643" s="54"/>
      <c r="N643" s="42"/>
    </row>
    <row r="644" spans="2:14" s="13" customFormat="1" x14ac:dyDescent="0.4">
      <c r="B644" s="25"/>
      <c r="D644" s="42"/>
      <c r="E644" s="26"/>
      <c r="G644" s="54"/>
      <c r="N644" s="42"/>
    </row>
    <row r="645" spans="2:14" s="13" customFormat="1" x14ac:dyDescent="0.4">
      <c r="B645" s="25"/>
      <c r="D645" s="42"/>
      <c r="E645" s="26"/>
      <c r="G645" s="54"/>
      <c r="N645" s="42"/>
    </row>
    <row r="646" spans="2:14" s="13" customFormat="1" x14ac:dyDescent="0.4">
      <c r="B646" s="25"/>
      <c r="D646" s="42"/>
      <c r="E646" s="26"/>
      <c r="G646" s="54"/>
      <c r="N646" s="42"/>
    </row>
    <row r="647" spans="2:14" s="13" customFormat="1" x14ac:dyDescent="0.4">
      <c r="B647" s="25"/>
      <c r="D647" s="42"/>
      <c r="E647" s="26"/>
      <c r="G647" s="54"/>
      <c r="N647" s="42"/>
    </row>
    <row r="648" spans="2:14" s="13" customFormat="1" x14ac:dyDescent="0.4">
      <c r="B648" s="25"/>
      <c r="D648" s="42"/>
      <c r="E648" s="26"/>
      <c r="G648" s="54"/>
      <c r="N648" s="42"/>
    </row>
    <row r="649" spans="2:14" s="13" customFormat="1" x14ac:dyDescent="0.4">
      <c r="B649" s="25"/>
      <c r="D649" s="42"/>
      <c r="E649" s="26"/>
      <c r="G649" s="54"/>
      <c r="N649" s="42"/>
    </row>
    <row r="650" spans="2:14" s="13" customFormat="1" x14ac:dyDescent="0.4">
      <c r="B650" s="25"/>
      <c r="D650" s="42"/>
      <c r="E650" s="26"/>
      <c r="G650" s="54"/>
      <c r="N650" s="42"/>
    </row>
    <row r="651" spans="2:14" s="13" customFormat="1" x14ac:dyDescent="0.4">
      <c r="B651" s="25"/>
      <c r="D651" s="42"/>
      <c r="E651" s="26"/>
      <c r="G651" s="54"/>
      <c r="N651" s="42"/>
    </row>
    <row r="652" spans="2:14" s="13" customFormat="1" x14ac:dyDescent="0.4">
      <c r="B652" s="25"/>
      <c r="D652" s="42"/>
      <c r="E652" s="26"/>
      <c r="G652" s="54"/>
      <c r="N652" s="42"/>
    </row>
  </sheetData>
  <sheetProtection algorithmName="SHA-512" hashValue="dALG1FBwTQg6AqvBmK3uQqvdr07uMEU4P4vNMj4oYWzyKPseTntZIVyKksYScz8m1nFMKVOf/xZdyyT7Hr2GZA==" saltValue="PbvsyCb5yo0YytwDaRQNaA==" spinCount="100000" sheet="1" formatCells="0" formatColumns="0" formatRows="0"/>
  <mergeCells count="11">
    <mergeCell ref="M7:M19"/>
    <mergeCell ref="C13:C16"/>
    <mergeCell ref="D13:D16"/>
    <mergeCell ref="C17:C19"/>
    <mergeCell ref="D17:D19"/>
    <mergeCell ref="A7:A19"/>
    <mergeCell ref="B7:B19"/>
    <mergeCell ref="C7:C10"/>
    <mergeCell ref="D7:D10"/>
    <mergeCell ref="C11:C12"/>
    <mergeCell ref="D11:D12"/>
  </mergeCells>
  <dataValidations count="1">
    <dataValidation type="list" allowBlank="1" showInputMessage="1" showErrorMessage="1" errorTitle="ASVS Test Result" error="Invalid selection!" promptTitle="ASVS Test Result" prompt="Please select test result from the list." sqref="G7:G19" xr:uid="{DFA5701D-81A3-4DD6-8C0C-EF73CF880D40}">
      <formula1>testResult</formula1>
    </dataValidation>
  </dataValidations>
  <hyperlinks>
    <hyperlink ref="F7" r:id="rId1" location="tab=Formal_Numbering" display="https://www.owasp.org/index.php/OWASP_Proactive_Controls - tab=Formal_Numbering" xr:uid="{79E1345F-76C4-4997-9341-0A32A555D85B}"/>
    <hyperlink ref="F8" r:id="rId2" location="tab=Formal_Numbering" display="https://www.owasp.org/index.php/OWASP_Proactive_Controls - tab=Formal_Numbering" xr:uid="{A55F65F4-9183-494F-8A51-AB0CA792815E}"/>
    <hyperlink ref="F9" r:id="rId3" location="tab=Formal_Numbering" display="https://www.owasp.org/index.php/OWASP_Proactive_Controls - tab=Formal_Numbering" xr:uid="{D395997D-398C-4BE6-A6DB-ABA51F1DEE8E}"/>
    <hyperlink ref="F10" r:id="rId4" location="tab=Formal_Numbering" display="https://www.owasp.org/index.php/OWASP_Proactive_Controls - tab=Formal_Numbering" xr:uid="{84F4BD49-11D1-417C-A64C-CF4DF64779A9}"/>
    <hyperlink ref="F13" r:id="rId5" location="tab=Formal_Numbering" display="https://www.owasp.org/index.php/OWASP_Proactive_Controls - tab=Formal_Numbering" xr:uid="{E7596893-3B30-4E5C-9602-76140679A226}"/>
    <hyperlink ref="F14" r:id="rId6" location="tab=Formal_Numbering" display="https://www.owasp.org/index.php/OWASP_Proactive_Controls - tab=Formal_Numbering" xr:uid="{FC413737-548F-4469-9177-AB7F614C22E6}"/>
    <hyperlink ref="F15" r:id="rId7" location="tab=Formal_Numbering" display="https://www.owasp.org/index.php/OWASP_Proactive_Controls - tab=Formal_Numbering" xr:uid="{1551AD38-B826-4BF3-971A-200866F2ECE7}"/>
    <hyperlink ref="F16" r:id="rId8" location="tab=Formal_Numbering" display="https://www.owasp.org/index.php/OWASP_Proactive_Controls - tab=Formal_Numbering" xr:uid="{C9633733-D424-468D-9308-13232599BB67}"/>
    <hyperlink ref="F17" r:id="rId9" location="tab=Formal_Numbering" display="https://www.owasp.org/index.php/OWASP_Proactive_Controls - tab=Formal_Numbering" xr:uid="{836EC948-D80F-44FE-90E0-03D21EC7C3BC}"/>
    <hyperlink ref="F18" r:id="rId10" location="tab=Formal_Numbering" display="https://www.owasp.org/index.php/OWASP_Proactive_Controls - tab=Formal_Numbering" xr:uid="{AA4A70ED-28C4-47F6-819E-90D5395CB16B}"/>
    <hyperlink ref="F19" r:id="rId11" location="tab=Formal_Numbering" display="https://www.owasp.org/index.php/OWASP_Proactive_Controls - tab=Formal_Numbering" xr:uid="{974AF040-6E19-40F5-A820-0C81BE2825F0}"/>
  </hyperlinks>
  <pageMargins left="0.7" right="0.7" top="0.75" bottom="0.75" header="0.3" footer="0.3"/>
  <drawing r:id="rId12"/>
  <legacyDrawing r:id="rId13"/>
  <mc:AlternateContent xmlns:mc="http://schemas.openxmlformats.org/markup-compatibility/2006">
    <mc:Choice Requires="x14">
      <controls>
        <mc:AlternateContent xmlns:mc="http://schemas.openxmlformats.org/markup-compatibility/2006">
          <mc:Choice Requires="x14">
            <control shapeId="22529" r:id="rId14" name="Button 1">
              <controlPr defaultSize="0" print="0" autoFill="0" autoPict="0" macro="[0]!Sheet13.Confirm_Reset_Answers_V7">
                <anchor moveWithCells="1" sizeWithCells="1">
                  <from>
                    <xdr:col>0</xdr:col>
                    <xdr:colOff>107950</xdr:colOff>
                    <xdr:row>0</xdr:row>
                    <xdr:rowOff>31750</xdr:rowOff>
                  </from>
                  <to>
                    <xdr:col>1</xdr:col>
                    <xdr:colOff>1555750</xdr:colOff>
                    <xdr:row>2</xdr:row>
                    <xdr:rowOff>38100</xdr:rowOff>
                  </to>
                </anchor>
              </controlPr>
            </control>
          </mc:Choice>
        </mc:AlternateContent>
        <mc:AlternateContent xmlns:mc="http://schemas.openxmlformats.org/markup-compatibility/2006">
          <mc:Choice Requires="x14">
            <control shapeId="22533" r:id="rId15" name="Button 5">
              <controlPr defaultSize="0" print="0" autoFill="0" autoPict="0" macro="[0]!Confirm_Reset_All_Answers">
                <anchor moveWithCells="1" sizeWithCells="1">
                  <from>
                    <xdr:col>0</xdr:col>
                    <xdr:colOff>107950</xdr:colOff>
                    <xdr:row>2</xdr:row>
                    <xdr:rowOff>69850</xdr:rowOff>
                  </from>
                  <to>
                    <xdr:col>1</xdr:col>
                    <xdr:colOff>1555750</xdr:colOff>
                    <xdr:row>4</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A7963-A720-4588-A79B-FB4862261E83}">
  <sheetPr codeName="Sheet14">
    <tabColor theme="3" tint="-0.499984740745262"/>
  </sheetPr>
  <dimension ref="A1:CRF656"/>
  <sheetViews>
    <sheetView showGridLines="0" showRowColHeaders="0" workbookViewId="0">
      <pane ySplit="6" topLeftCell="A7" activePane="bottomLeft" state="frozen"/>
      <selection pane="bottomLeft" activeCell="A7" sqref="A7:A23"/>
    </sheetView>
  </sheetViews>
  <sheetFormatPr defaultRowHeight="15" x14ac:dyDescent="0.4"/>
  <cols>
    <col min="1" max="1" width="10.81640625" customWidth="1"/>
    <col min="2" max="2" width="24.1796875" style="20" customWidth="1"/>
    <col min="3" max="3" width="10.7265625" customWidth="1"/>
    <col min="4" max="4" width="31.81640625" style="43" customWidth="1"/>
    <col min="5" max="5" width="9.1796875" style="21"/>
    <col min="6" max="6" width="56.1796875" customWidth="1"/>
    <col min="7" max="7" width="19.1796875" style="55" customWidth="1"/>
    <col min="8" max="10" width="3.7265625" bestFit="1" customWidth="1"/>
    <col min="12" max="12" width="13.1796875" customWidth="1"/>
    <col min="13" max="13" width="31.7265625" bestFit="1"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0</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0</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TOTAL_ASVS_V8</f>
        <v>17</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26.25" customHeight="1" x14ac:dyDescent="0.35">
      <c r="A7" s="113" t="s">
        <v>46</v>
      </c>
      <c r="B7" s="116" t="s">
        <v>551</v>
      </c>
      <c r="C7" s="113" t="s">
        <v>552</v>
      </c>
      <c r="D7" s="109" t="s">
        <v>553</v>
      </c>
      <c r="E7" s="22" t="s">
        <v>554</v>
      </c>
      <c r="F7" s="4" t="s">
        <v>555</v>
      </c>
      <c r="G7" s="91" t="s">
        <v>32</v>
      </c>
      <c r="H7" s="4"/>
      <c r="I7" s="39" t="s">
        <v>812</v>
      </c>
      <c r="J7" s="40" t="s">
        <v>812</v>
      </c>
      <c r="K7" s="5">
        <v>524</v>
      </c>
      <c r="L7" s="24"/>
      <c r="M7" s="128" t="s">
        <v>841</v>
      </c>
      <c r="N7" s="41"/>
    </row>
    <row r="8" spans="1:2502" ht="52" x14ac:dyDescent="0.35">
      <c r="A8" s="114"/>
      <c r="B8" s="117"/>
      <c r="C8" s="114"/>
      <c r="D8" s="110"/>
      <c r="E8" s="22" t="s">
        <v>556</v>
      </c>
      <c r="F8" s="4" t="s">
        <v>557</v>
      </c>
      <c r="G8" s="91" t="s">
        <v>32</v>
      </c>
      <c r="H8" s="4"/>
      <c r="I8" s="39" t="s">
        <v>812</v>
      </c>
      <c r="J8" s="40" t="s">
        <v>812</v>
      </c>
      <c r="K8" s="5">
        <v>524</v>
      </c>
      <c r="L8" s="24"/>
      <c r="M8" s="129"/>
      <c r="N8" s="41"/>
    </row>
    <row r="9" spans="1:2502" ht="39" x14ac:dyDescent="0.35">
      <c r="A9" s="114"/>
      <c r="B9" s="117"/>
      <c r="C9" s="114"/>
      <c r="D9" s="110"/>
      <c r="E9" s="22" t="s">
        <v>558</v>
      </c>
      <c r="F9" s="4" t="s">
        <v>16</v>
      </c>
      <c r="G9" s="91" t="s">
        <v>32</v>
      </c>
      <c r="H9" s="4"/>
      <c r="I9" s="39" t="s">
        <v>812</v>
      </c>
      <c r="J9" s="40" t="s">
        <v>812</v>
      </c>
      <c r="K9" s="5">
        <v>233</v>
      </c>
      <c r="L9" s="24"/>
      <c r="M9" s="129"/>
      <c r="N9" s="41"/>
    </row>
    <row r="10" spans="1:2502" ht="39" x14ac:dyDescent="0.35">
      <c r="A10" s="114"/>
      <c r="B10" s="117"/>
      <c r="C10" s="114"/>
      <c r="D10" s="110"/>
      <c r="E10" s="22" t="s">
        <v>559</v>
      </c>
      <c r="F10" s="4" t="s">
        <v>560</v>
      </c>
      <c r="G10" s="91" t="s">
        <v>32</v>
      </c>
      <c r="H10" s="4"/>
      <c r="I10" s="39" t="s">
        <v>812</v>
      </c>
      <c r="J10" s="40" t="s">
        <v>812</v>
      </c>
      <c r="K10" s="5">
        <v>770</v>
      </c>
      <c r="L10" s="24"/>
      <c r="M10" s="129"/>
      <c r="N10" s="41"/>
    </row>
    <row r="11" spans="1:2502" ht="26" x14ac:dyDescent="0.35">
      <c r="A11" s="114"/>
      <c r="B11" s="117"/>
      <c r="C11" s="114"/>
      <c r="D11" s="110"/>
      <c r="E11" s="22" t="s">
        <v>561</v>
      </c>
      <c r="F11" s="4" t="s">
        <v>562</v>
      </c>
      <c r="G11" s="91" t="s">
        <v>32</v>
      </c>
      <c r="H11" s="4"/>
      <c r="I11" s="4"/>
      <c r="J11" s="40" t="s">
        <v>812</v>
      </c>
      <c r="K11" s="5">
        <v>19</v>
      </c>
      <c r="L11" s="24"/>
      <c r="M11" s="129"/>
      <c r="N11" s="41"/>
    </row>
    <row r="12" spans="1:2502" ht="26" x14ac:dyDescent="0.35">
      <c r="A12" s="114"/>
      <c r="B12" s="117"/>
      <c r="C12" s="115"/>
      <c r="D12" s="111"/>
      <c r="E12" s="22" t="s">
        <v>563</v>
      </c>
      <c r="F12" s="4" t="s">
        <v>564</v>
      </c>
      <c r="G12" s="91" t="s">
        <v>32</v>
      </c>
      <c r="H12" s="4"/>
      <c r="I12" s="4"/>
      <c r="J12" s="40" t="s">
        <v>812</v>
      </c>
      <c r="K12" s="5">
        <v>19</v>
      </c>
      <c r="L12" s="24"/>
      <c r="M12" s="129"/>
      <c r="N12" s="41"/>
    </row>
    <row r="13" spans="1:2502" ht="26.25" customHeight="1" x14ac:dyDescent="0.35">
      <c r="A13" s="114"/>
      <c r="B13" s="117"/>
      <c r="C13" s="113" t="s">
        <v>565</v>
      </c>
      <c r="D13" s="109" t="s">
        <v>566</v>
      </c>
      <c r="E13" s="22" t="s">
        <v>567</v>
      </c>
      <c r="F13" s="4" t="s">
        <v>568</v>
      </c>
      <c r="G13" s="91" t="s">
        <v>32</v>
      </c>
      <c r="H13" s="38" t="s">
        <v>812</v>
      </c>
      <c r="I13" s="39" t="s">
        <v>812</v>
      </c>
      <c r="J13" s="40" t="s">
        <v>812</v>
      </c>
      <c r="K13" s="5">
        <v>525</v>
      </c>
      <c r="L13" s="24"/>
      <c r="M13" s="129"/>
      <c r="N13" s="41"/>
    </row>
    <row r="14" spans="1:2502" ht="39" x14ac:dyDescent="0.35">
      <c r="A14" s="114"/>
      <c r="B14" s="117"/>
      <c r="C14" s="114"/>
      <c r="D14" s="110"/>
      <c r="E14" s="22" t="s">
        <v>569</v>
      </c>
      <c r="F14" s="4" t="s">
        <v>17</v>
      </c>
      <c r="G14" s="91" t="s">
        <v>32</v>
      </c>
      <c r="H14" s="38" t="s">
        <v>812</v>
      </c>
      <c r="I14" s="39" t="s">
        <v>812</v>
      </c>
      <c r="J14" s="40" t="s">
        <v>812</v>
      </c>
      <c r="K14" s="5">
        <v>922</v>
      </c>
      <c r="L14" s="24"/>
      <c r="M14" s="129"/>
      <c r="N14" s="41"/>
    </row>
    <row r="15" spans="1:2502" ht="26" x14ac:dyDescent="0.35">
      <c r="A15" s="114"/>
      <c r="B15" s="117"/>
      <c r="C15" s="115"/>
      <c r="D15" s="111"/>
      <c r="E15" s="22" t="s">
        <v>570</v>
      </c>
      <c r="F15" s="4" t="s">
        <v>571</v>
      </c>
      <c r="G15" s="91" t="s">
        <v>32</v>
      </c>
      <c r="H15" s="38" t="s">
        <v>812</v>
      </c>
      <c r="I15" s="39" t="s">
        <v>812</v>
      </c>
      <c r="J15" s="40" t="s">
        <v>812</v>
      </c>
      <c r="K15" s="5">
        <v>922</v>
      </c>
      <c r="L15" s="24"/>
      <c r="M15" s="129"/>
      <c r="N15" s="41"/>
    </row>
    <row r="16" spans="1:2502" ht="39" x14ac:dyDescent="0.35">
      <c r="A16" s="114"/>
      <c r="B16" s="117"/>
      <c r="C16" s="113" t="s">
        <v>572</v>
      </c>
      <c r="D16" s="109" t="s">
        <v>573</v>
      </c>
      <c r="E16" s="22" t="s">
        <v>574</v>
      </c>
      <c r="F16" s="4" t="s">
        <v>575</v>
      </c>
      <c r="G16" s="91" t="s">
        <v>32</v>
      </c>
      <c r="H16" s="38" t="s">
        <v>812</v>
      </c>
      <c r="I16" s="39" t="s">
        <v>812</v>
      </c>
      <c r="J16" s="40" t="s">
        <v>812</v>
      </c>
      <c r="K16" s="5">
        <v>319</v>
      </c>
      <c r="L16" s="24"/>
      <c r="M16" s="129"/>
      <c r="N16" s="41"/>
    </row>
    <row r="17" spans="1:14" ht="26" x14ac:dyDescent="0.35">
      <c r="A17" s="114"/>
      <c r="B17" s="117"/>
      <c r="C17" s="114"/>
      <c r="D17" s="110"/>
      <c r="E17" s="22" t="s">
        <v>576</v>
      </c>
      <c r="F17" s="4" t="s">
        <v>577</v>
      </c>
      <c r="G17" s="91" t="s">
        <v>32</v>
      </c>
      <c r="H17" s="38" t="s">
        <v>812</v>
      </c>
      <c r="I17" s="39" t="s">
        <v>812</v>
      </c>
      <c r="J17" s="40" t="s">
        <v>812</v>
      </c>
      <c r="K17" s="5">
        <v>212</v>
      </c>
      <c r="L17" s="24"/>
      <c r="M17" s="129"/>
      <c r="N17" s="41"/>
    </row>
    <row r="18" spans="1:14" ht="39" x14ac:dyDescent="0.35">
      <c r="A18" s="114"/>
      <c r="B18" s="117"/>
      <c r="C18" s="114"/>
      <c r="D18" s="110"/>
      <c r="E18" s="22" t="s">
        <v>578</v>
      </c>
      <c r="F18" s="4" t="s">
        <v>579</v>
      </c>
      <c r="G18" s="91" t="s">
        <v>32</v>
      </c>
      <c r="H18" s="38" t="s">
        <v>812</v>
      </c>
      <c r="I18" s="39" t="s">
        <v>812</v>
      </c>
      <c r="J18" s="40" t="s">
        <v>812</v>
      </c>
      <c r="K18" s="5">
        <v>285</v>
      </c>
      <c r="L18" s="24"/>
      <c r="M18" s="129"/>
      <c r="N18" s="41"/>
    </row>
    <row r="19" spans="1:14" ht="39" x14ac:dyDescent="0.35">
      <c r="A19" s="114"/>
      <c r="B19" s="117"/>
      <c r="C19" s="114"/>
      <c r="D19" s="110"/>
      <c r="E19" s="22" t="s">
        <v>580</v>
      </c>
      <c r="F19" s="23" t="s">
        <v>581</v>
      </c>
      <c r="G19" s="91" t="s">
        <v>32</v>
      </c>
      <c r="H19" s="38" t="s">
        <v>812</v>
      </c>
      <c r="I19" s="39" t="s">
        <v>812</v>
      </c>
      <c r="J19" s="40" t="s">
        <v>812</v>
      </c>
      <c r="K19" s="5">
        <v>200</v>
      </c>
      <c r="L19" s="24"/>
      <c r="M19" s="129"/>
      <c r="N19" s="41"/>
    </row>
    <row r="20" spans="1:14" ht="39" x14ac:dyDescent="0.35">
      <c r="A20" s="114"/>
      <c r="B20" s="117"/>
      <c r="C20" s="114"/>
      <c r="D20" s="110"/>
      <c r="E20" s="22" t="s">
        <v>582</v>
      </c>
      <c r="F20" s="4" t="s">
        <v>583</v>
      </c>
      <c r="G20" s="91" t="s">
        <v>32</v>
      </c>
      <c r="H20" s="4"/>
      <c r="I20" s="39" t="s">
        <v>812</v>
      </c>
      <c r="J20" s="40" t="s">
        <v>812</v>
      </c>
      <c r="K20" s="5">
        <v>532</v>
      </c>
      <c r="L20" s="24"/>
      <c r="M20" s="129"/>
      <c r="N20" s="41"/>
    </row>
    <row r="21" spans="1:14" ht="39" x14ac:dyDescent="0.35">
      <c r="A21" s="114"/>
      <c r="B21" s="117"/>
      <c r="C21" s="114"/>
      <c r="D21" s="110"/>
      <c r="E21" s="22" t="s">
        <v>584</v>
      </c>
      <c r="F21" s="4" t="s">
        <v>585</v>
      </c>
      <c r="G21" s="91" t="s">
        <v>32</v>
      </c>
      <c r="H21" s="4"/>
      <c r="I21" s="39" t="s">
        <v>812</v>
      </c>
      <c r="J21" s="40" t="s">
        <v>812</v>
      </c>
      <c r="K21" s="5">
        <v>226</v>
      </c>
      <c r="L21" s="24"/>
      <c r="M21" s="129"/>
      <c r="N21" s="41"/>
    </row>
    <row r="22" spans="1:14" ht="39" x14ac:dyDescent="0.35">
      <c r="A22" s="114"/>
      <c r="B22" s="117"/>
      <c r="C22" s="114"/>
      <c r="D22" s="110"/>
      <c r="E22" s="22" t="s">
        <v>586</v>
      </c>
      <c r="F22" s="23" t="s">
        <v>587</v>
      </c>
      <c r="G22" s="91" t="s">
        <v>32</v>
      </c>
      <c r="H22" s="4"/>
      <c r="I22" s="39" t="s">
        <v>812</v>
      </c>
      <c r="J22" s="40" t="s">
        <v>812</v>
      </c>
      <c r="K22" s="5">
        <v>327</v>
      </c>
      <c r="L22" s="24"/>
      <c r="M22" s="129"/>
      <c r="N22" s="41"/>
    </row>
    <row r="23" spans="1:14" ht="39" x14ac:dyDescent="0.35">
      <c r="A23" s="115"/>
      <c r="B23" s="118"/>
      <c r="C23" s="115"/>
      <c r="D23" s="111"/>
      <c r="E23" s="22" t="s">
        <v>588</v>
      </c>
      <c r="F23" s="4" t="s">
        <v>589</v>
      </c>
      <c r="G23" s="91" t="s">
        <v>32</v>
      </c>
      <c r="H23" s="4"/>
      <c r="I23" s="39" t="s">
        <v>812</v>
      </c>
      <c r="J23" s="40" t="s">
        <v>812</v>
      </c>
      <c r="K23" s="5">
        <v>285</v>
      </c>
      <c r="L23" s="24"/>
      <c r="M23" s="130"/>
      <c r="N23" s="41"/>
    </row>
    <row r="24" spans="1:14" s="13" customFormat="1" x14ac:dyDescent="0.4">
      <c r="B24" s="25"/>
      <c r="D24" s="42"/>
      <c r="E24" s="26"/>
      <c r="G24" s="54"/>
      <c r="N24" s="42"/>
    </row>
    <row r="25" spans="1:14" s="13" customFormat="1" x14ac:dyDescent="0.4">
      <c r="B25" s="25"/>
      <c r="D25" s="42"/>
      <c r="E25" s="26"/>
      <c r="G25" s="54"/>
      <c r="N25" s="42"/>
    </row>
    <row r="26" spans="1:14" s="13" customFormat="1" x14ac:dyDescent="0.4">
      <c r="B26" s="25"/>
      <c r="D26" s="42"/>
      <c r="E26" s="26"/>
      <c r="G26" s="54"/>
      <c r="N26" s="42"/>
    </row>
    <row r="27" spans="1:14" s="13" customFormat="1" x14ac:dyDescent="0.4">
      <c r="B27" s="25"/>
      <c r="D27" s="42"/>
      <c r="E27" s="26"/>
      <c r="G27" s="54"/>
      <c r="N27" s="42"/>
    </row>
    <row r="28" spans="1:14" s="13" customFormat="1" x14ac:dyDescent="0.4">
      <c r="B28" s="25"/>
      <c r="D28" s="42"/>
      <c r="E28" s="26"/>
      <c r="G28" s="54"/>
      <c r="N28" s="42"/>
    </row>
    <row r="29" spans="1:14" s="13" customFormat="1" x14ac:dyDescent="0.4">
      <c r="B29" s="25"/>
      <c r="D29" s="42"/>
      <c r="E29" s="26"/>
      <c r="G29" s="54"/>
      <c r="N29" s="42"/>
    </row>
    <row r="30" spans="1:14" s="13" customFormat="1" x14ac:dyDescent="0.4">
      <c r="B30" s="25"/>
      <c r="D30" s="42"/>
      <c r="E30" s="26"/>
      <c r="G30" s="54"/>
      <c r="N30" s="42"/>
    </row>
    <row r="31" spans="1:14" s="13" customFormat="1" x14ac:dyDescent="0.4">
      <c r="B31" s="25"/>
      <c r="D31" s="42"/>
      <c r="E31" s="26"/>
      <c r="G31" s="54"/>
      <c r="N31" s="42"/>
    </row>
    <row r="32" spans="1:14" s="13" customFormat="1" x14ac:dyDescent="0.4">
      <c r="B32" s="25"/>
      <c r="D32" s="42"/>
      <c r="E32" s="26"/>
      <c r="G32" s="54"/>
      <c r="N32" s="42"/>
    </row>
    <row r="33" spans="2:14" s="13" customFormat="1" x14ac:dyDescent="0.4">
      <c r="B33" s="25"/>
      <c r="D33" s="42"/>
      <c r="E33" s="26"/>
      <c r="G33" s="54"/>
      <c r="N33" s="42"/>
    </row>
    <row r="34" spans="2:14" s="13" customFormat="1" x14ac:dyDescent="0.4">
      <c r="B34" s="25"/>
      <c r="D34" s="42"/>
      <c r="E34" s="26"/>
      <c r="G34" s="54"/>
      <c r="N34" s="42"/>
    </row>
    <row r="35" spans="2:14" s="13" customFormat="1" x14ac:dyDescent="0.4">
      <c r="B35" s="25"/>
      <c r="D35" s="42"/>
      <c r="E35" s="26"/>
      <c r="G35" s="54"/>
      <c r="N35" s="42"/>
    </row>
    <row r="36" spans="2:14" s="13" customFormat="1" x14ac:dyDescent="0.4">
      <c r="B36" s="25"/>
      <c r="D36" s="42"/>
      <c r="E36" s="26"/>
      <c r="G36" s="54"/>
      <c r="N36" s="42"/>
    </row>
    <row r="37" spans="2:14" s="13" customFormat="1" x14ac:dyDescent="0.4">
      <c r="B37" s="25"/>
      <c r="D37" s="42"/>
      <c r="E37" s="26"/>
      <c r="G37" s="54"/>
      <c r="N37" s="42"/>
    </row>
    <row r="38" spans="2:14" s="13" customFormat="1" x14ac:dyDescent="0.4">
      <c r="B38" s="25"/>
      <c r="D38" s="42"/>
      <c r="E38" s="26"/>
      <c r="G38" s="54"/>
      <c r="N38" s="42"/>
    </row>
    <row r="39" spans="2:14" s="13" customFormat="1" x14ac:dyDescent="0.4">
      <c r="B39" s="25"/>
      <c r="D39" s="42"/>
      <c r="E39" s="26"/>
      <c r="G39" s="54"/>
      <c r="N39" s="42"/>
    </row>
    <row r="40" spans="2:14" s="13" customFormat="1" x14ac:dyDescent="0.4">
      <c r="B40" s="25"/>
      <c r="D40" s="42"/>
      <c r="E40" s="26"/>
      <c r="G40" s="54"/>
      <c r="N40" s="42"/>
    </row>
    <row r="41" spans="2:14" s="13" customFormat="1" x14ac:dyDescent="0.4">
      <c r="B41" s="25"/>
      <c r="D41" s="42"/>
      <c r="E41" s="26"/>
      <c r="G41" s="54"/>
      <c r="N41" s="42"/>
    </row>
    <row r="42" spans="2:14" s="13" customFormat="1" x14ac:dyDescent="0.4">
      <c r="B42" s="25"/>
      <c r="D42" s="42"/>
      <c r="E42" s="26"/>
      <c r="G42" s="54"/>
      <c r="N42" s="42"/>
    </row>
    <row r="43" spans="2:14" s="13" customFormat="1" x14ac:dyDescent="0.4">
      <c r="B43" s="25"/>
      <c r="D43" s="42"/>
      <c r="E43" s="26"/>
      <c r="G43" s="54"/>
      <c r="N43" s="42"/>
    </row>
    <row r="44" spans="2:14" s="13" customFormat="1" x14ac:dyDescent="0.4">
      <c r="B44" s="25"/>
      <c r="D44" s="42"/>
      <c r="E44" s="26"/>
      <c r="G44" s="54"/>
      <c r="N44" s="42"/>
    </row>
    <row r="45" spans="2:14" s="13" customFormat="1" x14ac:dyDescent="0.4">
      <c r="B45" s="25"/>
      <c r="D45" s="42"/>
      <c r="E45" s="26"/>
      <c r="G45" s="54"/>
      <c r="N45" s="42"/>
    </row>
    <row r="46" spans="2:14" s="13" customFormat="1" x14ac:dyDescent="0.4">
      <c r="B46" s="25"/>
      <c r="D46" s="42"/>
      <c r="E46" s="26"/>
      <c r="G46" s="54"/>
      <c r="N46" s="42"/>
    </row>
    <row r="47" spans="2:14" s="13" customFormat="1" x14ac:dyDescent="0.4">
      <c r="B47" s="25"/>
      <c r="D47" s="42"/>
      <c r="E47" s="26"/>
      <c r="G47" s="54"/>
      <c r="N47" s="42"/>
    </row>
    <row r="48" spans="2:14" s="13" customFormat="1" x14ac:dyDescent="0.4">
      <c r="B48" s="25"/>
      <c r="D48" s="42"/>
      <c r="E48" s="26"/>
      <c r="G48" s="54"/>
      <c r="N48" s="42"/>
    </row>
    <row r="49" spans="2:14" s="13" customFormat="1" x14ac:dyDescent="0.4">
      <c r="B49" s="25"/>
      <c r="D49" s="42"/>
      <c r="E49" s="26"/>
      <c r="G49" s="54"/>
      <c r="N49" s="42"/>
    </row>
    <row r="50" spans="2:14" s="13" customFormat="1" x14ac:dyDescent="0.4">
      <c r="B50" s="25"/>
      <c r="D50" s="42"/>
      <c r="E50" s="26"/>
      <c r="G50" s="54"/>
      <c r="N50" s="42"/>
    </row>
    <row r="51" spans="2:14" s="13" customFormat="1" x14ac:dyDescent="0.4">
      <c r="B51" s="25"/>
      <c r="D51" s="42"/>
      <c r="E51" s="26"/>
      <c r="G51" s="54"/>
      <c r="N51" s="42"/>
    </row>
    <row r="52" spans="2:14" s="13" customFormat="1" x14ac:dyDescent="0.4">
      <c r="B52" s="25"/>
      <c r="D52" s="42"/>
      <c r="E52" s="26"/>
      <c r="G52" s="54"/>
      <c r="N52" s="42"/>
    </row>
    <row r="53" spans="2:14" s="13" customFormat="1" x14ac:dyDescent="0.4">
      <c r="B53" s="25"/>
      <c r="D53" s="42"/>
      <c r="E53" s="26"/>
      <c r="G53" s="54"/>
      <c r="N53" s="42"/>
    </row>
    <row r="54" spans="2:14" s="13" customFormat="1" x14ac:dyDescent="0.4">
      <c r="B54" s="25"/>
      <c r="D54" s="42"/>
      <c r="E54" s="26"/>
      <c r="G54" s="54"/>
      <c r="N54" s="42"/>
    </row>
    <row r="55" spans="2:14" s="13" customFormat="1" x14ac:dyDescent="0.4">
      <c r="B55" s="25"/>
      <c r="D55" s="42"/>
      <c r="E55" s="26"/>
      <c r="G55" s="54"/>
      <c r="N55" s="42"/>
    </row>
    <row r="56" spans="2:14" s="13" customFormat="1" x14ac:dyDescent="0.4">
      <c r="B56" s="25"/>
      <c r="D56" s="42"/>
      <c r="E56" s="26"/>
      <c r="G56" s="54"/>
      <c r="N56" s="42"/>
    </row>
    <row r="57" spans="2:14" s="13" customFormat="1" x14ac:dyDescent="0.4">
      <c r="B57" s="25"/>
      <c r="D57" s="42"/>
      <c r="E57" s="26"/>
      <c r="G57" s="54"/>
      <c r="N57" s="42"/>
    </row>
    <row r="58" spans="2:14" s="13" customFormat="1" x14ac:dyDescent="0.4">
      <c r="B58" s="25"/>
      <c r="D58" s="42"/>
      <c r="E58" s="26"/>
      <c r="G58" s="54"/>
      <c r="N58" s="42"/>
    </row>
    <row r="59" spans="2:14" s="13" customFormat="1" x14ac:dyDescent="0.4">
      <c r="B59" s="25"/>
      <c r="D59" s="42"/>
      <c r="E59" s="26"/>
      <c r="G59" s="54"/>
      <c r="N59" s="42"/>
    </row>
    <row r="60" spans="2:14" s="13" customFormat="1" x14ac:dyDescent="0.4">
      <c r="B60" s="25"/>
      <c r="D60" s="42"/>
      <c r="E60" s="26"/>
      <c r="G60" s="54"/>
      <c r="N60" s="42"/>
    </row>
    <row r="61" spans="2:14" s="13" customFormat="1" x14ac:dyDescent="0.4">
      <c r="B61" s="25"/>
      <c r="D61" s="42"/>
      <c r="E61" s="26"/>
      <c r="G61" s="54"/>
      <c r="N61" s="42"/>
    </row>
    <row r="62" spans="2:14" s="13" customFormat="1" x14ac:dyDescent="0.4">
      <c r="B62" s="25"/>
      <c r="D62" s="42"/>
      <c r="E62" s="26"/>
      <c r="G62" s="54"/>
      <c r="N62" s="42"/>
    </row>
    <row r="63" spans="2:14" s="13" customFormat="1" x14ac:dyDescent="0.4">
      <c r="B63" s="25"/>
      <c r="D63" s="42"/>
      <c r="E63" s="26"/>
      <c r="G63" s="54"/>
      <c r="N63" s="42"/>
    </row>
    <row r="64" spans="2:14" s="13" customFormat="1" x14ac:dyDescent="0.4">
      <c r="B64" s="25"/>
      <c r="D64" s="42"/>
      <c r="E64" s="26"/>
      <c r="G64" s="54"/>
      <c r="N64" s="42"/>
    </row>
    <row r="65" spans="2:14" s="13" customFormat="1" x14ac:dyDescent="0.4">
      <c r="B65" s="25"/>
      <c r="D65" s="42"/>
      <c r="E65" s="26"/>
      <c r="G65" s="54"/>
      <c r="N65" s="42"/>
    </row>
    <row r="66" spans="2:14" s="13" customFormat="1" x14ac:dyDescent="0.4">
      <c r="B66" s="25"/>
      <c r="D66" s="42"/>
      <c r="E66" s="26"/>
      <c r="G66" s="54"/>
      <c r="N66" s="42"/>
    </row>
    <row r="67" spans="2:14" s="13" customFormat="1" x14ac:dyDescent="0.4">
      <c r="B67" s="25"/>
      <c r="D67" s="42"/>
      <c r="E67" s="26"/>
      <c r="G67" s="54"/>
      <c r="N67" s="42"/>
    </row>
    <row r="68" spans="2:14" s="13" customFormat="1" x14ac:dyDescent="0.4">
      <c r="B68" s="25"/>
      <c r="D68" s="42"/>
      <c r="E68" s="26"/>
      <c r="G68" s="54"/>
      <c r="N68" s="42"/>
    </row>
    <row r="69" spans="2:14" s="13" customFormat="1" x14ac:dyDescent="0.4">
      <c r="B69" s="25"/>
      <c r="D69" s="42"/>
      <c r="E69" s="26"/>
      <c r="G69" s="54"/>
      <c r="N69" s="42"/>
    </row>
    <row r="70" spans="2:14" s="13" customFormat="1" x14ac:dyDescent="0.4">
      <c r="B70" s="25"/>
      <c r="D70" s="42"/>
      <c r="E70" s="26"/>
      <c r="G70" s="54"/>
      <c r="N70" s="42"/>
    </row>
    <row r="71" spans="2:14" s="13" customFormat="1" x14ac:dyDescent="0.4">
      <c r="B71" s="25"/>
      <c r="D71" s="42"/>
      <c r="E71" s="26"/>
      <c r="G71" s="54"/>
      <c r="N71" s="42"/>
    </row>
    <row r="72" spans="2:14" s="13" customFormat="1" x14ac:dyDescent="0.4">
      <c r="B72" s="25"/>
      <c r="D72" s="42"/>
      <c r="E72" s="26"/>
      <c r="G72" s="54"/>
      <c r="N72" s="42"/>
    </row>
    <row r="73" spans="2:14" s="13" customFormat="1" x14ac:dyDescent="0.4">
      <c r="B73" s="25"/>
      <c r="D73" s="42"/>
      <c r="E73" s="26"/>
      <c r="G73" s="54"/>
      <c r="N73" s="42"/>
    </row>
    <row r="74" spans="2:14" s="13" customFormat="1" x14ac:dyDescent="0.4">
      <c r="B74" s="25"/>
      <c r="D74" s="42"/>
      <c r="E74" s="26"/>
      <c r="G74" s="54"/>
      <c r="N74" s="42"/>
    </row>
    <row r="75" spans="2:14" s="13" customFormat="1" x14ac:dyDescent="0.4">
      <c r="B75" s="25"/>
      <c r="D75" s="42"/>
      <c r="E75" s="26"/>
      <c r="G75" s="54"/>
      <c r="N75" s="42"/>
    </row>
    <row r="76" spans="2:14" s="13" customFormat="1" x14ac:dyDescent="0.4">
      <c r="B76" s="25"/>
      <c r="D76" s="42"/>
      <c r="E76" s="26"/>
      <c r="G76" s="54"/>
      <c r="N76" s="42"/>
    </row>
    <row r="77" spans="2:14" s="13" customFormat="1" x14ac:dyDescent="0.4">
      <c r="B77" s="25"/>
      <c r="D77" s="42"/>
      <c r="E77" s="26"/>
      <c r="G77" s="54"/>
      <c r="N77" s="42"/>
    </row>
    <row r="78" spans="2:14" s="13" customFormat="1" x14ac:dyDescent="0.4">
      <c r="B78" s="25"/>
      <c r="D78" s="42"/>
      <c r="E78" s="26"/>
      <c r="G78" s="54"/>
      <c r="N78" s="42"/>
    </row>
    <row r="79" spans="2:14" s="13" customFormat="1" x14ac:dyDescent="0.4">
      <c r="B79" s="25"/>
      <c r="D79" s="42"/>
      <c r="E79" s="26"/>
      <c r="G79" s="54"/>
      <c r="N79" s="42"/>
    </row>
    <row r="80" spans="2:14" s="13" customFormat="1" x14ac:dyDescent="0.4">
      <c r="B80" s="25"/>
      <c r="D80" s="42"/>
      <c r="E80" s="26"/>
      <c r="G80" s="54"/>
      <c r="N80" s="42"/>
    </row>
    <row r="81" spans="2:14" s="13" customFormat="1" x14ac:dyDescent="0.4">
      <c r="B81" s="25"/>
      <c r="D81" s="42"/>
      <c r="E81" s="26"/>
      <c r="G81" s="54"/>
      <c r="N81" s="42"/>
    </row>
    <row r="82" spans="2:14" s="13" customFormat="1" x14ac:dyDescent="0.4">
      <c r="B82" s="25"/>
      <c r="D82" s="42"/>
      <c r="E82" s="26"/>
      <c r="G82" s="54"/>
      <c r="N82" s="42"/>
    </row>
    <row r="83" spans="2:14" s="13" customFormat="1" x14ac:dyDescent="0.4">
      <c r="B83" s="25"/>
      <c r="D83" s="42"/>
      <c r="E83" s="26"/>
      <c r="G83" s="54"/>
      <c r="N83" s="42"/>
    </row>
    <row r="84" spans="2:14" s="13" customFormat="1" x14ac:dyDescent="0.4">
      <c r="B84" s="25"/>
      <c r="D84" s="42"/>
      <c r="E84" s="26"/>
      <c r="G84" s="54"/>
      <c r="N84" s="42"/>
    </row>
    <row r="85" spans="2:14" s="13" customFormat="1" x14ac:dyDescent="0.4">
      <c r="B85" s="25"/>
      <c r="D85" s="42"/>
      <c r="E85" s="26"/>
      <c r="G85" s="54"/>
      <c r="N85" s="42"/>
    </row>
    <row r="86" spans="2:14" s="13" customFormat="1" x14ac:dyDescent="0.4">
      <c r="B86" s="25"/>
      <c r="D86" s="42"/>
      <c r="E86" s="26"/>
      <c r="G86" s="54"/>
      <c r="N86" s="42"/>
    </row>
    <row r="87" spans="2:14" s="13" customFormat="1" x14ac:dyDescent="0.4">
      <c r="B87" s="25"/>
      <c r="D87" s="42"/>
      <c r="E87" s="26"/>
      <c r="G87" s="54"/>
      <c r="N87" s="42"/>
    </row>
    <row r="88" spans="2:14" s="13" customFormat="1" x14ac:dyDescent="0.4">
      <c r="B88" s="25"/>
      <c r="D88" s="42"/>
      <c r="E88" s="26"/>
      <c r="G88" s="54"/>
      <c r="N88" s="42"/>
    </row>
    <row r="89" spans="2:14" s="13" customFormat="1" x14ac:dyDescent="0.4">
      <c r="B89" s="25"/>
      <c r="D89" s="42"/>
      <c r="E89" s="26"/>
      <c r="G89" s="54"/>
      <c r="N89" s="42"/>
    </row>
    <row r="90" spans="2:14" s="13" customFormat="1" x14ac:dyDescent="0.4">
      <c r="B90" s="25"/>
      <c r="D90" s="42"/>
      <c r="E90" s="26"/>
      <c r="G90" s="54"/>
      <c r="N90" s="42"/>
    </row>
    <row r="91" spans="2:14" s="13" customFormat="1" x14ac:dyDescent="0.4">
      <c r="B91" s="25"/>
      <c r="D91" s="42"/>
      <c r="E91" s="26"/>
      <c r="G91" s="54"/>
      <c r="N91" s="42"/>
    </row>
    <row r="92" spans="2:14" s="13" customFormat="1" x14ac:dyDescent="0.4">
      <c r="B92" s="25"/>
      <c r="D92" s="42"/>
      <c r="E92" s="26"/>
      <c r="G92" s="54"/>
      <c r="N92" s="42"/>
    </row>
    <row r="93" spans="2:14" s="13" customFormat="1" x14ac:dyDescent="0.4">
      <c r="B93" s="25"/>
      <c r="D93" s="42"/>
      <c r="E93" s="26"/>
      <c r="G93" s="54"/>
      <c r="N93" s="42"/>
    </row>
    <row r="94" spans="2:14" s="13" customFormat="1" x14ac:dyDescent="0.4">
      <c r="B94" s="25"/>
      <c r="D94" s="42"/>
      <c r="E94" s="26"/>
      <c r="G94" s="54"/>
      <c r="N94" s="42"/>
    </row>
    <row r="95" spans="2:14" s="13" customFormat="1" x14ac:dyDescent="0.4">
      <c r="B95" s="25"/>
      <c r="D95" s="42"/>
      <c r="E95" s="26"/>
      <c r="G95" s="54"/>
      <c r="N95" s="42"/>
    </row>
    <row r="96" spans="2:14" s="13" customFormat="1" x14ac:dyDescent="0.4">
      <c r="B96" s="25"/>
      <c r="D96" s="42"/>
      <c r="E96" s="26"/>
      <c r="G96" s="54"/>
      <c r="N96" s="42"/>
    </row>
    <row r="97" spans="2:14" s="13" customFormat="1" x14ac:dyDescent="0.4">
      <c r="B97" s="25"/>
      <c r="D97" s="42"/>
      <c r="E97" s="26"/>
      <c r="G97" s="54"/>
      <c r="N97" s="42"/>
    </row>
    <row r="98" spans="2:14" s="13" customFormat="1" x14ac:dyDescent="0.4">
      <c r="B98" s="25"/>
      <c r="D98" s="42"/>
      <c r="E98" s="26"/>
      <c r="G98" s="54"/>
      <c r="N98" s="42"/>
    </row>
    <row r="99" spans="2:14" s="13" customFormat="1" x14ac:dyDescent="0.4">
      <c r="B99" s="25"/>
      <c r="D99" s="42"/>
      <c r="E99" s="26"/>
      <c r="G99" s="54"/>
      <c r="N99" s="42"/>
    </row>
    <row r="100" spans="2:14" s="13" customFormat="1" x14ac:dyDescent="0.4">
      <c r="B100" s="25"/>
      <c r="D100" s="42"/>
      <c r="E100" s="26"/>
      <c r="G100" s="54"/>
      <c r="N100" s="42"/>
    </row>
    <row r="101" spans="2:14" s="13" customFormat="1" x14ac:dyDescent="0.4">
      <c r="B101" s="25"/>
      <c r="D101" s="42"/>
      <c r="E101" s="26"/>
      <c r="G101" s="54"/>
      <c r="N101" s="42"/>
    </row>
    <row r="102" spans="2:14" s="13" customFormat="1" x14ac:dyDescent="0.4">
      <c r="B102" s="25"/>
      <c r="D102" s="42"/>
      <c r="E102" s="26"/>
      <c r="G102" s="54"/>
      <c r="N102" s="42"/>
    </row>
    <row r="103" spans="2:14" s="13" customFormat="1" x14ac:dyDescent="0.4">
      <c r="B103" s="25"/>
      <c r="D103" s="42"/>
      <c r="E103" s="26"/>
      <c r="G103" s="54"/>
      <c r="N103" s="42"/>
    </row>
    <row r="104" spans="2:14" s="13" customFormat="1" x14ac:dyDescent="0.4">
      <c r="B104" s="25"/>
      <c r="D104" s="42"/>
      <c r="E104" s="26"/>
      <c r="G104" s="54"/>
      <c r="N104" s="42"/>
    </row>
    <row r="105" spans="2:14" s="13" customFormat="1" x14ac:dyDescent="0.4">
      <c r="B105" s="25"/>
      <c r="D105" s="42"/>
      <c r="E105" s="26"/>
      <c r="G105" s="54"/>
      <c r="N105" s="42"/>
    </row>
    <row r="106" spans="2:14" s="13" customFormat="1" x14ac:dyDescent="0.4">
      <c r="B106" s="25"/>
      <c r="D106" s="42"/>
      <c r="E106" s="26"/>
      <c r="G106" s="54"/>
      <c r="N106" s="42"/>
    </row>
    <row r="107" spans="2:14" s="13" customFormat="1" x14ac:dyDescent="0.4">
      <c r="B107" s="25"/>
      <c r="D107" s="42"/>
      <c r="E107" s="26"/>
      <c r="G107" s="54"/>
      <c r="N107" s="42"/>
    </row>
    <row r="108" spans="2:14" s="13" customFormat="1" x14ac:dyDescent="0.4">
      <c r="B108" s="25"/>
      <c r="D108" s="42"/>
      <c r="E108" s="26"/>
      <c r="G108" s="54"/>
      <c r="N108" s="42"/>
    </row>
    <row r="109" spans="2:14" s="13" customFormat="1" x14ac:dyDescent="0.4">
      <c r="B109" s="25"/>
      <c r="D109" s="42"/>
      <c r="E109" s="26"/>
      <c r="G109" s="54"/>
      <c r="N109" s="42"/>
    </row>
    <row r="110" spans="2:14" s="13" customFormat="1" x14ac:dyDescent="0.4">
      <c r="B110" s="25"/>
      <c r="D110" s="42"/>
      <c r="E110" s="26"/>
      <c r="G110" s="54"/>
      <c r="N110" s="42"/>
    </row>
    <row r="111" spans="2:14" s="13" customFormat="1" x14ac:dyDescent="0.4">
      <c r="B111" s="25"/>
      <c r="D111" s="42"/>
      <c r="E111" s="26"/>
      <c r="G111" s="54"/>
      <c r="N111" s="42"/>
    </row>
    <row r="112" spans="2:14" s="13" customFormat="1" x14ac:dyDescent="0.4">
      <c r="B112" s="25"/>
      <c r="D112" s="42"/>
      <c r="E112" s="26"/>
      <c r="G112" s="54"/>
      <c r="N112" s="42"/>
    </row>
    <row r="113" spans="2:14" s="13" customFormat="1" x14ac:dyDescent="0.4">
      <c r="B113" s="25"/>
      <c r="D113" s="42"/>
      <c r="E113" s="26"/>
      <c r="G113" s="54"/>
      <c r="N113" s="42"/>
    </row>
    <row r="114" spans="2:14" s="13" customFormat="1" x14ac:dyDescent="0.4">
      <c r="B114" s="25"/>
      <c r="D114" s="42"/>
      <c r="E114" s="26"/>
      <c r="G114" s="54"/>
      <c r="N114" s="42"/>
    </row>
    <row r="115" spans="2:14" s="13" customFormat="1" x14ac:dyDescent="0.4">
      <c r="B115" s="25"/>
      <c r="D115" s="42"/>
      <c r="E115" s="26"/>
      <c r="G115" s="54"/>
      <c r="N115" s="42"/>
    </row>
    <row r="116" spans="2:14" s="13" customFormat="1" x14ac:dyDescent="0.4">
      <c r="B116" s="25"/>
      <c r="D116" s="42"/>
      <c r="E116" s="26"/>
      <c r="G116" s="54"/>
      <c r="N116" s="42"/>
    </row>
    <row r="117" spans="2:14" s="13" customFormat="1" x14ac:dyDescent="0.4">
      <c r="B117" s="25"/>
      <c r="D117" s="42"/>
      <c r="E117" s="26"/>
      <c r="G117" s="54"/>
      <c r="N117" s="42"/>
    </row>
    <row r="118" spans="2:14" s="13" customFormat="1" x14ac:dyDescent="0.4">
      <c r="B118" s="25"/>
      <c r="D118" s="42"/>
      <c r="E118" s="26"/>
      <c r="G118" s="54"/>
      <c r="N118" s="42"/>
    </row>
    <row r="119" spans="2:14" s="13" customFormat="1" x14ac:dyDescent="0.4">
      <c r="B119" s="25"/>
      <c r="D119" s="42"/>
      <c r="E119" s="26"/>
      <c r="G119" s="54"/>
      <c r="N119" s="42"/>
    </row>
    <row r="120" spans="2:14" s="13" customFormat="1" x14ac:dyDescent="0.4">
      <c r="B120" s="25"/>
      <c r="D120" s="42"/>
      <c r="E120" s="26"/>
      <c r="G120" s="54"/>
      <c r="N120" s="42"/>
    </row>
    <row r="121" spans="2:14" s="13" customFormat="1" x14ac:dyDescent="0.4">
      <c r="B121" s="25"/>
      <c r="D121" s="42"/>
      <c r="E121" s="26"/>
      <c r="G121" s="54"/>
      <c r="N121" s="42"/>
    </row>
    <row r="122" spans="2:14" s="13" customFormat="1" x14ac:dyDescent="0.4">
      <c r="B122" s="25"/>
      <c r="D122" s="42"/>
      <c r="E122" s="26"/>
      <c r="G122" s="54"/>
      <c r="N122" s="42"/>
    </row>
    <row r="123" spans="2:14" s="13" customFormat="1" x14ac:dyDescent="0.4">
      <c r="B123" s="25"/>
      <c r="D123" s="42"/>
      <c r="E123" s="26"/>
      <c r="G123" s="54"/>
      <c r="N123" s="42"/>
    </row>
    <row r="124" spans="2:14" s="13" customFormat="1" x14ac:dyDescent="0.4">
      <c r="B124" s="25"/>
      <c r="D124" s="42"/>
      <c r="E124" s="26"/>
      <c r="G124" s="54"/>
      <c r="N124" s="42"/>
    </row>
    <row r="125" spans="2:14" s="13" customFormat="1" x14ac:dyDescent="0.4">
      <c r="B125" s="25"/>
      <c r="D125" s="42"/>
      <c r="E125" s="26"/>
      <c r="G125" s="54"/>
      <c r="N125" s="42"/>
    </row>
    <row r="126" spans="2:14" s="13" customFormat="1" x14ac:dyDescent="0.4">
      <c r="B126" s="25"/>
      <c r="D126" s="42"/>
      <c r="E126" s="26"/>
      <c r="G126" s="54"/>
      <c r="N126" s="42"/>
    </row>
    <row r="127" spans="2:14" s="13" customFormat="1" x14ac:dyDescent="0.4">
      <c r="B127" s="25"/>
      <c r="D127" s="42"/>
      <c r="E127" s="26"/>
      <c r="G127" s="54"/>
      <c r="N127" s="42"/>
    </row>
    <row r="128" spans="2:14" s="13" customFormat="1" x14ac:dyDescent="0.4">
      <c r="B128" s="25"/>
      <c r="D128" s="42"/>
      <c r="E128" s="26"/>
      <c r="G128" s="54"/>
      <c r="N128" s="42"/>
    </row>
    <row r="129" spans="2:14" s="13" customFormat="1" x14ac:dyDescent="0.4">
      <c r="B129" s="25"/>
      <c r="D129" s="42"/>
      <c r="E129" s="26"/>
      <c r="G129" s="54"/>
      <c r="N129" s="42"/>
    </row>
    <row r="130" spans="2:14" s="13" customFormat="1" x14ac:dyDescent="0.4">
      <c r="B130" s="25"/>
      <c r="D130" s="42"/>
      <c r="E130" s="26"/>
      <c r="G130" s="54"/>
      <c r="N130" s="42"/>
    </row>
    <row r="131" spans="2:14" s="13" customFormat="1" x14ac:dyDescent="0.4">
      <c r="B131" s="25"/>
      <c r="D131" s="42"/>
      <c r="E131" s="26"/>
      <c r="G131" s="54"/>
      <c r="N131" s="42"/>
    </row>
    <row r="132" spans="2:14" s="13" customFormat="1" x14ac:dyDescent="0.4">
      <c r="B132" s="25"/>
      <c r="D132" s="42"/>
      <c r="E132" s="26"/>
      <c r="G132" s="54"/>
      <c r="N132" s="42"/>
    </row>
    <row r="133" spans="2:14" s="13" customFormat="1" x14ac:dyDescent="0.4">
      <c r="B133" s="25"/>
      <c r="D133" s="42"/>
      <c r="E133" s="26"/>
      <c r="G133" s="54"/>
      <c r="N133" s="42"/>
    </row>
    <row r="134" spans="2:14" s="13" customFormat="1" x14ac:dyDescent="0.4">
      <c r="B134" s="25"/>
      <c r="D134" s="42"/>
      <c r="E134" s="26"/>
      <c r="G134" s="54"/>
      <c r="N134" s="42"/>
    </row>
    <row r="135" spans="2:14" s="13" customFormat="1" x14ac:dyDescent="0.4">
      <c r="B135" s="25"/>
      <c r="D135" s="42"/>
      <c r="E135" s="26"/>
      <c r="G135" s="54"/>
      <c r="N135" s="42"/>
    </row>
    <row r="136" spans="2:14" s="13" customFormat="1" x14ac:dyDescent="0.4">
      <c r="B136" s="25"/>
      <c r="D136" s="42"/>
      <c r="E136" s="26"/>
      <c r="G136" s="54"/>
      <c r="N136" s="42"/>
    </row>
    <row r="137" spans="2:14" s="13" customFormat="1" x14ac:dyDescent="0.4">
      <c r="B137" s="25"/>
      <c r="D137" s="42"/>
      <c r="E137" s="26"/>
      <c r="G137" s="54"/>
      <c r="N137" s="42"/>
    </row>
    <row r="138" spans="2:14" s="13" customFormat="1" x14ac:dyDescent="0.4">
      <c r="B138" s="25"/>
      <c r="D138" s="42"/>
      <c r="E138" s="26"/>
      <c r="G138" s="54"/>
      <c r="N138" s="42"/>
    </row>
    <row r="139" spans="2:14" s="13" customFormat="1" x14ac:dyDescent="0.4">
      <c r="B139" s="25"/>
      <c r="D139" s="42"/>
      <c r="E139" s="26"/>
      <c r="G139" s="54"/>
      <c r="N139" s="42"/>
    </row>
    <row r="140" spans="2:14" s="13" customFormat="1" x14ac:dyDescent="0.4">
      <c r="B140" s="25"/>
      <c r="D140" s="42"/>
      <c r="E140" s="26"/>
      <c r="G140" s="54"/>
      <c r="N140" s="42"/>
    </row>
    <row r="141" spans="2:14" s="13" customFormat="1" x14ac:dyDescent="0.4">
      <c r="B141" s="25"/>
      <c r="D141" s="42"/>
      <c r="E141" s="26"/>
      <c r="G141" s="54"/>
      <c r="N141" s="42"/>
    </row>
    <row r="142" spans="2:14" s="13" customFormat="1" x14ac:dyDescent="0.4">
      <c r="B142" s="25"/>
      <c r="D142" s="42"/>
      <c r="E142" s="26"/>
      <c r="G142" s="54"/>
      <c r="N142" s="42"/>
    </row>
    <row r="143" spans="2:14" s="13" customFormat="1" x14ac:dyDescent="0.4">
      <c r="B143" s="25"/>
      <c r="D143" s="42"/>
      <c r="E143" s="26"/>
      <c r="G143" s="54"/>
      <c r="N143" s="42"/>
    </row>
    <row r="144" spans="2:14" s="13" customFormat="1" x14ac:dyDescent="0.4">
      <c r="B144" s="25"/>
      <c r="D144" s="42"/>
      <c r="E144" s="26"/>
      <c r="G144" s="54"/>
      <c r="N144" s="42"/>
    </row>
    <row r="145" spans="2:14" s="13" customFormat="1" x14ac:dyDescent="0.4">
      <c r="B145" s="25"/>
      <c r="D145" s="42"/>
      <c r="E145" s="26"/>
      <c r="G145" s="54"/>
      <c r="N145" s="42"/>
    </row>
    <row r="146" spans="2:14" s="13" customFormat="1" x14ac:dyDescent="0.4">
      <c r="B146" s="25"/>
      <c r="D146" s="42"/>
      <c r="E146" s="26"/>
      <c r="G146" s="54"/>
      <c r="N146" s="42"/>
    </row>
    <row r="147" spans="2:14" s="13" customFormat="1" x14ac:dyDescent="0.4">
      <c r="B147" s="25"/>
      <c r="D147" s="42"/>
      <c r="E147" s="26"/>
      <c r="G147" s="54"/>
      <c r="N147" s="42"/>
    </row>
    <row r="148" spans="2:14" s="13" customFormat="1" x14ac:dyDescent="0.4">
      <c r="B148" s="25"/>
      <c r="D148" s="42"/>
      <c r="E148" s="26"/>
      <c r="G148" s="54"/>
      <c r="N148" s="42"/>
    </row>
    <row r="149" spans="2:14" s="13" customFormat="1" x14ac:dyDescent="0.4">
      <c r="B149" s="25"/>
      <c r="D149" s="42"/>
      <c r="E149" s="26"/>
      <c r="G149" s="54"/>
      <c r="N149" s="42"/>
    </row>
    <row r="150" spans="2:14" s="13" customFormat="1" x14ac:dyDescent="0.4">
      <c r="B150" s="25"/>
      <c r="D150" s="42"/>
      <c r="E150" s="26"/>
      <c r="G150" s="54"/>
      <c r="N150" s="42"/>
    </row>
    <row r="151" spans="2:14" s="13" customFormat="1" x14ac:dyDescent="0.4">
      <c r="B151" s="25"/>
      <c r="D151" s="42"/>
      <c r="E151" s="26"/>
      <c r="G151" s="54"/>
      <c r="N151" s="42"/>
    </row>
    <row r="152" spans="2:14" s="13" customFormat="1" x14ac:dyDescent="0.4">
      <c r="B152" s="25"/>
      <c r="D152" s="42"/>
      <c r="E152" s="26"/>
      <c r="G152" s="54"/>
      <c r="N152" s="42"/>
    </row>
    <row r="153" spans="2:14" s="13" customFormat="1" x14ac:dyDescent="0.4">
      <c r="B153" s="25"/>
      <c r="D153" s="42"/>
      <c r="E153" s="26"/>
      <c r="G153" s="54"/>
      <c r="N153" s="42"/>
    </row>
    <row r="154" spans="2:14" s="13" customFormat="1" x14ac:dyDescent="0.4">
      <c r="B154" s="25"/>
      <c r="D154" s="42"/>
      <c r="E154" s="26"/>
      <c r="G154" s="54"/>
      <c r="N154" s="42"/>
    </row>
    <row r="155" spans="2:14" s="13" customFormat="1" x14ac:dyDescent="0.4">
      <c r="B155" s="25"/>
      <c r="D155" s="42"/>
      <c r="E155" s="26"/>
      <c r="G155" s="54"/>
      <c r="N155" s="42"/>
    </row>
    <row r="156" spans="2:14" s="13" customFormat="1" x14ac:dyDescent="0.4">
      <c r="B156" s="25"/>
      <c r="D156" s="42"/>
      <c r="E156" s="26"/>
      <c r="G156" s="54"/>
      <c r="N156" s="42"/>
    </row>
    <row r="157" spans="2:14" s="13" customFormat="1" x14ac:dyDescent="0.4">
      <c r="B157" s="25"/>
      <c r="D157" s="42"/>
      <c r="E157" s="26"/>
      <c r="G157" s="54"/>
      <c r="N157" s="42"/>
    </row>
    <row r="158" spans="2:14" s="13" customFormat="1" x14ac:dyDescent="0.4">
      <c r="B158" s="25"/>
      <c r="D158" s="42"/>
      <c r="E158" s="26"/>
      <c r="G158" s="54"/>
      <c r="N158" s="42"/>
    </row>
    <row r="159" spans="2:14" s="13" customFormat="1" x14ac:dyDescent="0.4">
      <c r="B159" s="25"/>
      <c r="D159" s="42"/>
      <c r="E159" s="26"/>
      <c r="G159" s="54"/>
      <c r="N159" s="42"/>
    </row>
    <row r="160" spans="2:14" s="13" customFormat="1" x14ac:dyDescent="0.4">
      <c r="B160" s="25"/>
      <c r="D160" s="42"/>
      <c r="E160" s="26"/>
      <c r="G160" s="54"/>
      <c r="N160" s="42"/>
    </row>
    <row r="161" spans="2:14" s="13" customFormat="1" x14ac:dyDescent="0.4">
      <c r="B161" s="25"/>
      <c r="D161" s="42"/>
      <c r="E161" s="26"/>
      <c r="G161" s="54"/>
      <c r="N161" s="42"/>
    </row>
    <row r="162" spans="2:14" s="13" customFormat="1" x14ac:dyDescent="0.4">
      <c r="B162" s="25"/>
      <c r="D162" s="42"/>
      <c r="E162" s="26"/>
      <c r="G162" s="54"/>
      <c r="N162" s="42"/>
    </row>
    <row r="163" spans="2:14" s="13" customFormat="1" x14ac:dyDescent="0.4">
      <c r="B163" s="25"/>
      <c r="D163" s="42"/>
      <c r="E163" s="26"/>
      <c r="G163" s="54"/>
      <c r="N163" s="42"/>
    </row>
    <row r="164" spans="2:14" s="13" customFormat="1" x14ac:dyDescent="0.4">
      <c r="B164" s="25"/>
      <c r="D164" s="42"/>
      <c r="E164" s="26"/>
      <c r="G164" s="54"/>
      <c r="N164" s="42"/>
    </row>
    <row r="165" spans="2:14" s="13" customFormat="1" x14ac:dyDescent="0.4">
      <c r="B165" s="25"/>
      <c r="D165" s="42"/>
      <c r="E165" s="26"/>
      <c r="G165" s="54"/>
      <c r="N165" s="42"/>
    </row>
    <row r="166" spans="2:14" s="13" customFormat="1" x14ac:dyDescent="0.4">
      <c r="B166" s="25"/>
      <c r="D166" s="42"/>
      <c r="E166" s="26"/>
      <c r="G166" s="54"/>
      <c r="N166" s="42"/>
    </row>
    <row r="167" spans="2:14" s="13" customFormat="1" x14ac:dyDescent="0.4">
      <c r="B167" s="25"/>
      <c r="D167" s="42"/>
      <c r="E167" s="26"/>
      <c r="G167" s="54"/>
      <c r="N167" s="42"/>
    </row>
    <row r="168" spans="2:14" s="13" customFormat="1" x14ac:dyDescent="0.4">
      <c r="B168" s="25"/>
      <c r="D168" s="42"/>
      <c r="E168" s="26"/>
      <c r="G168" s="54"/>
      <c r="N168" s="42"/>
    </row>
    <row r="169" spans="2:14" s="13" customFormat="1" x14ac:dyDescent="0.4">
      <c r="B169" s="25"/>
      <c r="D169" s="42"/>
      <c r="E169" s="26"/>
      <c r="G169" s="54"/>
      <c r="N169" s="42"/>
    </row>
    <row r="170" spans="2:14" s="13" customFormat="1" x14ac:dyDescent="0.4">
      <c r="B170" s="25"/>
      <c r="D170" s="42"/>
      <c r="E170" s="26"/>
      <c r="G170" s="54"/>
      <c r="N170" s="42"/>
    </row>
    <row r="171" spans="2:14" s="13" customFormat="1" x14ac:dyDescent="0.4">
      <c r="B171" s="25"/>
      <c r="D171" s="42"/>
      <c r="E171" s="26"/>
      <c r="G171" s="54"/>
      <c r="N171" s="42"/>
    </row>
    <row r="172" spans="2:14" s="13" customFormat="1" x14ac:dyDescent="0.4">
      <c r="B172" s="25"/>
      <c r="D172" s="42"/>
      <c r="E172" s="26"/>
      <c r="G172" s="54"/>
      <c r="N172" s="42"/>
    </row>
    <row r="173" spans="2:14" s="13" customFormat="1" x14ac:dyDescent="0.4">
      <c r="B173" s="25"/>
      <c r="D173" s="42"/>
      <c r="E173" s="26"/>
      <c r="G173" s="54"/>
      <c r="N173" s="42"/>
    </row>
    <row r="174" spans="2:14" s="13" customFormat="1" x14ac:dyDescent="0.4">
      <c r="B174" s="25"/>
      <c r="D174" s="42"/>
      <c r="E174" s="26"/>
      <c r="G174" s="54"/>
      <c r="N174" s="42"/>
    </row>
    <row r="175" spans="2:14" s="13" customFormat="1" x14ac:dyDescent="0.4">
      <c r="B175" s="25"/>
      <c r="D175" s="42"/>
      <c r="E175" s="26"/>
      <c r="G175" s="54"/>
      <c r="N175" s="42"/>
    </row>
    <row r="176" spans="2:14" s="13" customFormat="1" x14ac:dyDescent="0.4">
      <c r="B176" s="25"/>
      <c r="D176" s="42"/>
      <c r="E176" s="26"/>
      <c r="G176" s="54"/>
      <c r="N176" s="42"/>
    </row>
    <row r="177" spans="2:14" s="13" customFormat="1" x14ac:dyDescent="0.4">
      <c r="B177" s="25"/>
      <c r="D177" s="42"/>
      <c r="E177" s="26"/>
      <c r="G177" s="54"/>
      <c r="N177" s="42"/>
    </row>
    <row r="178" spans="2:14" s="13" customFormat="1" x14ac:dyDescent="0.4">
      <c r="B178" s="25"/>
      <c r="D178" s="42"/>
      <c r="E178" s="26"/>
      <c r="G178" s="54"/>
      <c r="N178" s="42"/>
    </row>
    <row r="179" spans="2:14" s="13" customFormat="1" x14ac:dyDescent="0.4">
      <c r="B179" s="25"/>
      <c r="D179" s="42"/>
      <c r="E179" s="26"/>
      <c r="G179" s="54"/>
      <c r="N179" s="42"/>
    </row>
    <row r="180" spans="2:14" s="13" customFormat="1" x14ac:dyDescent="0.4">
      <c r="B180" s="25"/>
      <c r="D180" s="42"/>
      <c r="E180" s="26"/>
      <c r="G180" s="54"/>
      <c r="N180" s="42"/>
    </row>
    <row r="181" spans="2:14" s="13" customFormat="1" x14ac:dyDescent="0.4">
      <c r="B181" s="25"/>
      <c r="D181" s="42"/>
      <c r="E181" s="26"/>
      <c r="G181" s="54"/>
      <c r="N181" s="42"/>
    </row>
    <row r="182" spans="2:14" s="13" customFormat="1" x14ac:dyDescent="0.4">
      <c r="B182" s="25"/>
      <c r="D182" s="42"/>
      <c r="E182" s="26"/>
      <c r="G182" s="54"/>
      <c r="N182" s="42"/>
    </row>
    <row r="183" spans="2:14" s="13" customFormat="1" x14ac:dyDescent="0.4">
      <c r="B183" s="25"/>
      <c r="D183" s="42"/>
      <c r="E183" s="26"/>
      <c r="G183" s="54"/>
      <c r="N183" s="42"/>
    </row>
    <row r="184" spans="2:14" s="13" customFormat="1" x14ac:dyDescent="0.4">
      <c r="B184" s="25"/>
      <c r="D184" s="42"/>
      <c r="E184" s="26"/>
      <c r="G184" s="54"/>
      <c r="N184" s="42"/>
    </row>
    <row r="185" spans="2:14" s="13" customFormat="1" x14ac:dyDescent="0.4">
      <c r="B185" s="25"/>
      <c r="D185" s="42"/>
      <c r="E185" s="26"/>
      <c r="G185" s="54"/>
      <c r="N185" s="42"/>
    </row>
    <row r="186" spans="2:14" s="13" customFormat="1" x14ac:dyDescent="0.4">
      <c r="B186" s="25"/>
      <c r="D186" s="42"/>
      <c r="E186" s="26"/>
      <c r="G186" s="54"/>
      <c r="N186" s="42"/>
    </row>
    <row r="187" spans="2:14" s="13" customFormat="1" x14ac:dyDescent="0.4">
      <c r="B187" s="25"/>
      <c r="D187" s="42"/>
      <c r="E187" s="26"/>
      <c r="G187" s="54"/>
      <c r="N187" s="42"/>
    </row>
    <row r="188" spans="2:14" s="13" customFormat="1" x14ac:dyDescent="0.4">
      <c r="B188" s="25"/>
      <c r="D188" s="42"/>
      <c r="E188" s="26"/>
      <c r="G188" s="54"/>
      <c r="N188" s="42"/>
    </row>
    <row r="189" spans="2:14" s="13" customFormat="1" x14ac:dyDescent="0.4">
      <c r="B189" s="25"/>
      <c r="D189" s="42"/>
      <c r="E189" s="26"/>
      <c r="G189" s="54"/>
      <c r="N189" s="42"/>
    </row>
    <row r="190" spans="2:14" s="13" customFormat="1" x14ac:dyDescent="0.4">
      <c r="B190" s="25"/>
      <c r="D190" s="42"/>
      <c r="E190" s="26"/>
      <c r="G190" s="54"/>
      <c r="N190" s="42"/>
    </row>
    <row r="191" spans="2:14" s="13" customFormat="1" x14ac:dyDescent="0.4">
      <c r="B191" s="25"/>
      <c r="D191" s="42"/>
      <c r="E191" s="26"/>
      <c r="G191" s="54"/>
      <c r="N191" s="42"/>
    </row>
    <row r="192" spans="2:14" s="13" customFormat="1" x14ac:dyDescent="0.4">
      <c r="B192" s="25"/>
      <c r="D192" s="42"/>
      <c r="E192" s="26"/>
      <c r="G192" s="54"/>
      <c r="N192" s="42"/>
    </row>
    <row r="193" spans="2:14" s="13" customFormat="1" x14ac:dyDescent="0.4">
      <c r="B193" s="25"/>
      <c r="D193" s="42"/>
      <c r="E193" s="26"/>
      <c r="G193" s="54"/>
      <c r="N193" s="42"/>
    </row>
    <row r="194" spans="2:14" s="13" customFormat="1" x14ac:dyDescent="0.4">
      <c r="B194" s="25"/>
      <c r="D194" s="42"/>
      <c r="E194" s="26"/>
      <c r="G194" s="54"/>
      <c r="N194" s="42"/>
    </row>
    <row r="195" spans="2:14" s="13" customFormat="1" x14ac:dyDescent="0.4">
      <c r="B195" s="25"/>
      <c r="D195" s="42"/>
      <c r="E195" s="26"/>
      <c r="G195" s="54"/>
      <c r="N195" s="42"/>
    </row>
    <row r="196" spans="2:14" s="13" customFormat="1" x14ac:dyDescent="0.4">
      <c r="B196" s="25"/>
      <c r="D196" s="42"/>
      <c r="E196" s="26"/>
      <c r="G196" s="54"/>
      <c r="N196" s="42"/>
    </row>
    <row r="197" spans="2:14" s="13" customFormat="1" x14ac:dyDescent="0.4">
      <c r="B197" s="25"/>
      <c r="D197" s="42"/>
      <c r="E197" s="26"/>
      <c r="G197" s="54"/>
      <c r="N197" s="42"/>
    </row>
    <row r="198" spans="2:14" s="13" customFormat="1" x14ac:dyDescent="0.4">
      <c r="B198" s="25"/>
      <c r="D198" s="42"/>
      <c r="E198" s="26"/>
      <c r="G198" s="54"/>
      <c r="N198" s="42"/>
    </row>
    <row r="199" spans="2:14" s="13" customFormat="1" x14ac:dyDescent="0.4">
      <c r="B199" s="25"/>
      <c r="D199" s="42"/>
      <c r="E199" s="26"/>
      <c r="G199" s="54"/>
      <c r="N199" s="42"/>
    </row>
    <row r="200" spans="2:14" s="13" customFormat="1" x14ac:dyDescent="0.4">
      <c r="B200" s="25"/>
      <c r="D200" s="42"/>
      <c r="E200" s="26"/>
      <c r="G200" s="54"/>
      <c r="N200" s="42"/>
    </row>
    <row r="201" spans="2:14" s="13" customFormat="1" x14ac:dyDescent="0.4">
      <c r="B201" s="25"/>
      <c r="D201" s="42"/>
      <c r="E201" s="26"/>
      <c r="G201" s="54"/>
      <c r="N201" s="42"/>
    </row>
    <row r="202" spans="2:14" s="13" customFormat="1" x14ac:dyDescent="0.4">
      <c r="B202" s="25"/>
      <c r="D202" s="42"/>
      <c r="E202" s="26"/>
      <c r="G202" s="54"/>
      <c r="N202" s="42"/>
    </row>
    <row r="203" spans="2:14" s="13" customFormat="1" x14ac:dyDescent="0.4">
      <c r="B203" s="25"/>
      <c r="D203" s="42"/>
      <c r="E203" s="26"/>
      <c r="G203" s="54"/>
      <c r="N203" s="42"/>
    </row>
    <row r="204" spans="2:14" s="13" customFormat="1" x14ac:dyDescent="0.4">
      <c r="B204" s="25"/>
      <c r="D204" s="42"/>
      <c r="E204" s="26"/>
      <c r="G204" s="54"/>
      <c r="N204" s="42"/>
    </row>
    <row r="205" spans="2:14" s="13" customFormat="1" x14ac:dyDescent="0.4">
      <c r="B205" s="25"/>
      <c r="D205" s="42"/>
      <c r="E205" s="26"/>
      <c r="G205" s="54"/>
      <c r="N205" s="42"/>
    </row>
    <row r="206" spans="2:14" s="13" customFormat="1" x14ac:dyDescent="0.4">
      <c r="B206" s="25"/>
      <c r="D206" s="42"/>
      <c r="E206" s="26"/>
      <c r="G206" s="54"/>
      <c r="N206" s="42"/>
    </row>
    <row r="207" spans="2:14" s="13" customFormat="1" x14ac:dyDescent="0.4">
      <c r="B207" s="25"/>
      <c r="D207" s="42"/>
      <c r="E207" s="26"/>
      <c r="G207" s="54"/>
      <c r="N207" s="42"/>
    </row>
    <row r="208" spans="2:14" s="13" customFormat="1" x14ac:dyDescent="0.4">
      <c r="B208" s="25"/>
      <c r="D208" s="42"/>
      <c r="E208" s="26"/>
      <c r="G208" s="54"/>
      <c r="N208" s="42"/>
    </row>
    <row r="209" spans="2:14" s="13" customFormat="1" x14ac:dyDescent="0.4">
      <c r="B209" s="25"/>
      <c r="D209" s="42"/>
      <c r="E209" s="26"/>
      <c r="G209" s="54"/>
      <c r="N209" s="42"/>
    </row>
    <row r="210" spans="2:14" s="13" customFormat="1" x14ac:dyDescent="0.4">
      <c r="B210" s="25"/>
      <c r="D210" s="42"/>
      <c r="E210" s="26"/>
      <c r="G210" s="54"/>
      <c r="N210" s="42"/>
    </row>
    <row r="211" spans="2:14" s="13" customFormat="1" x14ac:dyDescent="0.4">
      <c r="B211" s="25"/>
      <c r="D211" s="42"/>
      <c r="E211" s="26"/>
      <c r="G211" s="54"/>
      <c r="N211" s="42"/>
    </row>
    <row r="212" spans="2:14" s="13" customFormat="1" x14ac:dyDescent="0.4">
      <c r="B212" s="25"/>
      <c r="D212" s="42"/>
      <c r="E212" s="26"/>
      <c r="G212" s="54"/>
      <c r="N212" s="42"/>
    </row>
    <row r="213" spans="2:14" s="13" customFormat="1" x14ac:dyDescent="0.4">
      <c r="B213" s="25"/>
      <c r="D213" s="42"/>
      <c r="E213" s="26"/>
      <c r="G213" s="54"/>
      <c r="N213" s="42"/>
    </row>
    <row r="214" spans="2:14" s="13" customFormat="1" x14ac:dyDescent="0.4">
      <c r="B214" s="25"/>
      <c r="D214" s="42"/>
      <c r="E214" s="26"/>
      <c r="G214" s="54"/>
      <c r="N214" s="42"/>
    </row>
    <row r="215" spans="2:14" s="13" customFormat="1" x14ac:dyDescent="0.4">
      <c r="B215" s="25"/>
      <c r="D215" s="42"/>
      <c r="E215" s="26"/>
      <c r="G215" s="54"/>
      <c r="N215" s="42"/>
    </row>
    <row r="216" spans="2:14" s="13" customFormat="1" x14ac:dyDescent="0.4">
      <c r="B216" s="25"/>
      <c r="D216" s="42"/>
      <c r="E216" s="26"/>
      <c r="G216" s="54"/>
      <c r="N216" s="42"/>
    </row>
    <row r="217" spans="2:14" s="13" customFormat="1" x14ac:dyDescent="0.4">
      <c r="B217" s="25"/>
      <c r="D217" s="42"/>
      <c r="E217" s="26"/>
      <c r="G217" s="54"/>
      <c r="N217" s="42"/>
    </row>
    <row r="218" spans="2:14" s="13" customFormat="1" x14ac:dyDescent="0.4">
      <c r="B218" s="25"/>
      <c r="D218" s="42"/>
      <c r="E218" s="26"/>
      <c r="G218" s="54"/>
      <c r="N218" s="42"/>
    </row>
    <row r="219" spans="2:14" s="13" customFormat="1" x14ac:dyDescent="0.4">
      <c r="B219" s="25"/>
      <c r="D219" s="42"/>
      <c r="E219" s="26"/>
      <c r="G219" s="54"/>
      <c r="N219" s="42"/>
    </row>
    <row r="220" spans="2:14" s="13" customFormat="1" x14ac:dyDescent="0.4">
      <c r="B220" s="25"/>
      <c r="D220" s="42"/>
      <c r="E220" s="26"/>
      <c r="G220" s="54"/>
      <c r="N220" s="42"/>
    </row>
    <row r="221" spans="2:14" s="13" customFormat="1" x14ac:dyDescent="0.4">
      <c r="B221" s="25"/>
      <c r="D221" s="42"/>
      <c r="E221" s="26"/>
      <c r="G221" s="54"/>
      <c r="N221" s="42"/>
    </row>
    <row r="222" spans="2:14" s="13" customFormat="1" x14ac:dyDescent="0.4">
      <c r="B222" s="25"/>
      <c r="D222" s="42"/>
      <c r="E222" s="26"/>
      <c r="G222" s="54"/>
      <c r="N222" s="42"/>
    </row>
    <row r="223" spans="2:14" s="13" customFormat="1" x14ac:dyDescent="0.4">
      <c r="B223" s="25"/>
      <c r="D223" s="42"/>
      <c r="E223" s="26"/>
      <c r="G223" s="54"/>
      <c r="N223" s="42"/>
    </row>
    <row r="224" spans="2:14" s="13" customFormat="1" x14ac:dyDescent="0.4">
      <c r="B224" s="25"/>
      <c r="D224" s="42"/>
      <c r="E224" s="26"/>
      <c r="G224" s="54"/>
      <c r="N224" s="42"/>
    </row>
    <row r="225" spans="2:14" s="13" customFormat="1" x14ac:dyDescent="0.4">
      <c r="B225" s="25"/>
      <c r="D225" s="42"/>
      <c r="E225" s="26"/>
      <c r="G225" s="54"/>
      <c r="N225" s="42"/>
    </row>
    <row r="226" spans="2:14" s="13" customFormat="1" x14ac:dyDescent="0.4">
      <c r="B226" s="25"/>
      <c r="D226" s="42"/>
      <c r="E226" s="26"/>
      <c r="G226" s="54"/>
      <c r="N226" s="42"/>
    </row>
    <row r="227" spans="2:14" s="13" customFormat="1" x14ac:dyDescent="0.4">
      <c r="B227" s="25"/>
      <c r="D227" s="42"/>
      <c r="E227" s="26"/>
      <c r="G227" s="54"/>
      <c r="N227" s="42"/>
    </row>
    <row r="228" spans="2:14" s="13" customFormat="1" x14ac:dyDescent="0.4">
      <c r="B228" s="25"/>
      <c r="D228" s="42"/>
      <c r="E228" s="26"/>
      <c r="G228" s="54"/>
      <c r="N228" s="42"/>
    </row>
    <row r="229" spans="2:14" s="13" customFormat="1" x14ac:dyDescent="0.4">
      <c r="B229" s="25"/>
      <c r="D229" s="42"/>
      <c r="E229" s="26"/>
      <c r="G229" s="54"/>
      <c r="N229" s="42"/>
    </row>
    <row r="230" spans="2:14" s="13" customFormat="1" x14ac:dyDescent="0.4">
      <c r="B230" s="25"/>
      <c r="D230" s="42"/>
      <c r="E230" s="26"/>
      <c r="G230" s="54"/>
      <c r="N230" s="42"/>
    </row>
    <row r="231" spans="2:14" s="13" customFormat="1" x14ac:dyDescent="0.4">
      <c r="B231" s="25"/>
      <c r="D231" s="42"/>
      <c r="E231" s="26"/>
      <c r="G231" s="54"/>
      <c r="N231" s="42"/>
    </row>
    <row r="232" spans="2:14" s="13" customFormat="1" x14ac:dyDescent="0.4">
      <c r="B232" s="25"/>
      <c r="D232" s="42"/>
      <c r="E232" s="26"/>
      <c r="G232" s="54"/>
      <c r="N232" s="42"/>
    </row>
    <row r="233" spans="2:14" s="13" customFormat="1" x14ac:dyDescent="0.4">
      <c r="B233" s="25"/>
      <c r="D233" s="42"/>
      <c r="E233" s="26"/>
      <c r="G233" s="54"/>
      <c r="N233" s="42"/>
    </row>
    <row r="234" spans="2:14" s="13" customFormat="1" x14ac:dyDescent="0.4">
      <c r="B234" s="25"/>
      <c r="D234" s="42"/>
      <c r="E234" s="26"/>
      <c r="G234" s="54"/>
      <c r="N234" s="42"/>
    </row>
    <row r="235" spans="2:14" s="13" customFormat="1" x14ac:dyDescent="0.4">
      <c r="B235" s="25"/>
      <c r="D235" s="42"/>
      <c r="E235" s="26"/>
      <c r="G235" s="54"/>
      <c r="N235" s="42"/>
    </row>
    <row r="236" spans="2:14" s="13" customFormat="1" x14ac:dyDescent="0.4">
      <c r="B236" s="25"/>
      <c r="D236" s="42"/>
      <c r="E236" s="26"/>
      <c r="G236" s="54"/>
      <c r="N236" s="42"/>
    </row>
    <row r="237" spans="2:14" s="13" customFormat="1" x14ac:dyDescent="0.4">
      <c r="B237" s="25"/>
      <c r="D237" s="42"/>
      <c r="E237" s="26"/>
      <c r="G237" s="54"/>
      <c r="N237" s="42"/>
    </row>
    <row r="238" spans="2:14" s="13" customFormat="1" x14ac:dyDescent="0.4">
      <c r="B238" s="25"/>
      <c r="D238" s="42"/>
      <c r="E238" s="26"/>
      <c r="G238" s="54"/>
      <c r="N238" s="42"/>
    </row>
    <row r="239" spans="2:14" s="13" customFormat="1" x14ac:dyDescent="0.4">
      <c r="B239" s="25"/>
      <c r="D239" s="42"/>
      <c r="E239" s="26"/>
      <c r="G239" s="54"/>
      <c r="N239" s="42"/>
    </row>
    <row r="240" spans="2:14" s="13" customFormat="1" x14ac:dyDescent="0.4">
      <c r="B240" s="25"/>
      <c r="D240" s="42"/>
      <c r="E240" s="26"/>
      <c r="G240" s="54"/>
      <c r="N240" s="42"/>
    </row>
    <row r="241" spans="2:14" s="13" customFormat="1" x14ac:dyDescent="0.4">
      <c r="B241" s="25"/>
      <c r="D241" s="42"/>
      <c r="E241" s="26"/>
      <c r="G241" s="54"/>
      <c r="N241" s="42"/>
    </row>
    <row r="242" spans="2:14" s="13" customFormat="1" x14ac:dyDescent="0.4">
      <c r="B242" s="25"/>
      <c r="D242" s="42"/>
      <c r="E242" s="26"/>
      <c r="G242" s="54"/>
      <c r="N242" s="42"/>
    </row>
    <row r="243" spans="2:14" s="13" customFormat="1" x14ac:dyDescent="0.4">
      <c r="B243" s="25"/>
      <c r="D243" s="42"/>
      <c r="E243" s="26"/>
      <c r="G243" s="54"/>
      <c r="N243" s="42"/>
    </row>
    <row r="244" spans="2:14" s="13" customFormat="1" x14ac:dyDescent="0.4">
      <c r="B244" s="25"/>
      <c r="D244" s="42"/>
      <c r="E244" s="26"/>
      <c r="G244" s="54"/>
      <c r="N244" s="42"/>
    </row>
    <row r="245" spans="2:14" s="13" customFormat="1" x14ac:dyDescent="0.4">
      <c r="B245" s="25"/>
      <c r="D245" s="42"/>
      <c r="E245" s="26"/>
      <c r="G245" s="54"/>
      <c r="N245" s="42"/>
    </row>
    <row r="246" spans="2:14" s="13" customFormat="1" x14ac:dyDescent="0.4">
      <c r="B246" s="25"/>
      <c r="D246" s="42"/>
      <c r="E246" s="26"/>
      <c r="G246" s="54"/>
      <c r="N246" s="42"/>
    </row>
    <row r="247" spans="2:14" s="13" customFormat="1" x14ac:dyDescent="0.4">
      <c r="B247" s="25"/>
      <c r="D247" s="42"/>
      <c r="E247" s="26"/>
      <c r="G247" s="54"/>
      <c r="N247" s="42"/>
    </row>
    <row r="248" spans="2:14" s="13" customFormat="1" x14ac:dyDescent="0.4">
      <c r="B248" s="25"/>
      <c r="D248" s="42"/>
      <c r="E248" s="26"/>
      <c r="G248" s="54"/>
      <c r="N248" s="42"/>
    </row>
    <row r="249" spans="2:14" s="13" customFormat="1" x14ac:dyDescent="0.4">
      <c r="B249" s="25"/>
      <c r="D249" s="42"/>
      <c r="E249" s="26"/>
      <c r="G249" s="54"/>
      <c r="N249" s="42"/>
    </row>
    <row r="250" spans="2:14" s="13" customFormat="1" x14ac:dyDescent="0.4">
      <c r="B250" s="25"/>
      <c r="D250" s="42"/>
      <c r="E250" s="26"/>
      <c r="G250" s="54"/>
      <c r="N250" s="42"/>
    </row>
    <row r="251" spans="2:14" s="13" customFormat="1" x14ac:dyDescent="0.4">
      <c r="B251" s="25"/>
      <c r="D251" s="42"/>
      <c r="E251" s="26"/>
      <c r="G251" s="54"/>
      <c r="N251" s="42"/>
    </row>
    <row r="252" spans="2:14" s="13" customFormat="1" x14ac:dyDescent="0.4">
      <c r="B252" s="25"/>
      <c r="D252" s="42"/>
      <c r="E252" s="26"/>
      <c r="G252" s="54"/>
      <c r="N252" s="42"/>
    </row>
    <row r="253" spans="2:14" s="13" customFormat="1" x14ac:dyDescent="0.4">
      <c r="B253" s="25"/>
      <c r="D253" s="42"/>
      <c r="E253" s="26"/>
      <c r="G253" s="54"/>
      <c r="N253" s="42"/>
    </row>
    <row r="254" spans="2:14" s="13" customFormat="1" x14ac:dyDescent="0.4">
      <c r="B254" s="25"/>
      <c r="D254" s="42"/>
      <c r="E254" s="26"/>
      <c r="G254" s="54"/>
      <c r="N254" s="42"/>
    </row>
    <row r="255" spans="2:14" s="13" customFormat="1" x14ac:dyDescent="0.4">
      <c r="B255" s="25"/>
      <c r="D255" s="42"/>
      <c r="E255" s="26"/>
      <c r="G255" s="54"/>
      <c r="N255" s="42"/>
    </row>
    <row r="256" spans="2:14" s="13" customFormat="1" x14ac:dyDescent="0.4">
      <c r="B256" s="25"/>
      <c r="D256" s="42"/>
      <c r="E256" s="26"/>
      <c r="G256" s="54"/>
      <c r="N256" s="42"/>
    </row>
    <row r="257" spans="2:14" s="13" customFormat="1" x14ac:dyDescent="0.4">
      <c r="B257" s="25"/>
      <c r="D257" s="42"/>
      <c r="E257" s="26"/>
      <c r="G257" s="54"/>
      <c r="N257" s="42"/>
    </row>
    <row r="258" spans="2:14" s="13" customFormat="1" x14ac:dyDescent="0.4">
      <c r="B258" s="25"/>
      <c r="D258" s="42"/>
      <c r="E258" s="26"/>
      <c r="G258" s="54"/>
      <c r="N258" s="42"/>
    </row>
    <row r="259" spans="2:14" s="13" customFormat="1" x14ac:dyDescent="0.4">
      <c r="B259" s="25"/>
      <c r="D259" s="42"/>
      <c r="E259" s="26"/>
      <c r="G259" s="54"/>
      <c r="N259" s="42"/>
    </row>
    <row r="260" spans="2:14" s="13" customFormat="1" x14ac:dyDescent="0.4">
      <c r="B260" s="25"/>
      <c r="D260" s="42"/>
      <c r="E260" s="26"/>
      <c r="G260" s="54"/>
      <c r="N260" s="42"/>
    </row>
    <row r="261" spans="2:14" s="13" customFormat="1" x14ac:dyDescent="0.4">
      <c r="B261" s="25"/>
      <c r="D261" s="42"/>
      <c r="E261" s="26"/>
      <c r="G261" s="54"/>
      <c r="N261" s="42"/>
    </row>
    <row r="262" spans="2:14" s="13" customFormat="1" x14ac:dyDescent="0.4">
      <c r="B262" s="25"/>
      <c r="D262" s="42"/>
      <c r="E262" s="26"/>
      <c r="G262" s="54"/>
      <c r="N262" s="42"/>
    </row>
    <row r="263" spans="2:14" s="13" customFormat="1" x14ac:dyDescent="0.4">
      <c r="B263" s="25"/>
      <c r="D263" s="42"/>
      <c r="E263" s="26"/>
      <c r="G263" s="54"/>
      <c r="N263" s="42"/>
    </row>
    <row r="264" spans="2:14" s="13" customFormat="1" x14ac:dyDescent="0.4">
      <c r="B264" s="25"/>
      <c r="D264" s="42"/>
      <c r="E264" s="26"/>
      <c r="G264" s="54"/>
      <c r="N264" s="42"/>
    </row>
    <row r="265" spans="2:14" s="13" customFormat="1" x14ac:dyDescent="0.4">
      <c r="B265" s="25"/>
      <c r="D265" s="42"/>
      <c r="E265" s="26"/>
      <c r="G265" s="54"/>
      <c r="N265" s="42"/>
    </row>
    <row r="266" spans="2:14" s="13" customFormat="1" x14ac:dyDescent="0.4">
      <c r="B266" s="25"/>
      <c r="D266" s="42"/>
      <c r="E266" s="26"/>
      <c r="G266" s="54"/>
      <c r="N266" s="42"/>
    </row>
    <row r="267" spans="2:14" s="13" customFormat="1" x14ac:dyDescent="0.4">
      <c r="B267" s="25"/>
      <c r="D267" s="42"/>
      <c r="E267" s="26"/>
      <c r="G267" s="54"/>
      <c r="N267" s="42"/>
    </row>
    <row r="268" spans="2:14" s="13" customFormat="1" x14ac:dyDescent="0.4">
      <c r="B268" s="25"/>
      <c r="D268" s="42"/>
      <c r="E268" s="26"/>
      <c r="G268" s="54"/>
      <c r="N268" s="42"/>
    </row>
    <row r="269" spans="2:14" s="13" customFormat="1" x14ac:dyDescent="0.4">
      <c r="B269" s="25"/>
      <c r="D269" s="42"/>
      <c r="E269" s="26"/>
      <c r="G269" s="54"/>
      <c r="N269" s="42"/>
    </row>
    <row r="270" spans="2:14" s="13" customFormat="1" x14ac:dyDescent="0.4">
      <c r="B270" s="25"/>
      <c r="D270" s="42"/>
      <c r="E270" s="26"/>
      <c r="G270" s="54"/>
      <c r="N270" s="42"/>
    </row>
    <row r="271" spans="2:14" s="13" customFormat="1" x14ac:dyDescent="0.4">
      <c r="B271" s="25"/>
      <c r="D271" s="42"/>
      <c r="E271" s="26"/>
      <c r="G271" s="54"/>
      <c r="N271" s="42"/>
    </row>
    <row r="272" spans="2:14" s="13" customFormat="1" x14ac:dyDescent="0.4">
      <c r="B272" s="25"/>
      <c r="D272" s="42"/>
      <c r="E272" s="26"/>
      <c r="G272" s="54"/>
      <c r="N272" s="42"/>
    </row>
    <row r="273" spans="2:14" s="13" customFormat="1" x14ac:dyDescent="0.4">
      <c r="B273" s="25"/>
      <c r="D273" s="42"/>
      <c r="E273" s="26"/>
      <c r="G273" s="54"/>
      <c r="N273" s="42"/>
    </row>
    <row r="274" spans="2:14" s="13" customFormat="1" x14ac:dyDescent="0.4">
      <c r="B274" s="25"/>
      <c r="D274" s="42"/>
      <c r="E274" s="26"/>
      <c r="G274" s="54"/>
      <c r="N274" s="42"/>
    </row>
    <row r="275" spans="2:14" s="13" customFormat="1" x14ac:dyDescent="0.4">
      <c r="B275" s="25"/>
      <c r="D275" s="42"/>
      <c r="E275" s="26"/>
      <c r="G275" s="54"/>
      <c r="N275" s="42"/>
    </row>
    <row r="276" spans="2:14" s="13" customFormat="1" x14ac:dyDescent="0.4">
      <c r="B276" s="25"/>
      <c r="D276" s="42"/>
      <c r="E276" s="26"/>
      <c r="G276" s="54"/>
      <c r="N276" s="42"/>
    </row>
    <row r="277" spans="2:14" s="13" customFormat="1" x14ac:dyDescent="0.4">
      <c r="B277" s="25"/>
      <c r="D277" s="42"/>
      <c r="E277" s="26"/>
      <c r="G277" s="54"/>
      <c r="N277" s="42"/>
    </row>
    <row r="278" spans="2:14" s="13" customFormat="1" x14ac:dyDescent="0.4">
      <c r="B278" s="25"/>
      <c r="D278" s="42"/>
      <c r="E278" s="26"/>
      <c r="G278" s="54"/>
      <c r="N278" s="42"/>
    </row>
    <row r="279" spans="2:14" s="13" customFormat="1" x14ac:dyDescent="0.4">
      <c r="B279" s="25"/>
      <c r="D279" s="42"/>
      <c r="E279" s="26"/>
      <c r="G279" s="54"/>
      <c r="N279" s="42"/>
    </row>
    <row r="280" spans="2:14" s="13" customFormat="1" x14ac:dyDescent="0.4">
      <c r="B280" s="25"/>
      <c r="D280" s="42"/>
      <c r="E280" s="26"/>
      <c r="G280" s="54"/>
      <c r="N280" s="42"/>
    </row>
    <row r="281" spans="2:14" s="13" customFormat="1" x14ac:dyDescent="0.4">
      <c r="B281" s="25"/>
      <c r="D281" s="42"/>
      <c r="E281" s="26"/>
      <c r="G281" s="54"/>
      <c r="N281" s="42"/>
    </row>
    <row r="282" spans="2:14" s="13" customFormat="1" x14ac:dyDescent="0.4">
      <c r="B282" s="25"/>
      <c r="D282" s="42"/>
      <c r="E282" s="26"/>
      <c r="G282" s="54"/>
      <c r="N282" s="42"/>
    </row>
    <row r="283" spans="2:14" s="13" customFormat="1" x14ac:dyDescent="0.4">
      <c r="B283" s="25"/>
      <c r="D283" s="42"/>
      <c r="E283" s="26"/>
      <c r="G283" s="54"/>
      <c r="N283" s="42"/>
    </row>
    <row r="284" spans="2:14" s="13" customFormat="1" x14ac:dyDescent="0.4">
      <c r="B284" s="25"/>
      <c r="D284" s="42"/>
      <c r="E284" s="26"/>
      <c r="G284" s="54"/>
      <c r="N284" s="42"/>
    </row>
    <row r="285" spans="2:14" s="13" customFormat="1" x14ac:dyDescent="0.4">
      <c r="B285" s="25"/>
      <c r="D285" s="42"/>
      <c r="E285" s="26"/>
      <c r="G285" s="54"/>
      <c r="N285" s="42"/>
    </row>
    <row r="286" spans="2:14" s="13" customFormat="1" x14ac:dyDescent="0.4">
      <c r="B286" s="25"/>
      <c r="D286" s="42"/>
      <c r="E286" s="26"/>
      <c r="G286" s="54"/>
      <c r="N286" s="42"/>
    </row>
    <row r="287" spans="2:14" s="13" customFormat="1" x14ac:dyDescent="0.4">
      <c r="B287" s="25"/>
      <c r="D287" s="42"/>
      <c r="E287" s="26"/>
      <c r="G287" s="54"/>
      <c r="N287" s="42"/>
    </row>
    <row r="288" spans="2:14" s="13" customFormat="1" x14ac:dyDescent="0.4">
      <c r="B288" s="25"/>
      <c r="D288" s="42"/>
      <c r="E288" s="26"/>
      <c r="G288" s="54"/>
      <c r="N288" s="42"/>
    </row>
    <row r="289" spans="2:14" s="13" customFormat="1" x14ac:dyDescent="0.4">
      <c r="B289" s="25"/>
      <c r="D289" s="42"/>
      <c r="E289" s="26"/>
      <c r="G289" s="54"/>
      <c r="N289" s="42"/>
    </row>
    <row r="290" spans="2:14" s="13" customFormat="1" x14ac:dyDescent="0.4">
      <c r="B290" s="25"/>
      <c r="D290" s="42"/>
      <c r="E290" s="26"/>
      <c r="G290" s="54"/>
      <c r="N290" s="42"/>
    </row>
    <row r="291" spans="2:14" s="13" customFormat="1" x14ac:dyDescent="0.4">
      <c r="B291" s="25"/>
      <c r="D291" s="42"/>
      <c r="E291" s="26"/>
      <c r="G291" s="54"/>
      <c r="N291" s="42"/>
    </row>
    <row r="292" spans="2:14" s="13" customFormat="1" x14ac:dyDescent="0.4">
      <c r="B292" s="25"/>
      <c r="D292" s="42"/>
      <c r="E292" s="26"/>
      <c r="G292" s="54"/>
      <c r="N292" s="42"/>
    </row>
    <row r="293" spans="2:14" s="13" customFormat="1" x14ac:dyDescent="0.4">
      <c r="B293" s="25"/>
      <c r="D293" s="42"/>
      <c r="E293" s="26"/>
      <c r="G293" s="54"/>
      <c r="N293" s="42"/>
    </row>
    <row r="294" spans="2:14" s="13" customFormat="1" x14ac:dyDescent="0.4">
      <c r="B294" s="25"/>
      <c r="D294" s="42"/>
      <c r="E294" s="26"/>
      <c r="G294" s="54"/>
      <c r="N294" s="42"/>
    </row>
    <row r="295" spans="2:14" s="13" customFormat="1" x14ac:dyDescent="0.4">
      <c r="B295" s="25"/>
      <c r="D295" s="42"/>
      <c r="E295" s="26"/>
      <c r="G295" s="54"/>
      <c r="N295" s="42"/>
    </row>
    <row r="296" spans="2:14" s="13" customFormat="1" x14ac:dyDescent="0.4">
      <c r="B296" s="25"/>
      <c r="D296" s="42"/>
      <c r="E296" s="26"/>
      <c r="G296" s="54"/>
      <c r="N296" s="42"/>
    </row>
    <row r="297" spans="2:14" s="13" customFormat="1" x14ac:dyDescent="0.4">
      <c r="B297" s="25"/>
      <c r="D297" s="42"/>
      <c r="E297" s="26"/>
      <c r="G297" s="54"/>
      <c r="N297" s="42"/>
    </row>
    <row r="298" spans="2:14" s="13" customFormat="1" x14ac:dyDescent="0.4">
      <c r="B298" s="25"/>
      <c r="D298" s="42"/>
      <c r="E298" s="26"/>
      <c r="G298" s="54"/>
      <c r="N298" s="42"/>
    </row>
    <row r="299" spans="2:14" s="13" customFormat="1" x14ac:dyDescent="0.4">
      <c r="B299" s="25"/>
      <c r="D299" s="42"/>
      <c r="E299" s="26"/>
      <c r="G299" s="54"/>
      <c r="N299" s="42"/>
    </row>
    <row r="300" spans="2:14" s="13" customFormat="1" x14ac:dyDescent="0.4">
      <c r="B300" s="25"/>
      <c r="D300" s="42"/>
      <c r="E300" s="26"/>
      <c r="G300" s="54"/>
      <c r="N300" s="42"/>
    </row>
    <row r="301" spans="2:14" s="13" customFormat="1" x14ac:dyDescent="0.4">
      <c r="B301" s="25"/>
      <c r="D301" s="42"/>
      <c r="E301" s="26"/>
      <c r="G301" s="54"/>
      <c r="N301" s="42"/>
    </row>
    <row r="302" spans="2:14" s="13" customFormat="1" x14ac:dyDescent="0.4">
      <c r="B302" s="25"/>
      <c r="D302" s="42"/>
      <c r="E302" s="26"/>
      <c r="G302" s="54"/>
      <c r="N302" s="42"/>
    </row>
    <row r="303" spans="2:14" s="13" customFormat="1" x14ac:dyDescent="0.4">
      <c r="B303" s="25"/>
      <c r="D303" s="42"/>
      <c r="E303" s="26"/>
      <c r="G303" s="54"/>
      <c r="N303" s="42"/>
    </row>
    <row r="304" spans="2:14" s="13" customFormat="1" x14ac:dyDescent="0.4">
      <c r="B304" s="25"/>
      <c r="D304" s="42"/>
      <c r="E304" s="26"/>
      <c r="G304" s="54"/>
      <c r="N304" s="42"/>
    </row>
    <row r="305" spans="2:14" s="13" customFormat="1" x14ac:dyDescent="0.4">
      <c r="B305" s="25"/>
      <c r="D305" s="42"/>
      <c r="E305" s="26"/>
      <c r="G305" s="54"/>
      <c r="N305" s="42"/>
    </row>
    <row r="306" spans="2:14" s="13" customFormat="1" x14ac:dyDescent="0.4">
      <c r="B306" s="25"/>
      <c r="D306" s="42"/>
      <c r="E306" s="26"/>
      <c r="G306" s="54"/>
      <c r="N306" s="42"/>
    </row>
    <row r="307" spans="2:14" s="13" customFormat="1" x14ac:dyDescent="0.4">
      <c r="B307" s="25"/>
      <c r="D307" s="42"/>
      <c r="E307" s="26"/>
      <c r="G307" s="54"/>
      <c r="N307" s="42"/>
    </row>
    <row r="308" spans="2:14" s="13" customFormat="1" x14ac:dyDescent="0.4">
      <c r="B308" s="25"/>
      <c r="D308" s="42"/>
      <c r="E308" s="26"/>
      <c r="G308" s="54"/>
      <c r="N308" s="42"/>
    </row>
    <row r="309" spans="2:14" s="13" customFormat="1" x14ac:dyDescent="0.4">
      <c r="B309" s="25"/>
      <c r="D309" s="42"/>
      <c r="E309" s="26"/>
      <c r="G309" s="54"/>
      <c r="N309" s="42"/>
    </row>
    <row r="310" spans="2:14" s="13" customFormat="1" x14ac:dyDescent="0.4">
      <c r="B310" s="25"/>
      <c r="D310" s="42"/>
      <c r="E310" s="26"/>
      <c r="G310" s="54"/>
      <c r="N310" s="42"/>
    </row>
    <row r="311" spans="2:14" s="13" customFormat="1" x14ac:dyDescent="0.4">
      <c r="B311" s="25"/>
      <c r="D311" s="42"/>
      <c r="E311" s="26"/>
      <c r="G311" s="54"/>
      <c r="N311" s="42"/>
    </row>
    <row r="312" spans="2:14" s="13" customFormat="1" x14ac:dyDescent="0.4">
      <c r="B312" s="25"/>
      <c r="D312" s="42"/>
      <c r="E312" s="26"/>
      <c r="G312" s="54"/>
      <c r="N312" s="42"/>
    </row>
    <row r="313" spans="2:14" s="13" customFormat="1" x14ac:dyDescent="0.4">
      <c r="B313" s="25"/>
      <c r="D313" s="42"/>
      <c r="E313" s="26"/>
      <c r="G313" s="54"/>
      <c r="N313" s="42"/>
    </row>
    <row r="314" spans="2:14" s="13" customFormat="1" x14ac:dyDescent="0.4">
      <c r="B314" s="25"/>
      <c r="D314" s="42"/>
      <c r="E314" s="26"/>
      <c r="G314" s="54"/>
      <c r="N314" s="42"/>
    </row>
    <row r="315" spans="2:14" s="13" customFormat="1" x14ac:dyDescent="0.4">
      <c r="B315" s="25"/>
      <c r="D315" s="42"/>
      <c r="E315" s="26"/>
      <c r="G315" s="54"/>
      <c r="N315" s="42"/>
    </row>
    <row r="316" spans="2:14" s="13" customFormat="1" x14ac:dyDescent="0.4">
      <c r="B316" s="25"/>
      <c r="D316" s="42"/>
      <c r="E316" s="26"/>
      <c r="G316" s="54"/>
      <c r="N316" s="42"/>
    </row>
    <row r="317" spans="2:14" s="13" customFormat="1" x14ac:dyDescent="0.4">
      <c r="B317" s="25"/>
      <c r="D317" s="42"/>
      <c r="E317" s="26"/>
      <c r="G317" s="54"/>
      <c r="N317" s="42"/>
    </row>
    <row r="318" spans="2:14" s="13" customFormat="1" x14ac:dyDescent="0.4">
      <c r="B318" s="25"/>
      <c r="D318" s="42"/>
      <c r="E318" s="26"/>
      <c r="G318" s="54"/>
      <c r="N318" s="42"/>
    </row>
    <row r="319" spans="2:14" s="13" customFormat="1" x14ac:dyDescent="0.4">
      <c r="B319" s="25"/>
      <c r="D319" s="42"/>
      <c r="E319" s="26"/>
      <c r="G319" s="54"/>
      <c r="N319" s="42"/>
    </row>
    <row r="320" spans="2:14" s="13" customFormat="1" x14ac:dyDescent="0.4">
      <c r="B320" s="25"/>
      <c r="D320" s="42"/>
      <c r="E320" s="26"/>
      <c r="G320" s="54"/>
      <c r="N320" s="42"/>
    </row>
    <row r="321" spans="2:14" s="13" customFormat="1" x14ac:dyDescent="0.4">
      <c r="B321" s="25"/>
      <c r="D321" s="42"/>
      <c r="E321" s="26"/>
      <c r="G321" s="54"/>
      <c r="N321" s="42"/>
    </row>
    <row r="322" spans="2:14" s="13" customFormat="1" x14ac:dyDescent="0.4">
      <c r="B322" s="25"/>
      <c r="D322" s="42"/>
      <c r="E322" s="26"/>
      <c r="G322" s="54"/>
      <c r="N322" s="42"/>
    </row>
    <row r="323" spans="2:14" s="13" customFormat="1" x14ac:dyDescent="0.4">
      <c r="B323" s="25"/>
      <c r="D323" s="42"/>
      <c r="E323" s="26"/>
      <c r="G323" s="54"/>
      <c r="N323" s="42"/>
    </row>
    <row r="324" spans="2:14" s="13" customFormat="1" x14ac:dyDescent="0.4">
      <c r="B324" s="25"/>
      <c r="D324" s="42"/>
      <c r="E324" s="26"/>
      <c r="G324" s="54"/>
      <c r="N324" s="42"/>
    </row>
    <row r="325" spans="2:14" s="13" customFormat="1" x14ac:dyDescent="0.4">
      <c r="B325" s="25"/>
      <c r="D325" s="42"/>
      <c r="E325" s="26"/>
      <c r="G325" s="54"/>
      <c r="N325" s="42"/>
    </row>
    <row r="326" spans="2:14" s="13" customFormat="1" x14ac:dyDescent="0.4">
      <c r="B326" s="25"/>
      <c r="D326" s="42"/>
      <c r="E326" s="26"/>
      <c r="G326" s="54"/>
      <c r="N326" s="42"/>
    </row>
    <row r="327" spans="2:14" s="13" customFormat="1" x14ac:dyDescent="0.4">
      <c r="B327" s="25"/>
      <c r="D327" s="42"/>
      <c r="E327" s="26"/>
      <c r="G327" s="54"/>
      <c r="N327" s="42"/>
    </row>
    <row r="328" spans="2:14" s="13" customFormat="1" x14ac:dyDescent="0.4">
      <c r="B328" s="25"/>
      <c r="D328" s="42"/>
      <c r="E328" s="26"/>
      <c r="G328" s="54"/>
      <c r="N328" s="42"/>
    </row>
    <row r="329" spans="2:14" s="13" customFormat="1" x14ac:dyDescent="0.4">
      <c r="B329" s="25"/>
      <c r="D329" s="42"/>
      <c r="E329" s="26"/>
      <c r="G329" s="54"/>
      <c r="N329" s="42"/>
    </row>
    <row r="330" spans="2:14" s="13" customFormat="1" x14ac:dyDescent="0.4">
      <c r="B330" s="25"/>
      <c r="D330" s="42"/>
      <c r="E330" s="26"/>
      <c r="G330" s="54"/>
      <c r="N330" s="42"/>
    </row>
    <row r="331" spans="2:14" s="13" customFormat="1" x14ac:dyDescent="0.4">
      <c r="B331" s="25"/>
      <c r="D331" s="42"/>
      <c r="E331" s="26"/>
      <c r="G331" s="54"/>
      <c r="N331" s="42"/>
    </row>
    <row r="332" spans="2:14" s="13" customFormat="1" x14ac:dyDescent="0.4">
      <c r="B332" s="25"/>
      <c r="D332" s="42"/>
      <c r="E332" s="26"/>
      <c r="G332" s="54"/>
      <c r="N332" s="42"/>
    </row>
    <row r="333" spans="2:14" s="13" customFormat="1" x14ac:dyDescent="0.4">
      <c r="B333" s="25"/>
      <c r="D333" s="42"/>
      <c r="E333" s="26"/>
      <c r="G333" s="54"/>
      <c r="N333" s="42"/>
    </row>
    <row r="334" spans="2:14" s="13" customFormat="1" x14ac:dyDescent="0.4">
      <c r="B334" s="25"/>
      <c r="D334" s="42"/>
      <c r="E334" s="26"/>
      <c r="G334" s="54"/>
      <c r="N334" s="42"/>
    </row>
    <row r="335" spans="2:14" s="13" customFormat="1" x14ac:dyDescent="0.4">
      <c r="B335" s="25"/>
      <c r="D335" s="42"/>
      <c r="E335" s="26"/>
      <c r="G335" s="54"/>
      <c r="N335" s="42"/>
    </row>
    <row r="336" spans="2:14" s="13" customFormat="1" x14ac:dyDescent="0.4">
      <c r="B336" s="25"/>
      <c r="D336" s="42"/>
      <c r="E336" s="26"/>
      <c r="G336" s="54"/>
      <c r="N336" s="42"/>
    </row>
    <row r="337" spans="2:14" s="13" customFormat="1" x14ac:dyDescent="0.4">
      <c r="B337" s="25"/>
      <c r="D337" s="42"/>
      <c r="E337" s="26"/>
      <c r="G337" s="54"/>
      <c r="N337" s="42"/>
    </row>
    <row r="338" spans="2:14" s="13" customFormat="1" x14ac:dyDescent="0.4">
      <c r="B338" s="25"/>
      <c r="D338" s="42"/>
      <c r="E338" s="26"/>
      <c r="G338" s="54"/>
      <c r="N338" s="42"/>
    </row>
    <row r="339" spans="2:14" s="13" customFormat="1" x14ac:dyDescent="0.4">
      <c r="B339" s="25"/>
      <c r="D339" s="42"/>
      <c r="E339" s="26"/>
      <c r="G339" s="54"/>
      <c r="N339" s="42"/>
    </row>
    <row r="340" spans="2:14" s="13" customFormat="1" x14ac:dyDescent="0.4">
      <c r="B340" s="25"/>
      <c r="D340" s="42"/>
      <c r="E340" s="26"/>
      <c r="G340" s="54"/>
      <c r="N340" s="42"/>
    </row>
    <row r="341" spans="2:14" s="13" customFormat="1" x14ac:dyDescent="0.4">
      <c r="B341" s="25"/>
      <c r="D341" s="42"/>
      <c r="E341" s="26"/>
      <c r="G341" s="54"/>
      <c r="N341" s="42"/>
    </row>
    <row r="342" spans="2:14" s="13" customFormat="1" x14ac:dyDescent="0.4">
      <c r="B342" s="25"/>
      <c r="D342" s="42"/>
      <c r="E342" s="26"/>
      <c r="G342" s="54"/>
      <c r="N342" s="42"/>
    </row>
    <row r="343" spans="2:14" s="13" customFormat="1" x14ac:dyDescent="0.4">
      <c r="B343" s="25"/>
      <c r="D343" s="42"/>
      <c r="E343" s="26"/>
      <c r="G343" s="54"/>
      <c r="N343" s="42"/>
    </row>
    <row r="344" spans="2:14" s="13" customFormat="1" x14ac:dyDescent="0.4">
      <c r="B344" s="25"/>
      <c r="D344" s="42"/>
      <c r="E344" s="26"/>
      <c r="G344" s="54"/>
      <c r="N344" s="42"/>
    </row>
    <row r="345" spans="2:14" s="13" customFormat="1" x14ac:dyDescent="0.4">
      <c r="B345" s="25"/>
      <c r="D345" s="42"/>
      <c r="E345" s="26"/>
      <c r="G345" s="54"/>
      <c r="N345" s="42"/>
    </row>
    <row r="346" spans="2:14" s="13" customFormat="1" x14ac:dyDescent="0.4">
      <c r="B346" s="25"/>
      <c r="D346" s="42"/>
      <c r="E346" s="26"/>
      <c r="G346" s="54"/>
      <c r="N346" s="42"/>
    </row>
    <row r="347" spans="2:14" s="13" customFormat="1" x14ac:dyDescent="0.4">
      <c r="B347" s="25"/>
      <c r="D347" s="42"/>
      <c r="E347" s="26"/>
      <c r="G347" s="54"/>
      <c r="N347" s="42"/>
    </row>
    <row r="348" spans="2:14" s="13" customFormat="1" x14ac:dyDescent="0.4">
      <c r="B348" s="25"/>
      <c r="D348" s="42"/>
      <c r="E348" s="26"/>
      <c r="G348" s="54"/>
      <c r="N348" s="42"/>
    </row>
    <row r="349" spans="2:14" s="13" customFormat="1" x14ac:dyDescent="0.4">
      <c r="B349" s="25"/>
      <c r="D349" s="42"/>
      <c r="E349" s="26"/>
      <c r="G349" s="54"/>
      <c r="N349" s="42"/>
    </row>
    <row r="350" spans="2:14" s="13" customFormat="1" x14ac:dyDescent="0.4">
      <c r="B350" s="25"/>
      <c r="D350" s="42"/>
      <c r="E350" s="26"/>
      <c r="G350" s="54"/>
      <c r="N350" s="42"/>
    </row>
    <row r="351" spans="2:14" s="13" customFormat="1" x14ac:dyDescent="0.4">
      <c r="B351" s="25"/>
      <c r="D351" s="42"/>
      <c r="E351" s="26"/>
      <c r="G351" s="54"/>
      <c r="N351" s="42"/>
    </row>
    <row r="352" spans="2:14" s="13" customFormat="1" x14ac:dyDescent="0.4">
      <c r="B352" s="25"/>
      <c r="D352" s="42"/>
      <c r="E352" s="26"/>
      <c r="G352" s="54"/>
      <c r="N352" s="42"/>
    </row>
    <row r="353" spans="2:14" s="13" customFormat="1" x14ac:dyDescent="0.4">
      <c r="B353" s="25"/>
      <c r="D353" s="42"/>
      <c r="E353" s="26"/>
      <c r="G353" s="54"/>
      <c r="N353" s="42"/>
    </row>
    <row r="354" spans="2:14" s="13" customFormat="1" x14ac:dyDescent="0.4">
      <c r="B354" s="25"/>
      <c r="D354" s="42"/>
      <c r="E354" s="26"/>
      <c r="G354" s="54"/>
      <c r="N354" s="42"/>
    </row>
    <row r="355" spans="2:14" s="13" customFormat="1" x14ac:dyDescent="0.4">
      <c r="B355" s="25"/>
      <c r="D355" s="42"/>
      <c r="E355" s="26"/>
      <c r="G355" s="54"/>
      <c r="N355" s="42"/>
    </row>
    <row r="356" spans="2:14" s="13" customFormat="1" x14ac:dyDescent="0.4">
      <c r="B356" s="25"/>
      <c r="D356" s="42"/>
      <c r="E356" s="26"/>
      <c r="G356" s="54"/>
      <c r="N356" s="42"/>
    </row>
    <row r="357" spans="2:14" s="13" customFormat="1" x14ac:dyDescent="0.4">
      <c r="B357" s="25"/>
      <c r="D357" s="42"/>
      <c r="E357" s="26"/>
      <c r="G357" s="54"/>
      <c r="N357" s="42"/>
    </row>
    <row r="358" spans="2:14" s="13" customFormat="1" x14ac:dyDescent="0.4">
      <c r="B358" s="25"/>
      <c r="D358" s="42"/>
      <c r="E358" s="26"/>
      <c r="G358" s="54"/>
      <c r="N358" s="42"/>
    </row>
    <row r="359" spans="2:14" s="13" customFormat="1" x14ac:dyDescent="0.4">
      <c r="B359" s="25"/>
      <c r="D359" s="42"/>
      <c r="E359" s="26"/>
      <c r="G359" s="54"/>
      <c r="N359" s="42"/>
    </row>
    <row r="360" spans="2:14" s="13" customFormat="1" x14ac:dyDescent="0.4">
      <c r="B360" s="25"/>
      <c r="D360" s="42"/>
      <c r="E360" s="26"/>
      <c r="G360" s="54"/>
      <c r="N360" s="42"/>
    </row>
    <row r="361" spans="2:14" s="13" customFormat="1" x14ac:dyDescent="0.4">
      <c r="B361" s="25"/>
      <c r="D361" s="42"/>
      <c r="E361" s="26"/>
      <c r="G361" s="54"/>
      <c r="N361" s="42"/>
    </row>
    <row r="362" spans="2:14" s="13" customFormat="1" x14ac:dyDescent="0.4">
      <c r="B362" s="25"/>
      <c r="D362" s="42"/>
      <c r="E362" s="26"/>
      <c r="G362" s="54"/>
      <c r="N362" s="42"/>
    </row>
    <row r="363" spans="2:14" s="13" customFormat="1" x14ac:dyDescent="0.4">
      <c r="B363" s="25"/>
      <c r="D363" s="42"/>
      <c r="E363" s="26"/>
      <c r="G363" s="54"/>
      <c r="N363" s="42"/>
    </row>
    <row r="364" spans="2:14" s="13" customFormat="1" x14ac:dyDescent="0.4">
      <c r="B364" s="25"/>
      <c r="D364" s="42"/>
      <c r="E364" s="26"/>
      <c r="G364" s="54"/>
      <c r="N364" s="42"/>
    </row>
    <row r="365" spans="2:14" s="13" customFormat="1" x14ac:dyDescent="0.4">
      <c r="B365" s="25"/>
      <c r="D365" s="42"/>
      <c r="E365" s="26"/>
      <c r="G365" s="54"/>
      <c r="N365" s="42"/>
    </row>
    <row r="366" spans="2:14" s="13" customFormat="1" x14ac:dyDescent="0.4">
      <c r="B366" s="25"/>
      <c r="D366" s="42"/>
      <c r="E366" s="26"/>
      <c r="G366" s="54"/>
      <c r="N366" s="42"/>
    </row>
    <row r="367" spans="2:14" s="13" customFormat="1" x14ac:dyDescent="0.4">
      <c r="B367" s="25"/>
      <c r="D367" s="42"/>
      <c r="E367" s="26"/>
      <c r="G367" s="54"/>
      <c r="N367" s="42"/>
    </row>
    <row r="368" spans="2:14" s="13" customFormat="1" x14ac:dyDescent="0.4">
      <c r="B368" s="25"/>
      <c r="D368" s="42"/>
      <c r="E368" s="26"/>
      <c r="G368" s="54"/>
      <c r="N368" s="42"/>
    </row>
    <row r="369" spans="2:14" s="13" customFormat="1" x14ac:dyDescent="0.4">
      <c r="B369" s="25"/>
      <c r="D369" s="42"/>
      <c r="E369" s="26"/>
      <c r="G369" s="54"/>
      <c r="N369" s="42"/>
    </row>
    <row r="370" spans="2:14" s="13" customFormat="1" x14ac:dyDescent="0.4">
      <c r="B370" s="25"/>
      <c r="D370" s="42"/>
      <c r="E370" s="26"/>
      <c r="G370" s="54"/>
      <c r="N370" s="42"/>
    </row>
    <row r="371" spans="2:14" s="13" customFormat="1" x14ac:dyDescent="0.4">
      <c r="B371" s="25"/>
      <c r="D371" s="42"/>
      <c r="E371" s="26"/>
      <c r="G371" s="54"/>
      <c r="N371" s="42"/>
    </row>
    <row r="372" spans="2:14" s="13" customFormat="1" x14ac:dyDescent="0.4">
      <c r="B372" s="25"/>
      <c r="D372" s="42"/>
      <c r="E372" s="26"/>
      <c r="G372" s="54"/>
      <c r="N372" s="42"/>
    </row>
    <row r="373" spans="2:14" s="13" customFormat="1" x14ac:dyDescent="0.4">
      <c r="B373" s="25"/>
      <c r="D373" s="42"/>
      <c r="E373" s="26"/>
      <c r="G373" s="54"/>
      <c r="N373" s="42"/>
    </row>
    <row r="374" spans="2:14" s="13" customFormat="1" x14ac:dyDescent="0.4">
      <c r="B374" s="25"/>
      <c r="D374" s="42"/>
      <c r="E374" s="26"/>
      <c r="G374" s="54"/>
      <c r="N374" s="42"/>
    </row>
    <row r="375" spans="2:14" s="13" customFormat="1" x14ac:dyDescent="0.4">
      <c r="B375" s="25"/>
      <c r="D375" s="42"/>
      <c r="E375" s="26"/>
      <c r="G375" s="54"/>
      <c r="N375" s="42"/>
    </row>
    <row r="376" spans="2:14" s="13" customFormat="1" x14ac:dyDescent="0.4">
      <c r="B376" s="25"/>
      <c r="D376" s="42"/>
      <c r="E376" s="26"/>
      <c r="G376" s="54"/>
      <c r="N376" s="42"/>
    </row>
    <row r="377" spans="2:14" s="13" customFormat="1" x14ac:dyDescent="0.4">
      <c r="B377" s="25"/>
      <c r="D377" s="42"/>
      <c r="E377" s="26"/>
      <c r="G377" s="54"/>
      <c r="N377" s="42"/>
    </row>
    <row r="378" spans="2:14" s="13" customFormat="1" x14ac:dyDescent="0.4">
      <c r="B378" s="25"/>
      <c r="D378" s="42"/>
      <c r="E378" s="26"/>
      <c r="G378" s="54"/>
      <c r="N378" s="42"/>
    </row>
    <row r="379" spans="2:14" s="13" customFormat="1" x14ac:dyDescent="0.4">
      <c r="B379" s="25"/>
      <c r="D379" s="42"/>
      <c r="E379" s="26"/>
      <c r="G379" s="54"/>
      <c r="N379" s="42"/>
    </row>
    <row r="380" spans="2:14" s="13" customFormat="1" x14ac:dyDescent="0.4">
      <c r="B380" s="25"/>
      <c r="D380" s="42"/>
      <c r="E380" s="26"/>
      <c r="G380" s="54"/>
      <c r="N380" s="42"/>
    </row>
    <row r="381" spans="2:14" s="13" customFormat="1" x14ac:dyDescent="0.4">
      <c r="B381" s="25"/>
      <c r="D381" s="42"/>
      <c r="E381" s="26"/>
      <c r="G381" s="54"/>
      <c r="N381" s="42"/>
    </row>
    <row r="382" spans="2:14" s="13" customFormat="1" x14ac:dyDescent="0.4">
      <c r="B382" s="25"/>
      <c r="D382" s="42"/>
      <c r="E382" s="26"/>
      <c r="G382" s="54"/>
      <c r="N382" s="42"/>
    </row>
    <row r="383" spans="2:14" s="13" customFormat="1" x14ac:dyDescent="0.4">
      <c r="B383" s="25"/>
      <c r="D383" s="42"/>
      <c r="E383" s="26"/>
      <c r="G383" s="54"/>
      <c r="N383" s="42"/>
    </row>
    <row r="384" spans="2:14" s="13" customFormat="1" x14ac:dyDescent="0.4">
      <c r="B384" s="25"/>
      <c r="D384" s="42"/>
      <c r="E384" s="26"/>
      <c r="G384" s="54"/>
      <c r="N384" s="42"/>
    </row>
    <row r="385" spans="2:14" s="13" customFormat="1" x14ac:dyDescent="0.4">
      <c r="B385" s="25"/>
      <c r="D385" s="42"/>
      <c r="E385" s="26"/>
      <c r="G385" s="54"/>
      <c r="N385" s="42"/>
    </row>
    <row r="386" spans="2:14" s="13" customFormat="1" x14ac:dyDescent="0.4">
      <c r="B386" s="25"/>
      <c r="D386" s="42"/>
      <c r="E386" s="26"/>
      <c r="G386" s="54"/>
      <c r="N386" s="42"/>
    </row>
    <row r="387" spans="2:14" s="13" customFormat="1" x14ac:dyDescent="0.4">
      <c r="B387" s="25"/>
      <c r="D387" s="42"/>
      <c r="E387" s="26"/>
      <c r="G387" s="54"/>
      <c r="N387" s="42"/>
    </row>
    <row r="388" spans="2:14" s="13" customFormat="1" x14ac:dyDescent="0.4">
      <c r="B388" s="25"/>
      <c r="D388" s="42"/>
      <c r="E388" s="26"/>
      <c r="G388" s="54"/>
      <c r="N388" s="42"/>
    </row>
    <row r="389" spans="2:14" s="13" customFormat="1" x14ac:dyDescent="0.4">
      <c r="B389" s="25"/>
      <c r="D389" s="42"/>
      <c r="E389" s="26"/>
      <c r="G389" s="54"/>
      <c r="N389" s="42"/>
    </row>
    <row r="390" spans="2:14" s="13" customFormat="1" x14ac:dyDescent="0.4">
      <c r="B390" s="25"/>
      <c r="D390" s="42"/>
      <c r="E390" s="26"/>
      <c r="G390" s="54"/>
      <c r="N390" s="42"/>
    </row>
    <row r="391" spans="2:14" s="13" customFormat="1" x14ac:dyDescent="0.4">
      <c r="B391" s="25"/>
      <c r="D391" s="42"/>
      <c r="E391" s="26"/>
      <c r="G391" s="54"/>
      <c r="N391" s="42"/>
    </row>
    <row r="392" spans="2:14" s="13" customFormat="1" x14ac:dyDescent="0.4">
      <c r="B392" s="25"/>
      <c r="D392" s="42"/>
      <c r="E392" s="26"/>
      <c r="G392" s="54"/>
      <c r="N392" s="42"/>
    </row>
    <row r="393" spans="2:14" s="13" customFormat="1" x14ac:dyDescent="0.4">
      <c r="B393" s="25"/>
      <c r="D393" s="42"/>
      <c r="E393" s="26"/>
      <c r="G393" s="54"/>
      <c r="N393" s="42"/>
    </row>
    <row r="394" spans="2:14" s="13" customFormat="1" x14ac:dyDescent="0.4">
      <c r="B394" s="25"/>
      <c r="D394" s="42"/>
      <c r="E394" s="26"/>
      <c r="G394" s="54"/>
      <c r="N394" s="42"/>
    </row>
    <row r="395" spans="2:14" s="13" customFormat="1" x14ac:dyDescent="0.4">
      <c r="B395" s="25"/>
      <c r="D395" s="42"/>
      <c r="E395" s="26"/>
      <c r="G395" s="54"/>
      <c r="N395" s="42"/>
    </row>
    <row r="396" spans="2:14" s="13" customFormat="1" x14ac:dyDescent="0.4">
      <c r="B396" s="25"/>
      <c r="D396" s="42"/>
      <c r="E396" s="26"/>
      <c r="G396" s="54"/>
      <c r="N396" s="42"/>
    </row>
    <row r="397" spans="2:14" s="13" customFormat="1" x14ac:dyDescent="0.4">
      <c r="B397" s="25"/>
      <c r="D397" s="42"/>
      <c r="E397" s="26"/>
      <c r="G397" s="54"/>
      <c r="N397" s="42"/>
    </row>
    <row r="398" spans="2:14" s="13" customFormat="1" x14ac:dyDescent="0.4">
      <c r="B398" s="25"/>
      <c r="D398" s="42"/>
      <c r="E398" s="26"/>
      <c r="G398" s="54"/>
      <c r="N398" s="42"/>
    </row>
    <row r="399" spans="2:14" s="13" customFormat="1" x14ac:dyDescent="0.4">
      <c r="B399" s="25"/>
      <c r="D399" s="42"/>
      <c r="E399" s="26"/>
      <c r="G399" s="54"/>
      <c r="N399" s="42"/>
    </row>
    <row r="400" spans="2:14" s="13" customFormat="1" x14ac:dyDescent="0.4">
      <c r="B400" s="25"/>
      <c r="D400" s="42"/>
      <c r="E400" s="26"/>
      <c r="G400" s="54"/>
      <c r="N400" s="42"/>
    </row>
    <row r="401" spans="2:14" s="13" customFormat="1" x14ac:dyDescent="0.4">
      <c r="B401" s="25"/>
      <c r="D401" s="42"/>
      <c r="E401" s="26"/>
      <c r="G401" s="54"/>
      <c r="N401" s="42"/>
    </row>
    <row r="402" spans="2:14" s="13" customFormat="1" x14ac:dyDescent="0.4">
      <c r="B402" s="25"/>
      <c r="D402" s="42"/>
      <c r="E402" s="26"/>
      <c r="G402" s="54"/>
      <c r="N402" s="42"/>
    </row>
    <row r="403" spans="2:14" s="13" customFormat="1" x14ac:dyDescent="0.4">
      <c r="B403" s="25"/>
      <c r="D403" s="42"/>
      <c r="E403" s="26"/>
      <c r="G403" s="54"/>
      <c r="N403" s="42"/>
    </row>
    <row r="404" spans="2:14" s="13" customFormat="1" x14ac:dyDescent="0.4">
      <c r="B404" s="25"/>
      <c r="D404" s="42"/>
      <c r="E404" s="26"/>
      <c r="G404" s="54"/>
      <c r="N404" s="42"/>
    </row>
    <row r="405" spans="2:14" s="13" customFormat="1" x14ac:dyDescent="0.4">
      <c r="B405" s="25"/>
      <c r="D405" s="42"/>
      <c r="E405" s="26"/>
      <c r="G405" s="54"/>
      <c r="N405" s="42"/>
    </row>
    <row r="406" spans="2:14" s="13" customFormat="1" x14ac:dyDescent="0.4">
      <c r="B406" s="25"/>
      <c r="D406" s="42"/>
      <c r="E406" s="26"/>
      <c r="G406" s="54"/>
      <c r="N406" s="42"/>
    </row>
    <row r="407" spans="2:14" s="13" customFormat="1" x14ac:dyDescent="0.4">
      <c r="B407" s="25"/>
      <c r="D407" s="42"/>
      <c r="E407" s="26"/>
      <c r="G407" s="54"/>
      <c r="N407" s="42"/>
    </row>
    <row r="408" spans="2:14" s="13" customFormat="1" x14ac:dyDescent="0.4">
      <c r="B408" s="25"/>
      <c r="D408" s="42"/>
      <c r="E408" s="26"/>
      <c r="G408" s="54"/>
      <c r="N408" s="42"/>
    </row>
    <row r="409" spans="2:14" s="13" customFormat="1" x14ac:dyDescent="0.4">
      <c r="B409" s="25"/>
      <c r="D409" s="42"/>
      <c r="E409" s="26"/>
      <c r="G409" s="54"/>
      <c r="N409" s="42"/>
    </row>
    <row r="410" spans="2:14" s="13" customFormat="1" x14ac:dyDescent="0.4">
      <c r="B410" s="25"/>
      <c r="D410" s="42"/>
      <c r="E410" s="26"/>
      <c r="G410" s="54"/>
      <c r="N410" s="42"/>
    </row>
    <row r="411" spans="2:14" s="13" customFormat="1" x14ac:dyDescent="0.4">
      <c r="B411" s="25"/>
      <c r="D411" s="42"/>
      <c r="E411" s="26"/>
      <c r="G411" s="54"/>
      <c r="N411" s="42"/>
    </row>
    <row r="412" spans="2:14" s="13" customFormat="1" x14ac:dyDescent="0.4">
      <c r="B412" s="25"/>
      <c r="D412" s="42"/>
      <c r="E412" s="26"/>
      <c r="G412" s="54"/>
      <c r="N412" s="42"/>
    </row>
    <row r="413" spans="2:14" s="13" customFormat="1" x14ac:dyDescent="0.4">
      <c r="B413" s="25"/>
      <c r="D413" s="42"/>
      <c r="E413" s="26"/>
      <c r="G413" s="54"/>
      <c r="N413" s="42"/>
    </row>
    <row r="414" spans="2:14" s="13" customFormat="1" x14ac:dyDescent="0.4">
      <c r="B414" s="25"/>
      <c r="D414" s="42"/>
      <c r="E414" s="26"/>
      <c r="G414" s="54"/>
      <c r="N414" s="42"/>
    </row>
    <row r="415" spans="2:14" s="13" customFormat="1" x14ac:dyDescent="0.4">
      <c r="B415" s="25"/>
      <c r="D415" s="42"/>
      <c r="E415" s="26"/>
      <c r="G415" s="54"/>
      <c r="N415" s="42"/>
    </row>
    <row r="416" spans="2:14" s="13" customFormat="1" x14ac:dyDescent="0.4">
      <c r="B416" s="25"/>
      <c r="D416" s="42"/>
      <c r="E416" s="26"/>
      <c r="G416" s="54"/>
      <c r="N416" s="42"/>
    </row>
    <row r="417" spans="2:14" s="13" customFormat="1" x14ac:dyDescent="0.4">
      <c r="B417" s="25"/>
      <c r="D417" s="42"/>
      <c r="E417" s="26"/>
      <c r="G417" s="54"/>
      <c r="N417" s="42"/>
    </row>
    <row r="418" spans="2:14" s="13" customFormat="1" x14ac:dyDescent="0.4">
      <c r="B418" s="25"/>
      <c r="D418" s="42"/>
      <c r="E418" s="26"/>
      <c r="G418" s="54"/>
      <c r="N418" s="42"/>
    </row>
    <row r="419" spans="2:14" s="13" customFormat="1" x14ac:dyDescent="0.4">
      <c r="B419" s="25"/>
      <c r="D419" s="42"/>
      <c r="E419" s="26"/>
      <c r="G419" s="54"/>
      <c r="N419" s="42"/>
    </row>
    <row r="420" spans="2:14" s="13" customFormat="1" x14ac:dyDescent="0.4">
      <c r="B420" s="25"/>
      <c r="D420" s="42"/>
      <c r="E420" s="26"/>
      <c r="G420" s="54"/>
      <c r="N420" s="42"/>
    </row>
    <row r="421" spans="2:14" s="13" customFormat="1" x14ac:dyDescent="0.4">
      <c r="B421" s="25"/>
      <c r="D421" s="42"/>
      <c r="E421" s="26"/>
      <c r="G421" s="54"/>
      <c r="N421" s="42"/>
    </row>
    <row r="422" spans="2:14" s="13" customFormat="1" x14ac:dyDescent="0.4">
      <c r="B422" s="25"/>
      <c r="D422" s="42"/>
      <c r="E422" s="26"/>
      <c r="G422" s="54"/>
      <c r="N422" s="42"/>
    </row>
    <row r="423" spans="2:14" s="13" customFormat="1" x14ac:dyDescent="0.4">
      <c r="B423" s="25"/>
      <c r="D423" s="42"/>
      <c r="E423" s="26"/>
      <c r="G423" s="54"/>
      <c r="N423" s="42"/>
    </row>
    <row r="424" spans="2:14" s="13" customFormat="1" x14ac:dyDescent="0.4">
      <c r="B424" s="25"/>
      <c r="D424" s="42"/>
      <c r="E424" s="26"/>
      <c r="G424" s="54"/>
      <c r="N424" s="42"/>
    </row>
    <row r="425" spans="2:14" s="13" customFormat="1" x14ac:dyDescent="0.4">
      <c r="B425" s="25"/>
      <c r="D425" s="42"/>
      <c r="E425" s="26"/>
      <c r="G425" s="54"/>
      <c r="N425" s="42"/>
    </row>
    <row r="426" spans="2:14" s="13" customFormat="1" x14ac:dyDescent="0.4">
      <c r="B426" s="25"/>
      <c r="D426" s="42"/>
      <c r="E426" s="26"/>
      <c r="G426" s="54"/>
      <c r="N426" s="42"/>
    </row>
    <row r="427" spans="2:14" s="13" customFormat="1" x14ac:dyDescent="0.4">
      <c r="B427" s="25"/>
      <c r="D427" s="42"/>
      <c r="E427" s="26"/>
      <c r="G427" s="54"/>
      <c r="N427" s="42"/>
    </row>
    <row r="428" spans="2:14" s="13" customFormat="1" x14ac:dyDescent="0.4">
      <c r="B428" s="25"/>
      <c r="D428" s="42"/>
      <c r="E428" s="26"/>
      <c r="G428" s="54"/>
      <c r="N428" s="42"/>
    </row>
    <row r="429" spans="2:14" s="13" customFormat="1" x14ac:dyDescent="0.4">
      <c r="B429" s="25"/>
      <c r="D429" s="42"/>
      <c r="E429" s="26"/>
      <c r="G429" s="54"/>
      <c r="N429" s="42"/>
    </row>
    <row r="430" spans="2:14" s="13" customFormat="1" x14ac:dyDescent="0.4">
      <c r="B430" s="25"/>
      <c r="D430" s="42"/>
      <c r="E430" s="26"/>
      <c r="G430" s="54"/>
      <c r="N430" s="42"/>
    </row>
    <row r="431" spans="2:14" s="13" customFormat="1" x14ac:dyDescent="0.4">
      <c r="B431" s="25"/>
      <c r="D431" s="42"/>
      <c r="E431" s="26"/>
      <c r="G431" s="54"/>
      <c r="N431" s="42"/>
    </row>
    <row r="432" spans="2:14" s="13" customFormat="1" x14ac:dyDescent="0.4">
      <c r="B432" s="25"/>
      <c r="D432" s="42"/>
      <c r="E432" s="26"/>
      <c r="G432" s="54"/>
      <c r="N432" s="42"/>
    </row>
    <row r="433" spans="2:14" s="13" customFormat="1" x14ac:dyDescent="0.4">
      <c r="B433" s="25"/>
      <c r="D433" s="42"/>
      <c r="E433" s="26"/>
      <c r="G433" s="54"/>
      <c r="N433" s="42"/>
    </row>
    <row r="434" spans="2:14" s="13" customFormat="1" x14ac:dyDescent="0.4">
      <c r="B434" s="25"/>
      <c r="D434" s="42"/>
      <c r="E434" s="26"/>
      <c r="G434" s="54"/>
      <c r="N434" s="42"/>
    </row>
    <row r="435" spans="2:14" s="13" customFormat="1" x14ac:dyDescent="0.4">
      <c r="B435" s="25"/>
      <c r="D435" s="42"/>
      <c r="E435" s="26"/>
      <c r="G435" s="54"/>
      <c r="N435" s="42"/>
    </row>
    <row r="436" spans="2:14" s="13" customFormat="1" x14ac:dyDescent="0.4">
      <c r="B436" s="25"/>
      <c r="D436" s="42"/>
      <c r="E436" s="26"/>
      <c r="G436" s="54"/>
      <c r="N436" s="42"/>
    </row>
    <row r="437" spans="2:14" s="13" customFormat="1" x14ac:dyDescent="0.4">
      <c r="B437" s="25"/>
      <c r="D437" s="42"/>
      <c r="E437" s="26"/>
      <c r="G437" s="54"/>
      <c r="N437" s="42"/>
    </row>
    <row r="438" spans="2:14" s="13" customFormat="1" x14ac:dyDescent="0.4">
      <c r="B438" s="25"/>
      <c r="D438" s="42"/>
      <c r="E438" s="26"/>
      <c r="G438" s="54"/>
      <c r="N438" s="42"/>
    </row>
    <row r="439" spans="2:14" s="13" customFormat="1" x14ac:dyDescent="0.4">
      <c r="B439" s="25"/>
      <c r="D439" s="42"/>
      <c r="E439" s="26"/>
      <c r="G439" s="54"/>
      <c r="N439" s="42"/>
    </row>
    <row r="440" spans="2:14" s="13" customFormat="1" x14ac:dyDescent="0.4">
      <c r="B440" s="25"/>
      <c r="D440" s="42"/>
      <c r="E440" s="26"/>
      <c r="G440" s="54"/>
      <c r="N440" s="42"/>
    </row>
    <row r="441" spans="2:14" s="13" customFormat="1" x14ac:dyDescent="0.4">
      <c r="B441" s="25"/>
      <c r="D441" s="42"/>
      <c r="E441" s="26"/>
      <c r="G441" s="54"/>
      <c r="N441" s="42"/>
    </row>
    <row r="442" spans="2:14" s="13" customFormat="1" x14ac:dyDescent="0.4">
      <c r="B442" s="25"/>
      <c r="D442" s="42"/>
      <c r="E442" s="26"/>
      <c r="G442" s="54"/>
      <c r="N442" s="42"/>
    </row>
    <row r="443" spans="2:14" s="13" customFormat="1" x14ac:dyDescent="0.4">
      <c r="B443" s="25"/>
      <c r="D443" s="42"/>
      <c r="E443" s="26"/>
      <c r="G443" s="54"/>
      <c r="N443" s="42"/>
    </row>
    <row r="444" spans="2:14" s="13" customFormat="1" x14ac:dyDescent="0.4">
      <c r="B444" s="25"/>
      <c r="D444" s="42"/>
      <c r="E444" s="26"/>
      <c r="G444" s="54"/>
      <c r="N444" s="42"/>
    </row>
    <row r="445" spans="2:14" s="13" customFormat="1" x14ac:dyDescent="0.4">
      <c r="B445" s="25"/>
      <c r="D445" s="42"/>
      <c r="E445" s="26"/>
      <c r="G445" s="54"/>
      <c r="N445" s="42"/>
    </row>
    <row r="446" spans="2:14" s="13" customFormat="1" x14ac:dyDescent="0.4">
      <c r="B446" s="25"/>
      <c r="D446" s="42"/>
      <c r="E446" s="26"/>
      <c r="G446" s="54"/>
      <c r="N446" s="42"/>
    </row>
    <row r="447" spans="2:14" s="13" customFormat="1" x14ac:dyDescent="0.4">
      <c r="B447" s="25"/>
      <c r="D447" s="42"/>
      <c r="E447" s="26"/>
      <c r="G447" s="54"/>
      <c r="N447" s="42"/>
    </row>
    <row r="448" spans="2:14" s="13" customFormat="1" x14ac:dyDescent="0.4">
      <c r="B448" s="25"/>
      <c r="D448" s="42"/>
      <c r="E448" s="26"/>
      <c r="G448" s="54"/>
      <c r="N448" s="42"/>
    </row>
    <row r="449" spans="2:14" s="13" customFormat="1" x14ac:dyDescent="0.4">
      <c r="B449" s="25"/>
      <c r="D449" s="42"/>
      <c r="E449" s="26"/>
      <c r="G449" s="54"/>
      <c r="N449" s="42"/>
    </row>
    <row r="450" spans="2:14" s="13" customFormat="1" x14ac:dyDescent="0.4">
      <c r="B450" s="25"/>
      <c r="D450" s="42"/>
      <c r="E450" s="26"/>
      <c r="G450" s="54"/>
      <c r="N450" s="42"/>
    </row>
    <row r="451" spans="2:14" s="13" customFormat="1" x14ac:dyDescent="0.4">
      <c r="B451" s="25"/>
      <c r="D451" s="42"/>
      <c r="E451" s="26"/>
      <c r="G451" s="54"/>
      <c r="N451" s="42"/>
    </row>
    <row r="452" spans="2:14" s="13" customFormat="1" x14ac:dyDescent="0.4">
      <c r="B452" s="25"/>
      <c r="D452" s="42"/>
      <c r="E452" s="26"/>
      <c r="G452" s="54"/>
      <c r="N452" s="42"/>
    </row>
    <row r="453" spans="2:14" s="13" customFormat="1" x14ac:dyDescent="0.4">
      <c r="B453" s="25"/>
      <c r="D453" s="42"/>
      <c r="E453" s="26"/>
      <c r="G453" s="54"/>
      <c r="N453" s="42"/>
    </row>
    <row r="454" spans="2:14" s="13" customFormat="1" x14ac:dyDescent="0.4">
      <c r="B454" s="25"/>
      <c r="D454" s="42"/>
      <c r="E454" s="26"/>
      <c r="G454" s="54"/>
      <c r="N454" s="42"/>
    </row>
    <row r="455" spans="2:14" s="13" customFormat="1" x14ac:dyDescent="0.4">
      <c r="B455" s="25"/>
      <c r="D455" s="42"/>
      <c r="E455" s="26"/>
      <c r="G455" s="54"/>
      <c r="N455" s="42"/>
    </row>
    <row r="456" spans="2:14" s="13" customFormat="1" x14ac:dyDescent="0.4">
      <c r="B456" s="25"/>
      <c r="D456" s="42"/>
      <c r="E456" s="26"/>
      <c r="G456" s="54"/>
      <c r="N456" s="42"/>
    </row>
    <row r="457" spans="2:14" s="13" customFormat="1" x14ac:dyDescent="0.4">
      <c r="B457" s="25"/>
      <c r="D457" s="42"/>
      <c r="E457" s="26"/>
      <c r="G457" s="54"/>
      <c r="N457" s="42"/>
    </row>
    <row r="458" spans="2:14" s="13" customFormat="1" x14ac:dyDescent="0.4">
      <c r="B458" s="25"/>
      <c r="D458" s="42"/>
      <c r="E458" s="26"/>
      <c r="G458" s="54"/>
      <c r="N458" s="42"/>
    </row>
    <row r="459" spans="2:14" s="13" customFormat="1" x14ac:dyDescent="0.4">
      <c r="B459" s="25"/>
      <c r="D459" s="42"/>
      <c r="E459" s="26"/>
      <c r="G459" s="54"/>
      <c r="N459" s="42"/>
    </row>
    <row r="460" spans="2:14" s="13" customFormat="1" x14ac:dyDescent="0.4">
      <c r="B460" s="25"/>
      <c r="D460" s="42"/>
      <c r="E460" s="26"/>
      <c r="G460" s="54"/>
      <c r="N460" s="42"/>
    </row>
    <row r="461" spans="2:14" s="13" customFormat="1" x14ac:dyDescent="0.4">
      <c r="B461" s="25"/>
      <c r="D461" s="42"/>
      <c r="E461" s="26"/>
      <c r="G461" s="54"/>
      <c r="N461" s="42"/>
    </row>
    <row r="462" spans="2:14" s="13" customFormat="1" x14ac:dyDescent="0.4">
      <c r="B462" s="25"/>
      <c r="D462" s="42"/>
      <c r="E462" s="26"/>
      <c r="G462" s="54"/>
      <c r="N462" s="42"/>
    </row>
    <row r="463" spans="2:14" s="13" customFormat="1" x14ac:dyDescent="0.4">
      <c r="B463" s="25"/>
      <c r="D463" s="42"/>
      <c r="E463" s="26"/>
      <c r="G463" s="54"/>
      <c r="N463" s="42"/>
    </row>
    <row r="464" spans="2:14" s="13" customFormat="1" x14ac:dyDescent="0.4">
      <c r="B464" s="25"/>
      <c r="D464" s="42"/>
      <c r="E464" s="26"/>
      <c r="G464" s="54"/>
      <c r="N464" s="42"/>
    </row>
    <row r="465" spans="2:14" s="13" customFormat="1" x14ac:dyDescent="0.4">
      <c r="B465" s="25"/>
      <c r="D465" s="42"/>
      <c r="E465" s="26"/>
      <c r="G465" s="54"/>
      <c r="N465" s="42"/>
    </row>
    <row r="466" spans="2:14" s="13" customFormat="1" x14ac:dyDescent="0.4">
      <c r="B466" s="25"/>
      <c r="D466" s="42"/>
      <c r="E466" s="26"/>
      <c r="G466" s="54"/>
      <c r="N466" s="42"/>
    </row>
    <row r="467" spans="2:14" s="13" customFormat="1" x14ac:dyDescent="0.4">
      <c r="B467" s="25"/>
      <c r="D467" s="42"/>
      <c r="E467" s="26"/>
      <c r="G467" s="54"/>
      <c r="N467" s="42"/>
    </row>
    <row r="468" spans="2:14" s="13" customFormat="1" x14ac:dyDescent="0.4">
      <c r="B468" s="25"/>
      <c r="D468" s="42"/>
      <c r="E468" s="26"/>
      <c r="G468" s="54"/>
      <c r="N468" s="42"/>
    </row>
    <row r="469" spans="2:14" s="13" customFormat="1" x14ac:dyDescent="0.4">
      <c r="B469" s="25"/>
      <c r="D469" s="42"/>
      <c r="E469" s="26"/>
      <c r="G469" s="54"/>
      <c r="N469" s="42"/>
    </row>
    <row r="470" spans="2:14" s="13" customFormat="1" x14ac:dyDescent="0.4">
      <c r="B470" s="25"/>
      <c r="D470" s="42"/>
      <c r="E470" s="26"/>
      <c r="G470" s="54"/>
      <c r="N470" s="42"/>
    </row>
    <row r="471" spans="2:14" s="13" customFormat="1" x14ac:dyDescent="0.4">
      <c r="B471" s="25"/>
      <c r="D471" s="42"/>
      <c r="E471" s="26"/>
      <c r="G471" s="54"/>
      <c r="N471" s="42"/>
    </row>
    <row r="472" spans="2:14" s="13" customFormat="1" x14ac:dyDescent="0.4">
      <c r="B472" s="25"/>
      <c r="D472" s="42"/>
      <c r="E472" s="26"/>
      <c r="G472" s="54"/>
      <c r="N472" s="42"/>
    </row>
    <row r="473" spans="2:14" s="13" customFormat="1" x14ac:dyDescent="0.4">
      <c r="B473" s="25"/>
      <c r="D473" s="42"/>
      <c r="E473" s="26"/>
      <c r="G473" s="54"/>
      <c r="N473" s="42"/>
    </row>
    <row r="474" spans="2:14" s="13" customFormat="1" x14ac:dyDescent="0.4">
      <c r="B474" s="25"/>
      <c r="D474" s="42"/>
      <c r="E474" s="26"/>
      <c r="G474" s="54"/>
      <c r="N474" s="42"/>
    </row>
    <row r="475" spans="2:14" s="13" customFormat="1" x14ac:dyDescent="0.4">
      <c r="B475" s="25"/>
      <c r="D475" s="42"/>
      <c r="E475" s="26"/>
      <c r="G475" s="54"/>
      <c r="N475" s="42"/>
    </row>
    <row r="476" spans="2:14" s="13" customFormat="1" x14ac:dyDescent="0.4">
      <c r="B476" s="25"/>
      <c r="D476" s="42"/>
      <c r="E476" s="26"/>
      <c r="G476" s="54"/>
      <c r="N476" s="42"/>
    </row>
    <row r="477" spans="2:14" s="13" customFormat="1" x14ac:dyDescent="0.4">
      <c r="B477" s="25"/>
      <c r="D477" s="42"/>
      <c r="E477" s="26"/>
      <c r="G477" s="54"/>
      <c r="N477" s="42"/>
    </row>
    <row r="478" spans="2:14" s="13" customFormat="1" x14ac:dyDescent="0.4">
      <c r="B478" s="25"/>
      <c r="D478" s="42"/>
      <c r="E478" s="26"/>
      <c r="G478" s="54"/>
      <c r="N478" s="42"/>
    </row>
    <row r="479" spans="2:14" s="13" customFormat="1" x14ac:dyDescent="0.4">
      <c r="B479" s="25"/>
      <c r="D479" s="42"/>
      <c r="E479" s="26"/>
      <c r="G479" s="54"/>
      <c r="N479" s="42"/>
    </row>
    <row r="480" spans="2:14" s="13" customFormat="1" x14ac:dyDescent="0.4">
      <c r="B480" s="25"/>
      <c r="D480" s="42"/>
      <c r="E480" s="26"/>
      <c r="G480" s="54"/>
      <c r="N480" s="42"/>
    </row>
    <row r="481" spans="2:14" s="13" customFormat="1" x14ac:dyDescent="0.4">
      <c r="B481" s="25"/>
      <c r="D481" s="42"/>
      <c r="E481" s="26"/>
      <c r="G481" s="54"/>
      <c r="N481" s="42"/>
    </row>
    <row r="482" spans="2:14" s="13" customFormat="1" x14ac:dyDescent="0.4">
      <c r="B482" s="25"/>
      <c r="D482" s="42"/>
      <c r="E482" s="26"/>
      <c r="G482" s="54"/>
      <c r="N482" s="42"/>
    </row>
    <row r="483" spans="2:14" s="13" customFormat="1" x14ac:dyDescent="0.4">
      <c r="B483" s="25"/>
      <c r="D483" s="42"/>
      <c r="E483" s="26"/>
      <c r="G483" s="54"/>
      <c r="N483" s="42"/>
    </row>
    <row r="484" spans="2:14" s="13" customFormat="1" x14ac:dyDescent="0.4">
      <c r="B484" s="25"/>
      <c r="D484" s="42"/>
      <c r="E484" s="26"/>
      <c r="G484" s="54"/>
      <c r="N484" s="42"/>
    </row>
    <row r="485" spans="2:14" s="13" customFormat="1" x14ac:dyDescent="0.4">
      <c r="B485" s="25"/>
      <c r="D485" s="42"/>
      <c r="E485" s="26"/>
      <c r="G485" s="54"/>
      <c r="N485" s="42"/>
    </row>
    <row r="486" spans="2:14" s="13" customFormat="1" x14ac:dyDescent="0.4">
      <c r="B486" s="25"/>
      <c r="D486" s="42"/>
      <c r="E486" s="26"/>
      <c r="G486" s="54"/>
      <c r="N486" s="42"/>
    </row>
    <row r="487" spans="2:14" s="13" customFormat="1" x14ac:dyDescent="0.4">
      <c r="B487" s="25"/>
      <c r="D487" s="42"/>
      <c r="E487" s="26"/>
      <c r="G487" s="54"/>
      <c r="N487" s="42"/>
    </row>
    <row r="488" spans="2:14" s="13" customFormat="1" x14ac:dyDescent="0.4">
      <c r="B488" s="25"/>
      <c r="D488" s="42"/>
      <c r="E488" s="26"/>
      <c r="G488" s="54"/>
      <c r="N488" s="42"/>
    </row>
    <row r="489" spans="2:14" s="13" customFormat="1" x14ac:dyDescent="0.4">
      <c r="B489" s="25"/>
      <c r="D489" s="42"/>
      <c r="E489" s="26"/>
      <c r="G489" s="54"/>
      <c r="N489" s="42"/>
    </row>
    <row r="490" spans="2:14" s="13" customFormat="1" x14ac:dyDescent="0.4">
      <c r="B490" s="25"/>
      <c r="D490" s="42"/>
      <c r="E490" s="26"/>
      <c r="G490" s="54"/>
      <c r="N490" s="42"/>
    </row>
    <row r="491" spans="2:14" s="13" customFormat="1" x14ac:dyDescent="0.4">
      <c r="B491" s="25"/>
      <c r="D491" s="42"/>
      <c r="E491" s="26"/>
      <c r="G491" s="54"/>
      <c r="N491" s="42"/>
    </row>
    <row r="492" spans="2:14" s="13" customFormat="1" x14ac:dyDescent="0.4">
      <c r="B492" s="25"/>
      <c r="D492" s="42"/>
      <c r="E492" s="26"/>
      <c r="G492" s="54"/>
      <c r="N492" s="42"/>
    </row>
    <row r="493" spans="2:14" s="13" customFormat="1" x14ac:dyDescent="0.4">
      <c r="B493" s="25"/>
      <c r="D493" s="42"/>
      <c r="E493" s="26"/>
      <c r="G493" s="54"/>
      <c r="N493" s="42"/>
    </row>
    <row r="494" spans="2:14" s="13" customFormat="1" x14ac:dyDescent="0.4">
      <c r="B494" s="25"/>
      <c r="D494" s="42"/>
      <c r="E494" s="26"/>
      <c r="G494" s="54"/>
      <c r="N494" s="42"/>
    </row>
    <row r="495" spans="2:14" s="13" customFormat="1" x14ac:dyDescent="0.4">
      <c r="B495" s="25"/>
      <c r="D495" s="42"/>
      <c r="E495" s="26"/>
      <c r="G495" s="54"/>
      <c r="N495" s="42"/>
    </row>
    <row r="496" spans="2:14" s="13" customFormat="1" x14ac:dyDescent="0.4">
      <c r="B496" s="25"/>
      <c r="D496" s="42"/>
      <c r="E496" s="26"/>
      <c r="G496" s="54"/>
      <c r="N496" s="42"/>
    </row>
    <row r="497" spans="2:14" s="13" customFormat="1" x14ac:dyDescent="0.4">
      <c r="B497" s="25"/>
      <c r="D497" s="42"/>
      <c r="E497" s="26"/>
      <c r="G497" s="54"/>
      <c r="N497" s="42"/>
    </row>
    <row r="498" spans="2:14" s="13" customFormat="1" x14ac:dyDescent="0.4">
      <c r="B498" s="25"/>
      <c r="D498" s="42"/>
      <c r="E498" s="26"/>
      <c r="G498" s="54"/>
      <c r="N498" s="42"/>
    </row>
    <row r="499" spans="2:14" s="13" customFormat="1" x14ac:dyDescent="0.4">
      <c r="B499" s="25"/>
      <c r="D499" s="42"/>
      <c r="E499" s="26"/>
      <c r="G499" s="54"/>
      <c r="N499" s="42"/>
    </row>
    <row r="500" spans="2:14" s="13" customFormat="1" x14ac:dyDescent="0.4">
      <c r="B500" s="25"/>
      <c r="D500" s="42"/>
      <c r="E500" s="26"/>
      <c r="G500" s="54"/>
      <c r="N500" s="42"/>
    </row>
    <row r="501" spans="2:14" s="13" customFormat="1" x14ac:dyDescent="0.4">
      <c r="B501" s="25"/>
      <c r="D501" s="42"/>
      <c r="E501" s="26"/>
      <c r="G501" s="54"/>
      <c r="N501" s="42"/>
    </row>
    <row r="502" spans="2:14" s="13" customFormat="1" x14ac:dyDescent="0.4">
      <c r="B502" s="25"/>
      <c r="D502" s="42"/>
      <c r="E502" s="26"/>
      <c r="G502" s="54"/>
      <c r="N502" s="42"/>
    </row>
    <row r="503" spans="2:14" s="13" customFormat="1" x14ac:dyDescent="0.4">
      <c r="B503" s="25"/>
      <c r="D503" s="42"/>
      <c r="E503" s="26"/>
      <c r="G503" s="54"/>
      <c r="N503" s="42"/>
    </row>
    <row r="504" spans="2:14" s="13" customFormat="1" x14ac:dyDescent="0.4">
      <c r="B504" s="25"/>
      <c r="D504" s="42"/>
      <c r="E504" s="26"/>
      <c r="G504" s="54"/>
      <c r="N504" s="42"/>
    </row>
    <row r="505" spans="2:14" s="13" customFormat="1" x14ac:dyDescent="0.4">
      <c r="B505" s="25"/>
      <c r="D505" s="42"/>
      <c r="E505" s="26"/>
      <c r="G505" s="54"/>
      <c r="N505" s="42"/>
    </row>
    <row r="506" spans="2:14" s="13" customFormat="1" x14ac:dyDescent="0.4">
      <c r="B506" s="25"/>
      <c r="D506" s="42"/>
      <c r="E506" s="26"/>
      <c r="G506" s="54"/>
      <c r="N506" s="42"/>
    </row>
    <row r="507" spans="2:14" s="13" customFormat="1" x14ac:dyDescent="0.4">
      <c r="B507" s="25"/>
      <c r="D507" s="42"/>
      <c r="E507" s="26"/>
      <c r="G507" s="54"/>
      <c r="N507" s="42"/>
    </row>
    <row r="508" spans="2:14" s="13" customFormat="1" x14ac:dyDescent="0.4">
      <c r="B508" s="25"/>
      <c r="D508" s="42"/>
      <c r="E508" s="26"/>
      <c r="G508" s="54"/>
      <c r="N508" s="42"/>
    </row>
    <row r="509" spans="2:14" s="13" customFormat="1" x14ac:dyDescent="0.4">
      <c r="B509" s="25"/>
      <c r="D509" s="42"/>
      <c r="E509" s="26"/>
      <c r="G509" s="54"/>
      <c r="N509" s="42"/>
    </row>
    <row r="510" spans="2:14" s="13" customFormat="1" x14ac:dyDescent="0.4">
      <c r="B510" s="25"/>
      <c r="D510" s="42"/>
      <c r="E510" s="26"/>
      <c r="G510" s="54"/>
      <c r="N510" s="42"/>
    </row>
    <row r="511" spans="2:14" s="13" customFormat="1" x14ac:dyDescent="0.4">
      <c r="B511" s="25"/>
      <c r="D511" s="42"/>
      <c r="E511" s="26"/>
      <c r="G511" s="54"/>
      <c r="N511" s="42"/>
    </row>
    <row r="512" spans="2:14" s="13" customFormat="1" x14ac:dyDescent="0.4">
      <c r="B512" s="25"/>
      <c r="D512" s="42"/>
      <c r="E512" s="26"/>
      <c r="G512" s="54"/>
      <c r="N512" s="42"/>
    </row>
    <row r="513" spans="2:14" s="13" customFormat="1" x14ac:dyDescent="0.4">
      <c r="B513" s="25"/>
      <c r="D513" s="42"/>
      <c r="E513" s="26"/>
      <c r="G513" s="54"/>
      <c r="N513" s="42"/>
    </row>
    <row r="514" spans="2:14" s="13" customFormat="1" x14ac:dyDescent="0.4">
      <c r="B514" s="25"/>
      <c r="D514" s="42"/>
      <c r="E514" s="26"/>
      <c r="G514" s="54"/>
      <c r="N514" s="42"/>
    </row>
    <row r="515" spans="2:14" s="13" customFormat="1" x14ac:dyDescent="0.4">
      <c r="B515" s="25"/>
      <c r="D515" s="42"/>
      <c r="E515" s="26"/>
      <c r="G515" s="54"/>
      <c r="N515" s="42"/>
    </row>
    <row r="516" spans="2:14" s="13" customFormat="1" x14ac:dyDescent="0.4">
      <c r="B516" s="25"/>
      <c r="D516" s="42"/>
      <c r="E516" s="26"/>
      <c r="G516" s="54"/>
      <c r="N516" s="42"/>
    </row>
    <row r="517" spans="2:14" s="13" customFormat="1" x14ac:dyDescent="0.4">
      <c r="B517" s="25"/>
      <c r="D517" s="42"/>
      <c r="E517" s="26"/>
      <c r="G517" s="54"/>
      <c r="N517" s="42"/>
    </row>
    <row r="518" spans="2:14" s="13" customFormat="1" x14ac:dyDescent="0.4">
      <c r="B518" s="25"/>
      <c r="D518" s="42"/>
      <c r="E518" s="26"/>
      <c r="G518" s="54"/>
      <c r="N518" s="42"/>
    </row>
    <row r="519" spans="2:14" s="13" customFormat="1" x14ac:dyDescent="0.4">
      <c r="B519" s="25"/>
      <c r="D519" s="42"/>
      <c r="E519" s="26"/>
      <c r="G519" s="54"/>
      <c r="N519" s="42"/>
    </row>
    <row r="520" spans="2:14" s="13" customFormat="1" x14ac:dyDescent="0.4">
      <c r="B520" s="25"/>
      <c r="D520" s="42"/>
      <c r="E520" s="26"/>
      <c r="G520" s="54"/>
      <c r="N520" s="42"/>
    </row>
    <row r="521" spans="2:14" s="13" customFormat="1" x14ac:dyDescent="0.4">
      <c r="B521" s="25"/>
      <c r="D521" s="42"/>
      <c r="E521" s="26"/>
      <c r="G521" s="54"/>
      <c r="N521" s="42"/>
    </row>
    <row r="522" spans="2:14" s="13" customFormat="1" x14ac:dyDescent="0.4">
      <c r="B522" s="25"/>
      <c r="D522" s="42"/>
      <c r="E522" s="26"/>
      <c r="G522" s="54"/>
      <c r="N522" s="42"/>
    </row>
    <row r="523" spans="2:14" s="13" customFormat="1" x14ac:dyDescent="0.4">
      <c r="B523" s="25"/>
      <c r="D523" s="42"/>
      <c r="E523" s="26"/>
      <c r="G523" s="54"/>
      <c r="N523" s="42"/>
    </row>
    <row r="524" spans="2:14" s="13" customFormat="1" x14ac:dyDescent="0.4">
      <c r="B524" s="25"/>
      <c r="D524" s="42"/>
      <c r="E524" s="26"/>
      <c r="G524" s="54"/>
      <c r="N524" s="42"/>
    </row>
    <row r="525" spans="2:14" s="13" customFormat="1" x14ac:dyDescent="0.4">
      <c r="B525" s="25"/>
      <c r="D525" s="42"/>
      <c r="E525" s="26"/>
      <c r="G525" s="54"/>
      <c r="N525" s="42"/>
    </row>
    <row r="526" spans="2:14" s="13" customFormat="1" x14ac:dyDescent="0.4">
      <c r="B526" s="25"/>
      <c r="D526" s="42"/>
      <c r="E526" s="26"/>
      <c r="G526" s="54"/>
      <c r="N526" s="42"/>
    </row>
    <row r="527" spans="2:14" s="13" customFormat="1" x14ac:dyDescent="0.4">
      <c r="B527" s="25"/>
      <c r="D527" s="42"/>
      <c r="E527" s="26"/>
      <c r="G527" s="54"/>
      <c r="N527" s="42"/>
    </row>
    <row r="528" spans="2:14" s="13" customFormat="1" x14ac:dyDescent="0.4">
      <c r="B528" s="25"/>
      <c r="D528" s="42"/>
      <c r="E528" s="26"/>
      <c r="G528" s="54"/>
      <c r="N528" s="42"/>
    </row>
    <row r="529" spans="2:14" s="13" customFormat="1" x14ac:dyDescent="0.4">
      <c r="B529" s="25"/>
      <c r="D529" s="42"/>
      <c r="E529" s="26"/>
      <c r="G529" s="54"/>
      <c r="N529" s="42"/>
    </row>
    <row r="530" spans="2:14" s="13" customFormat="1" x14ac:dyDescent="0.4">
      <c r="B530" s="25"/>
      <c r="D530" s="42"/>
      <c r="E530" s="26"/>
      <c r="G530" s="54"/>
      <c r="N530" s="42"/>
    </row>
    <row r="531" spans="2:14" s="13" customFormat="1" x14ac:dyDescent="0.4">
      <c r="B531" s="25"/>
      <c r="D531" s="42"/>
      <c r="E531" s="26"/>
      <c r="G531" s="54"/>
      <c r="N531" s="42"/>
    </row>
    <row r="532" spans="2:14" s="13" customFormat="1" x14ac:dyDescent="0.4">
      <c r="B532" s="25"/>
      <c r="D532" s="42"/>
      <c r="E532" s="26"/>
      <c r="G532" s="54"/>
      <c r="N532" s="42"/>
    </row>
    <row r="533" spans="2:14" s="13" customFormat="1" x14ac:dyDescent="0.4">
      <c r="B533" s="25"/>
      <c r="D533" s="42"/>
      <c r="E533" s="26"/>
      <c r="G533" s="54"/>
      <c r="N533" s="42"/>
    </row>
    <row r="534" spans="2:14" s="13" customFormat="1" x14ac:dyDescent="0.4">
      <c r="B534" s="25"/>
      <c r="D534" s="42"/>
      <c r="E534" s="26"/>
      <c r="G534" s="54"/>
      <c r="N534" s="42"/>
    </row>
    <row r="535" spans="2:14" s="13" customFormat="1" x14ac:dyDescent="0.4">
      <c r="B535" s="25"/>
      <c r="D535" s="42"/>
      <c r="E535" s="26"/>
      <c r="G535" s="54"/>
      <c r="N535" s="42"/>
    </row>
    <row r="536" spans="2:14" s="13" customFormat="1" x14ac:dyDescent="0.4">
      <c r="B536" s="25"/>
      <c r="D536" s="42"/>
      <c r="E536" s="26"/>
      <c r="G536" s="54"/>
      <c r="N536" s="42"/>
    </row>
    <row r="537" spans="2:14" s="13" customFormat="1" x14ac:dyDescent="0.4">
      <c r="B537" s="25"/>
      <c r="D537" s="42"/>
      <c r="E537" s="26"/>
      <c r="G537" s="54"/>
      <c r="N537" s="42"/>
    </row>
    <row r="538" spans="2:14" s="13" customFormat="1" x14ac:dyDescent="0.4">
      <c r="B538" s="25"/>
      <c r="D538" s="42"/>
      <c r="E538" s="26"/>
      <c r="G538" s="54"/>
      <c r="N538" s="42"/>
    </row>
    <row r="539" spans="2:14" s="13" customFormat="1" x14ac:dyDescent="0.4">
      <c r="B539" s="25"/>
      <c r="D539" s="42"/>
      <c r="E539" s="26"/>
      <c r="G539" s="54"/>
      <c r="N539" s="42"/>
    </row>
    <row r="540" spans="2:14" s="13" customFormat="1" x14ac:dyDescent="0.4">
      <c r="B540" s="25"/>
      <c r="D540" s="42"/>
      <c r="E540" s="26"/>
      <c r="G540" s="54"/>
      <c r="N540" s="42"/>
    </row>
    <row r="541" spans="2:14" s="13" customFormat="1" x14ac:dyDescent="0.4">
      <c r="B541" s="25"/>
      <c r="D541" s="42"/>
      <c r="E541" s="26"/>
      <c r="G541" s="54"/>
      <c r="N541" s="42"/>
    </row>
    <row r="542" spans="2:14" s="13" customFormat="1" x14ac:dyDescent="0.4">
      <c r="B542" s="25"/>
      <c r="D542" s="42"/>
      <c r="E542" s="26"/>
      <c r="G542" s="54"/>
      <c r="N542" s="42"/>
    </row>
    <row r="543" spans="2:14" s="13" customFormat="1" x14ac:dyDescent="0.4">
      <c r="B543" s="25"/>
      <c r="D543" s="42"/>
      <c r="E543" s="26"/>
      <c r="G543" s="54"/>
      <c r="N543" s="42"/>
    </row>
    <row r="544" spans="2:14" s="13" customFormat="1" x14ac:dyDescent="0.4">
      <c r="B544" s="25"/>
      <c r="D544" s="42"/>
      <c r="E544" s="26"/>
      <c r="G544" s="54"/>
      <c r="N544" s="42"/>
    </row>
    <row r="545" spans="2:14" s="13" customFormat="1" x14ac:dyDescent="0.4">
      <c r="B545" s="25"/>
      <c r="D545" s="42"/>
      <c r="E545" s="26"/>
      <c r="G545" s="54"/>
      <c r="N545" s="42"/>
    </row>
    <row r="546" spans="2:14" s="13" customFormat="1" x14ac:dyDescent="0.4">
      <c r="B546" s="25"/>
      <c r="D546" s="42"/>
      <c r="E546" s="26"/>
      <c r="G546" s="54"/>
      <c r="N546" s="42"/>
    </row>
    <row r="547" spans="2:14" s="13" customFormat="1" x14ac:dyDescent="0.4">
      <c r="B547" s="25"/>
      <c r="D547" s="42"/>
      <c r="E547" s="26"/>
      <c r="G547" s="54"/>
      <c r="N547" s="42"/>
    </row>
    <row r="548" spans="2:14" s="13" customFormat="1" x14ac:dyDescent="0.4">
      <c r="B548" s="25"/>
      <c r="D548" s="42"/>
      <c r="E548" s="26"/>
      <c r="G548" s="54"/>
      <c r="N548" s="42"/>
    </row>
    <row r="549" spans="2:14" s="13" customFormat="1" x14ac:dyDescent="0.4">
      <c r="B549" s="25"/>
      <c r="D549" s="42"/>
      <c r="E549" s="26"/>
      <c r="G549" s="54"/>
      <c r="N549" s="42"/>
    </row>
    <row r="550" spans="2:14" s="13" customFormat="1" x14ac:dyDescent="0.4">
      <c r="B550" s="25"/>
      <c r="D550" s="42"/>
      <c r="E550" s="26"/>
      <c r="G550" s="54"/>
      <c r="N550" s="42"/>
    </row>
    <row r="551" spans="2:14" s="13" customFormat="1" x14ac:dyDescent="0.4">
      <c r="B551" s="25"/>
      <c r="D551" s="42"/>
      <c r="E551" s="26"/>
      <c r="G551" s="54"/>
      <c r="N551" s="42"/>
    </row>
    <row r="552" spans="2:14" s="13" customFormat="1" x14ac:dyDescent="0.4">
      <c r="B552" s="25"/>
      <c r="D552" s="42"/>
      <c r="E552" s="26"/>
      <c r="G552" s="54"/>
      <c r="N552" s="42"/>
    </row>
    <row r="553" spans="2:14" s="13" customFormat="1" x14ac:dyDescent="0.4">
      <c r="B553" s="25"/>
      <c r="D553" s="42"/>
      <c r="E553" s="26"/>
      <c r="G553" s="54"/>
      <c r="N553" s="42"/>
    </row>
    <row r="554" spans="2:14" s="13" customFormat="1" x14ac:dyDescent="0.4">
      <c r="B554" s="25"/>
      <c r="D554" s="42"/>
      <c r="E554" s="26"/>
      <c r="G554" s="54"/>
      <c r="N554" s="42"/>
    </row>
    <row r="555" spans="2:14" s="13" customFormat="1" x14ac:dyDescent="0.4">
      <c r="B555" s="25"/>
      <c r="D555" s="42"/>
      <c r="E555" s="26"/>
      <c r="G555" s="54"/>
      <c r="N555" s="42"/>
    </row>
    <row r="556" spans="2:14" s="13" customFormat="1" x14ac:dyDescent="0.4">
      <c r="B556" s="25"/>
      <c r="D556" s="42"/>
      <c r="E556" s="26"/>
      <c r="G556" s="54"/>
      <c r="N556" s="42"/>
    </row>
    <row r="557" spans="2:14" s="13" customFormat="1" x14ac:dyDescent="0.4">
      <c r="B557" s="25"/>
      <c r="D557" s="42"/>
      <c r="E557" s="26"/>
      <c r="G557" s="54"/>
      <c r="N557" s="42"/>
    </row>
    <row r="558" spans="2:14" s="13" customFormat="1" x14ac:dyDescent="0.4">
      <c r="B558" s="25"/>
      <c r="D558" s="42"/>
      <c r="E558" s="26"/>
      <c r="G558" s="54"/>
      <c r="N558" s="42"/>
    </row>
    <row r="559" spans="2:14" s="13" customFormat="1" x14ac:dyDescent="0.4">
      <c r="B559" s="25"/>
      <c r="D559" s="42"/>
      <c r="E559" s="26"/>
      <c r="G559" s="54"/>
      <c r="N559" s="42"/>
    </row>
    <row r="560" spans="2:14" s="13" customFormat="1" x14ac:dyDescent="0.4">
      <c r="B560" s="25"/>
      <c r="D560" s="42"/>
      <c r="E560" s="26"/>
      <c r="G560" s="54"/>
      <c r="N560" s="42"/>
    </row>
    <row r="561" spans="2:14" s="13" customFormat="1" x14ac:dyDescent="0.4">
      <c r="B561" s="25"/>
      <c r="D561" s="42"/>
      <c r="E561" s="26"/>
      <c r="G561" s="54"/>
      <c r="N561" s="42"/>
    </row>
    <row r="562" spans="2:14" s="13" customFormat="1" x14ac:dyDescent="0.4">
      <c r="B562" s="25"/>
      <c r="D562" s="42"/>
      <c r="E562" s="26"/>
      <c r="G562" s="54"/>
      <c r="N562" s="42"/>
    </row>
    <row r="563" spans="2:14" s="13" customFormat="1" x14ac:dyDescent="0.4">
      <c r="B563" s="25"/>
      <c r="D563" s="42"/>
      <c r="E563" s="26"/>
      <c r="G563" s="54"/>
      <c r="N563" s="42"/>
    </row>
    <row r="564" spans="2:14" s="13" customFormat="1" x14ac:dyDescent="0.4">
      <c r="B564" s="25"/>
      <c r="D564" s="42"/>
      <c r="E564" s="26"/>
      <c r="G564" s="54"/>
      <c r="N564" s="42"/>
    </row>
    <row r="565" spans="2:14" s="13" customFormat="1" x14ac:dyDescent="0.4">
      <c r="B565" s="25"/>
      <c r="D565" s="42"/>
      <c r="E565" s="26"/>
      <c r="G565" s="54"/>
      <c r="N565" s="42"/>
    </row>
    <row r="566" spans="2:14" s="13" customFormat="1" x14ac:dyDescent="0.4">
      <c r="B566" s="25"/>
      <c r="D566" s="42"/>
      <c r="E566" s="26"/>
      <c r="G566" s="54"/>
      <c r="N566" s="42"/>
    </row>
    <row r="567" spans="2:14" s="13" customFormat="1" x14ac:dyDescent="0.4">
      <c r="B567" s="25"/>
      <c r="D567" s="42"/>
      <c r="E567" s="26"/>
      <c r="G567" s="54"/>
      <c r="N567" s="42"/>
    </row>
    <row r="568" spans="2:14" s="13" customFormat="1" x14ac:dyDescent="0.4">
      <c r="B568" s="25"/>
      <c r="D568" s="42"/>
      <c r="E568" s="26"/>
      <c r="G568" s="54"/>
      <c r="N568" s="42"/>
    </row>
    <row r="569" spans="2:14" s="13" customFormat="1" x14ac:dyDescent="0.4">
      <c r="B569" s="25"/>
      <c r="D569" s="42"/>
      <c r="E569" s="26"/>
      <c r="G569" s="54"/>
      <c r="N569" s="42"/>
    </row>
    <row r="570" spans="2:14" s="13" customFormat="1" x14ac:dyDescent="0.4">
      <c r="B570" s="25"/>
      <c r="D570" s="42"/>
      <c r="E570" s="26"/>
      <c r="G570" s="54"/>
      <c r="N570" s="42"/>
    </row>
    <row r="571" spans="2:14" s="13" customFormat="1" x14ac:dyDescent="0.4">
      <c r="B571" s="25"/>
      <c r="D571" s="42"/>
      <c r="E571" s="26"/>
      <c r="G571" s="54"/>
      <c r="N571" s="42"/>
    </row>
    <row r="572" spans="2:14" s="13" customFormat="1" x14ac:dyDescent="0.4">
      <c r="B572" s="25"/>
      <c r="D572" s="42"/>
      <c r="E572" s="26"/>
      <c r="G572" s="54"/>
      <c r="N572" s="42"/>
    </row>
    <row r="573" spans="2:14" s="13" customFormat="1" x14ac:dyDescent="0.4">
      <c r="B573" s="25"/>
      <c r="D573" s="42"/>
      <c r="E573" s="26"/>
      <c r="G573" s="54"/>
      <c r="N573" s="42"/>
    </row>
    <row r="574" spans="2:14" s="13" customFormat="1" x14ac:dyDescent="0.4">
      <c r="B574" s="25"/>
      <c r="D574" s="42"/>
      <c r="E574" s="26"/>
      <c r="G574" s="54"/>
      <c r="N574" s="42"/>
    </row>
    <row r="575" spans="2:14" s="13" customFormat="1" x14ac:dyDescent="0.4">
      <c r="B575" s="25"/>
      <c r="D575" s="42"/>
      <c r="E575" s="26"/>
      <c r="G575" s="54"/>
      <c r="N575" s="42"/>
    </row>
    <row r="576" spans="2:14" s="13" customFormat="1" x14ac:dyDescent="0.4">
      <c r="B576" s="25"/>
      <c r="D576" s="42"/>
      <c r="E576" s="26"/>
      <c r="G576" s="54"/>
      <c r="N576" s="42"/>
    </row>
    <row r="577" spans="2:14" s="13" customFormat="1" x14ac:dyDescent="0.4">
      <c r="B577" s="25"/>
      <c r="D577" s="42"/>
      <c r="E577" s="26"/>
      <c r="G577" s="54"/>
      <c r="N577" s="42"/>
    </row>
    <row r="578" spans="2:14" s="13" customFormat="1" x14ac:dyDescent="0.4">
      <c r="B578" s="25"/>
      <c r="D578" s="42"/>
      <c r="E578" s="26"/>
      <c r="G578" s="54"/>
      <c r="N578" s="42"/>
    </row>
    <row r="579" spans="2:14" s="13" customFormat="1" x14ac:dyDescent="0.4">
      <c r="B579" s="25"/>
      <c r="D579" s="42"/>
      <c r="E579" s="26"/>
      <c r="G579" s="54"/>
      <c r="N579" s="42"/>
    </row>
    <row r="580" spans="2:14" s="13" customFormat="1" x14ac:dyDescent="0.4">
      <c r="B580" s="25"/>
      <c r="D580" s="42"/>
      <c r="E580" s="26"/>
      <c r="G580" s="54"/>
      <c r="N580" s="42"/>
    </row>
    <row r="581" spans="2:14" s="13" customFormat="1" x14ac:dyDescent="0.4">
      <c r="B581" s="25"/>
      <c r="D581" s="42"/>
      <c r="E581" s="26"/>
      <c r="G581" s="54"/>
      <c r="N581" s="42"/>
    </row>
    <row r="582" spans="2:14" s="13" customFormat="1" x14ac:dyDescent="0.4">
      <c r="B582" s="25"/>
      <c r="D582" s="42"/>
      <c r="E582" s="26"/>
      <c r="G582" s="54"/>
      <c r="N582" s="42"/>
    </row>
    <row r="583" spans="2:14" s="13" customFormat="1" x14ac:dyDescent="0.4">
      <c r="B583" s="25"/>
      <c r="D583" s="42"/>
      <c r="E583" s="26"/>
      <c r="G583" s="54"/>
      <c r="N583" s="42"/>
    </row>
    <row r="584" spans="2:14" s="13" customFormat="1" x14ac:dyDescent="0.4">
      <c r="B584" s="25"/>
      <c r="D584" s="42"/>
      <c r="E584" s="26"/>
      <c r="G584" s="54"/>
      <c r="N584" s="42"/>
    </row>
    <row r="585" spans="2:14" s="13" customFormat="1" x14ac:dyDescent="0.4">
      <c r="B585" s="25"/>
      <c r="D585" s="42"/>
      <c r="E585" s="26"/>
      <c r="G585" s="54"/>
      <c r="N585" s="42"/>
    </row>
    <row r="586" spans="2:14" s="13" customFormat="1" x14ac:dyDescent="0.4">
      <c r="B586" s="25"/>
      <c r="D586" s="42"/>
      <c r="E586" s="26"/>
      <c r="G586" s="54"/>
      <c r="N586" s="42"/>
    </row>
    <row r="587" spans="2:14" s="13" customFormat="1" x14ac:dyDescent="0.4">
      <c r="B587" s="25"/>
      <c r="D587" s="42"/>
      <c r="E587" s="26"/>
      <c r="G587" s="54"/>
      <c r="N587" s="42"/>
    </row>
    <row r="588" spans="2:14" s="13" customFormat="1" x14ac:dyDescent="0.4">
      <c r="B588" s="25"/>
      <c r="D588" s="42"/>
      <c r="E588" s="26"/>
      <c r="G588" s="54"/>
      <c r="N588" s="42"/>
    </row>
    <row r="589" spans="2:14" s="13" customFormat="1" x14ac:dyDescent="0.4">
      <c r="B589" s="25"/>
      <c r="D589" s="42"/>
      <c r="E589" s="26"/>
      <c r="G589" s="54"/>
      <c r="N589" s="42"/>
    </row>
    <row r="590" spans="2:14" s="13" customFormat="1" x14ac:dyDescent="0.4">
      <c r="B590" s="25"/>
      <c r="D590" s="42"/>
      <c r="E590" s="26"/>
      <c r="G590" s="54"/>
      <c r="N590" s="42"/>
    </row>
    <row r="591" spans="2:14" s="13" customFormat="1" x14ac:dyDescent="0.4">
      <c r="B591" s="25"/>
      <c r="D591" s="42"/>
      <c r="E591" s="26"/>
      <c r="G591" s="54"/>
      <c r="N591" s="42"/>
    </row>
    <row r="592" spans="2:14" s="13" customFormat="1" x14ac:dyDescent="0.4">
      <c r="B592" s="25"/>
      <c r="D592" s="42"/>
      <c r="E592" s="26"/>
      <c r="G592" s="54"/>
      <c r="N592" s="42"/>
    </row>
    <row r="593" spans="2:14" s="13" customFormat="1" x14ac:dyDescent="0.4">
      <c r="B593" s="25"/>
      <c r="D593" s="42"/>
      <c r="E593" s="26"/>
      <c r="G593" s="54"/>
      <c r="N593" s="42"/>
    </row>
    <row r="594" spans="2:14" s="13" customFormat="1" x14ac:dyDescent="0.4">
      <c r="B594" s="25"/>
      <c r="D594" s="42"/>
      <c r="E594" s="26"/>
      <c r="G594" s="54"/>
      <c r="N594" s="42"/>
    </row>
    <row r="595" spans="2:14" s="13" customFormat="1" x14ac:dyDescent="0.4">
      <c r="B595" s="25"/>
      <c r="D595" s="42"/>
      <c r="E595" s="26"/>
      <c r="G595" s="54"/>
      <c r="N595" s="42"/>
    </row>
    <row r="596" spans="2:14" s="13" customFormat="1" x14ac:dyDescent="0.4">
      <c r="B596" s="25"/>
      <c r="D596" s="42"/>
      <c r="E596" s="26"/>
      <c r="G596" s="54"/>
      <c r="N596" s="42"/>
    </row>
    <row r="597" spans="2:14" s="13" customFormat="1" x14ac:dyDescent="0.4">
      <c r="B597" s="25"/>
      <c r="D597" s="42"/>
      <c r="E597" s="26"/>
      <c r="G597" s="54"/>
      <c r="N597" s="42"/>
    </row>
    <row r="598" spans="2:14" s="13" customFormat="1" x14ac:dyDescent="0.4">
      <c r="B598" s="25"/>
      <c r="D598" s="42"/>
      <c r="E598" s="26"/>
      <c r="G598" s="54"/>
      <c r="N598" s="42"/>
    </row>
    <row r="599" spans="2:14" s="13" customFormat="1" x14ac:dyDescent="0.4">
      <c r="B599" s="25"/>
      <c r="D599" s="42"/>
      <c r="E599" s="26"/>
      <c r="G599" s="54"/>
      <c r="N599" s="42"/>
    </row>
    <row r="600" spans="2:14" s="13" customFormat="1" x14ac:dyDescent="0.4">
      <c r="B600" s="25"/>
      <c r="D600" s="42"/>
      <c r="E600" s="26"/>
      <c r="G600" s="54"/>
      <c r="N600" s="42"/>
    </row>
    <row r="601" spans="2:14" s="13" customFormat="1" x14ac:dyDescent="0.4">
      <c r="B601" s="25"/>
      <c r="D601" s="42"/>
      <c r="E601" s="26"/>
      <c r="G601" s="54"/>
      <c r="N601" s="42"/>
    </row>
    <row r="602" spans="2:14" s="13" customFormat="1" x14ac:dyDescent="0.4">
      <c r="B602" s="25"/>
      <c r="D602" s="42"/>
      <c r="E602" s="26"/>
      <c r="G602" s="54"/>
      <c r="N602" s="42"/>
    </row>
    <row r="603" spans="2:14" s="13" customFormat="1" x14ac:dyDescent="0.4">
      <c r="B603" s="25"/>
      <c r="D603" s="42"/>
      <c r="E603" s="26"/>
      <c r="G603" s="54"/>
      <c r="N603" s="42"/>
    </row>
    <row r="604" spans="2:14" s="13" customFormat="1" x14ac:dyDescent="0.4">
      <c r="B604" s="25"/>
      <c r="D604" s="42"/>
      <c r="E604" s="26"/>
      <c r="G604" s="54"/>
      <c r="N604" s="42"/>
    </row>
    <row r="605" spans="2:14" s="13" customFormat="1" x14ac:dyDescent="0.4">
      <c r="B605" s="25"/>
      <c r="D605" s="42"/>
      <c r="E605" s="26"/>
      <c r="G605" s="54"/>
      <c r="N605" s="42"/>
    </row>
    <row r="606" spans="2:14" s="13" customFormat="1" x14ac:dyDescent="0.4">
      <c r="B606" s="25"/>
      <c r="D606" s="42"/>
      <c r="E606" s="26"/>
      <c r="G606" s="54"/>
      <c r="N606" s="42"/>
    </row>
    <row r="607" spans="2:14" s="13" customFormat="1" x14ac:dyDescent="0.4">
      <c r="B607" s="25"/>
      <c r="D607" s="42"/>
      <c r="E607" s="26"/>
      <c r="G607" s="54"/>
      <c r="N607" s="42"/>
    </row>
    <row r="608" spans="2:14" s="13" customFormat="1" x14ac:dyDescent="0.4">
      <c r="B608" s="25"/>
      <c r="D608" s="42"/>
      <c r="E608" s="26"/>
      <c r="G608" s="54"/>
      <c r="N608" s="42"/>
    </row>
    <row r="609" spans="2:14" s="13" customFormat="1" x14ac:dyDescent="0.4">
      <c r="B609" s="25"/>
      <c r="D609" s="42"/>
      <c r="E609" s="26"/>
      <c r="G609" s="54"/>
      <c r="N609" s="42"/>
    </row>
    <row r="610" spans="2:14" s="13" customFormat="1" x14ac:dyDescent="0.4">
      <c r="B610" s="25"/>
      <c r="D610" s="42"/>
      <c r="E610" s="26"/>
      <c r="G610" s="54"/>
      <c r="N610" s="42"/>
    </row>
    <row r="611" spans="2:14" s="13" customFormat="1" x14ac:dyDescent="0.4">
      <c r="B611" s="25"/>
      <c r="D611" s="42"/>
      <c r="E611" s="26"/>
      <c r="G611" s="54"/>
      <c r="N611" s="42"/>
    </row>
    <row r="612" spans="2:14" s="13" customFormat="1" x14ac:dyDescent="0.4">
      <c r="B612" s="25"/>
      <c r="D612" s="42"/>
      <c r="E612" s="26"/>
      <c r="G612" s="54"/>
      <c r="N612" s="42"/>
    </row>
    <row r="613" spans="2:14" s="13" customFormat="1" x14ac:dyDescent="0.4">
      <c r="B613" s="25"/>
      <c r="D613" s="42"/>
      <c r="E613" s="26"/>
      <c r="G613" s="54"/>
      <c r="N613" s="42"/>
    </row>
    <row r="614" spans="2:14" s="13" customFormat="1" x14ac:dyDescent="0.4">
      <c r="B614" s="25"/>
      <c r="D614" s="42"/>
      <c r="E614" s="26"/>
      <c r="G614" s="54"/>
      <c r="N614" s="42"/>
    </row>
    <row r="615" spans="2:14" s="13" customFormat="1" x14ac:dyDescent="0.4">
      <c r="B615" s="25"/>
      <c r="D615" s="42"/>
      <c r="E615" s="26"/>
      <c r="G615" s="54"/>
      <c r="N615" s="42"/>
    </row>
    <row r="616" spans="2:14" s="13" customFormat="1" x14ac:dyDescent="0.4">
      <c r="B616" s="25"/>
      <c r="D616" s="42"/>
      <c r="E616" s="26"/>
      <c r="G616" s="54"/>
      <c r="N616" s="42"/>
    </row>
    <row r="617" spans="2:14" s="13" customFormat="1" x14ac:dyDescent="0.4">
      <c r="B617" s="25"/>
      <c r="D617" s="42"/>
      <c r="E617" s="26"/>
      <c r="G617" s="54"/>
      <c r="N617" s="42"/>
    </row>
    <row r="618" spans="2:14" s="13" customFormat="1" x14ac:dyDescent="0.4">
      <c r="B618" s="25"/>
      <c r="D618" s="42"/>
      <c r="E618" s="26"/>
      <c r="G618" s="54"/>
      <c r="N618" s="42"/>
    </row>
    <row r="619" spans="2:14" s="13" customFormat="1" x14ac:dyDescent="0.4">
      <c r="B619" s="25"/>
      <c r="D619" s="42"/>
      <c r="E619" s="26"/>
      <c r="G619" s="54"/>
      <c r="N619" s="42"/>
    </row>
    <row r="620" spans="2:14" s="13" customFormat="1" x14ac:dyDescent="0.4">
      <c r="B620" s="25"/>
      <c r="D620" s="42"/>
      <c r="E620" s="26"/>
      <c r="G620" s="54"/>
      <c r="N620" s="42"/>
    </row>
    <row r="621" spans="2:14" s="13" customFormat="1" x14ac:dyDescent="0.4">
      <c r="B621" s="25"/>
      <c r="D621" s="42"/>
      <c r="E621" s="26"/>
      <c r="G621" s="54"/>
      <c r="N621" s="42"/>
    </row>
    <row r="622" spans="2:14" s="13" customFormat="1" x14ac:dyDescent="0.4">
      <c r="B622" s="25"/>
      <c r="D622" s="42"/>
      <c r="E622" s="26"/>
      <c r="G622" s="54"/>
      <c r="N622" s="42"/>
    </row>
    <row r="623" spans="2:14" s="13" customFormat="1" x14ac:dyDescent="0.4">
      <c r="B623" s="25"/>
      <c r="D623" s="42"/>
      <c r="E623" s="26"/>
      <c r="G623" s="54"/>
      <c r="N623" s="42"/>
    </row>
    <row r="624" spans="2:14" s="13" customFormat="1" x14ac:dyDescent="0.4">
      <c r="B624" s="25"/>
      <c r="D624" s="42"/>
      <c r="E624" s="26"/>
      <c r="G624" s="54"/>
      <c r="N624" s="42"/>
    </row>
    <row r="625" spans="2:14" s="13" customFormat="1" x14ac:dyDescent="0.4">
      <c r="B625" s="25"/>
      <c r="D625" s="42"/>
      <c r="E625" s="26"/>
      <c r="G625" s="54"/>
      <c r="N625" s="42"/>
    </row>
    <row r="626" spans="2:14" s="13" customFormat="1" x14ac:dyDescent="0.4">
      <c r="B626" s="25"/>
      <c r="D626" s="42"/>
      <c r="E626" s="26"/>
      <c r="G626" s="54"/>
      <c r="N626" s="42"/>
    </row>
    <row r="627" spans="2:14" s="13" customFormat="1" x14ac:dyDescent="0.4">
      <c r="B627" s="25"/>
      <c r="D627" s="42"/>
      <c r="E627" s="26"/>
      <c r="G627" s="54"/>
      <c r="N627" s="42"/>
    </row>
    <row r="628" spans="2:14" s="13" customFormat="1" x14ac:dyDescent="0.4">
      <c r="B628" s="25"/>
      <c r="D628" s="42"/>
      <c r="E628" s="26"/>
      <c r="G628" s="54"/>
      <c r="N628" s="42"/>
    </row>
    <row r="629" spans="2:14" s="13" customFormat="1" x14ac:dyDescent="0.4">
      <c r="B629" s="25"/>
      <c r="D629" s="42"/>
      <c r="E629" s="26"/>
      <c r="G629" s="54"/>
      <c r="N629" s="42"/>
    </row>
    <row r="630" spans="2:14" s="13" customFormat="1" x14ac:dyDescent="0.4">
      <c r="B630" s="25"/>
      <c r="D630" s="42"/>
      <c r="E630" s="26"/>
      <c r="G630" s="54"/>
      <c r="N630" s="42"/>
    </row>
    <row r="631" spans="2:14" s="13" customFormat="1" x14ac:dyDescent="0.4">
      <c r="B631" s="25"/>
      <c r="D631" s="42"/>
      <c r="E631" s="26"/>
      <c r="G631" s="54"/>
      <c r="N631" s="42"/>
    </row>
    <row r="632" spans="2:14" s="13" customFormat="1" x14ac:dyDescent="0.4">
      <c r="B632" s="25"/>
      <c r="D632" s="42"/>
      <c r="E632" s="26"/>
      <c r="G632" s="54"/>
      <c r="N632" s="42"/>
    </row>
    <row r="633" spans="2:14" s="13" customFormat="1" x14ac:dyDescent="0.4">
      <c r="B633" s="25"/>
      <c r="D633" s="42"/>
      <c r="E633" s="26"/>
      <c r="G633" s="54"/>
      <c r="N633" s="42"/>
    </row>
    <row r="634" spans="2:14" s="13" customFormat="1" x14ac:dyDescent="0.4">
      <c r="B634" s="25"/>
      <c r="D634" s="42"/>
      <c r="E634" s="26"/>
      <c r="G634" s="54"/>
      <c r="N634" s="42"/>
    </row>
    <row r="635" spans="2:14" s="13" customFormat="1" x14ac:dyDescent="0.4">
      <c r="B635" s="25"/>
      <c r="D635" s="42"/>
      <c r="E635" s="26"/>
      <c r="G635" s="54"/>
      <c r="N635" s="42"/>
    </row>
    <row r="636" spans="2:14" s="13" customFormat="1" x14ac:dyDescent="0.4">
      <c r="B636" s="25"/>
      <c r="D636" s="42"/>
      <c r="E636" s="26"/>
      <c r="G636" s="54"/>
      <c r="N636" s="42"/>
    </row>
    <row r="637" spans="2:14" s="13" customFormat="1" x14ac:dyDescent="0.4">
      <c r="B637" s="25"/>
      <c r="D637" s="42"/>
      <c r="E637" s="26"/>
      <c r="G637" s="54"/>
      <c r="N637" s="42"/>
    </row>
    <row r="638" spans="2:14" s="13" customFormat="1" x14ac:dyDescent="0.4">
      <c r="B638" s="25"/>
      <c r="D638" s="42"/>
      <c r="E638" s="26"/>
      <c r="G638" s="54"/>
      <c r="N638" s="42"/>
    </row>
    <row r="639" spans="2:14" s="13" customFormat="1" x14ac:dyDescent="0.4">
      <c r="B639" s="25"/>
      <c r="D639" s="42"/>
      <c r="E639" s="26"/>
      <c r="G639" s="54"/>
      <c r="N639" s="42"/>
    </row>
    <row r="640" spans="2:14" s="13" customFormat="1" x14ac:dyDescent="0.4">
      <c r="B640" s="25"/>
      <c r="D640" s="42"/>
      <c r="E640" s="26"/>
      <c r="G640" s="54"/>
      <c r="N640" s="42"/>
    </row>
    <row r="641" spans="2:14" s="13" customFormat="1" x14ac:dyDescent="0.4">
      <c r="B641" s="25"/>
      <c r="D641" s="42"/>
      <c r="E641" s="26"/>
      <c r="G641" s="54"/>
      <c r="N641" s="42"/>
    </row>
    <row r="642" spans="2:14" s="13" customFormat="1" x14ac:dyDescent="0.4">
      <c r="B642" s="25"/>
      <c r="D642" s="42"/>
      <c r="E642" s="26"/>
      <c r="G642" s="54"/>
      <c r="N642" s="42"/>
    </row>
    <row r="643" spans="2:14" s="13" customFormat="1" x14ac:dyDescent="0.4">
      <c r="B643" s="25"/>
      <c r="D643" s="42"/>
      <c r="E643" s="26"/>
      <c r="G643" s="54"/>
      <c r="N643" s="42"/>
    </row>
    <row r="644" spans="2:14" s="13" customFormat="1" x14ac:dyDescent="0.4">
      <c r="B644" s="25"/>
      <c r="D644" s="42"/>
      <c r="E644" s="26"/>
      <c r="G644" s="54"/>
      <c r="N644" s="42"/>
    </row>
    <row r="645" spans="2:14" s="13" customFormat="1" x14ac:dyDescent="0.4">
      <c r="B645" s="25"/>
      <c r="D645" s="42"/>
      <c r="E645" s="26"/>
      <c r="G645" s="54"/>
      <c r="N645" s="42"/>
    </row>
    <row r="646" spans="2:14" s="13" customFormat="1" x14ac:dyDescent="0.4">
      <c r="B646" s="25"/>
      <c r="D646" s="42"/>
      <c r="E646" s="26"/>
      <c r="G646" s="54"/>
      <c r="N646" s="42"/>
    </row>
    <row r="647" spans="2:14" s="13" customFormat="1" x14ac:dyDescent="0.4">
      <c r="B647" s="25"/>
      <c r="D647" s="42"/>
      <c r="E647" s="26"/>
      <c r="G647" s="54"/>
      <c r="N647" s="42"/>
    </row>
    <row r="648" spans="2:14" s="13" customFormat="1" x14ac:dyDescent="0.4">
      <c r="B648" s="25"/>
      <c r="D648" s="42"/>
      <c r="E648" s="26"/>
      <c r="G648" s="54"/>
      <c r="N648" s="42"/>
    </row>
    <row r="649" spans="2:14" s="13" customFormat="1" x14ac:dyDescent="0.4">
      <c r="B649" s="25"/>
      <c r="D649" s="42"/>
      <c r="E649" s="26"/>
      <c r="G649" s="54"/>
      <c r="N649" s="42"/>
    </row>
    <row r="650" spans="2:14" s="13" customFormat="1" x14ac:dyDescent="0.4">
      <c r="B650" s="25"/>
      <c r="D650" s="42"/>
      <c r="E650" s="26"/>
      <c r="G650" s="54"/>
      <c r="N650" s="42"/>
    </row>
    <row r="651" spans="2:14" s="13" customFormat="1" x14ac:dyDescent="0.4">
      <c r="B651" s="25"/>
      <c r="D651" s="42"/>
      <c r="E651" s="26"/>
      <c r="G651" s="54"/>
      <c r="N651" s="42"/>
    </row>
    <row r="652" spans="2:14" s="13" customFormat="1" x14ac:dyDescent="0.4">
      <c r="B652" s="25"/>
      <c r="D652" s="42"/>
      <c r="E652" s="26"/>
      <c r="G652" s="54"/>
      <c r="N652" s="42"/>
    </row>
    <row r="653" spans="2:14" s="13" customFormat="1" x14ac:dyDescent="0.4">
      <c r="B653" s="25"/>
      <c r="D653" s="42"/>
      <c r="E653" s="26"/>
      <c r="G653" s="54"/>
      <c r="N653" s="42"/>
    </row>
    <row r="654" spans="2:14" s="13" customFormat="1" x14ac:dyDescent="0.4">
      <c r="B654" s="25"/>
      <c r="D654" s="42"/>
      <c r="E654" s="26"/>
      <c r="G654" s="54"/>
      <c r="N654" s="42"/>
    </row>
    <row r="655" spans="2:14" s="13" customFormat="1" x14ac:dyDescent="0.4">
      <c r="B655" s="25"/>
      <c r="D655" s="42"/>
      <c r="E655" s="26"/>
      <c r="G655" s="54"/>
      <c r="N655" s="42"/>
    </row>
    <row r="656" spans="2:14" s="13" customFormat="1" x14ac:dyDescent="0.4">
      <c r="B656" s="25"/>
      <c r="D656" s="42"/>
      <c r="E656" s="26"/>
      <c r="G656" s="54"/>
      <c r="N656" s="42"/>
    </row>
  </sheetData>
  <sheetProtection algorithmName="SHA-512" hashValue="ivgesBTSn3ecsuEyQT05iEAST7G7KKyoMbWeb4UitoozITLP/iZm6aWxQbp8XKtJW+01bpN4cd4Dw/5ZZ10f+g==" saltValue="9tWa1HUMruDiJZCxTQeiLg==" spinCount="100000" sheet="1" formatCells="0" formatColumns="0" formatRows="0"/>
  <mergeCells count="9">
    <mergeCell ref="M7:M23"/>
    <mergeCell ref="C16:C23"/>
    <mergeCell ref="D16:D23"/>
    <mergeCell ref="A7:A23"/>
    <mergeCell ref="B7:B23"/>
    <mergeCell ref="C7:C12"/>
    <mergeCell ref="D7:D12"/>
    <mergeCell ref="C13:C15"/>
    <mergeCell ref="D13:D15"/>
  </mergeCells>
  <dataValidations count="1">
    <dataValidation type="list" allowBlank="1" showInputMessage="1" showErrorMessage="1" errorTitle="ASVS Test Result" error="Invalid selection!" promptTitle="ASVS Test Result" prompt="Please select test result from the list." sqref="G7:G23" xr:uid="{A7C64504-5349-4E38-8300-9924D4642535}">
      <formula1>testResult</formula1>
    </dataValidation>
  </dataValidations>
  <hyperlinks>
    <hyperlink ref="F19" r:id="rId1" location="tab=Formal_Numbering" display="https://www.owasp.org/index.php/OWASP_Proactive_Controls - tab=Formal_Numbering" xr:uid="{385FF2F6-A705-4BEB-9AA6-0171D522806D}"/>
    <hyperlink ref="F22" r:id="rId2" location="tab=Formal_Numbering" display="https://www.owasp.org/index.php/OWASP_Proactive_Controls - tab=Formal_Numbering" xr:uid="{E147E48B-8FD2-4985-B3DC-6DD4DAE34E7A}"/>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23553" r:id="rId5" name="Button 1">
              <controlPr defaultSize="0" print="0" autoFill="0" autoPict="0" macro="[0]!Sheet14.Confirm_Reset_Answers_V8">
                <anchor moveWithCells="1" sizeWithCells="1">
                  <from>
                    <xdr:col>0</xdr:col>
                    <xdr:colOff>107950</xdr:colOff>
                    <xdr:row>0</xdr:row>
                    <xdr:rowOff>38100</xdr:rowOff>
                  </from>
                  <to>
                    <xdr:col>1</xdr:col>
                    <xdr:colOff>1555750</xdr:colOff>
                    <xdr:row>2</xdr:row>
                    <xdr:rowOff>50800</xdr:rowOff>
                  </to>
                </anchor>
              </controlPr>
            </control>
          </mc:Choice>
        </mc:AlternateContent>
        <mc:AlternateContent xmlns:mc="http://schemas.openxmlformats.org/markup-compatibility/2006">
          <mc:Choice Requires="x14">
            <control shapeId="23556" r:id="rId6" name="Button 4">
              <controlPr defaultSize="0" print="0" autoFill="0" autoPict="0" macro="[0]!Confirm_Reset_All_Answers">
                <anchor moveWithCells="1" sizeWithCells="1">
                  <from>
                    <xdr:col>0</xdr:col>
                    <xdr:colOff>107950</xdr:colOff>
                    <xdr:row>2</xdr:row>
                    <xdr:rowOff>88900</xdr:rowOff>
                  </from>
                  <to>
                    <xdr:col>1</xdr:col>
                    <xdr:colOff>1555750</xdr:colOff>
                    <xdr:row>4</xdr:row>
                    <xdr:rowOff>107950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28B01-E08B-4229-9973-9240CE82D859}">
  <sheetPr codeName="Sheet15">
    <tabColor theme="4" tint="-0.499984740745262"/>
  </sheetPr>
  <dimension ref="A1:CRF647"/>
  <sheetViews>
    <sheetView showGridLines="0" showRowColHeaders="0" workbookViewId="0">
      <pane ySplit="6" topLeftCell="A7" activePane="bottomLeft" state="frozen"/>
      <selection pane="bottomLeft" activeCell="A7" sqref="A7:A14"/>
    </sheetView>
  </sheetViews>
  <sheetFormatPr defaultRowHeight="15" x14ac:dyDescent="0.4"/>
  <cols>
    <col min="1" max="1" width="10.1796875" customWidth="1"/>
    <col min="2" max="2" width="24.1796875" style="20" customWidth="1"/>
    <col min="3" max="3" width="10.26953125" customWidth="1"/>
    <col min="4" max="4" width="31.81640625" style="43" customWidth="1"/>
    <col min="5" max="5" width="9.1796875" style="21"/>
    <col min="6" max="6" width="56.1796875" customWidth="1"/>
    <col min="7" max="7" width="19.1796875" style="55" customWidth="1"/>
    <col min="8" max="10" width="3.7265625" bestFit="1" customWidth="1"/>
    <col min="12" max="12" width="13.1796875" customWidth="1"/>
    <col min="13" max="13" width="31.7265625" bestFit="1"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0</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0</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TOTAL_ASVS_V9</f>
        <v>8</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26.25" customHeight="1" x14ac:dyDescent="0.35">
      <c r="A7" s="113" t="s">
        <v>47</v>
      </c>
      <c r="B7" s="116" t="s">
        <v>591</v>
      </c>
      <c r="C7" s="113" t="s">
        <v>592</v>
      </c>
      <c r="D7" s="109" t="s">
        <v>593</v>
      </c>
      <c r="E7" s="22" t="s">
        <v>594</v>
      </c>
      <c r="F7" s="23" t="s">
        <v>595</v>
      </c>
      <c r="G7" s="91" t="s">
        <v>32</v>
      </c>
      <c r="H7" s="38" t="s">
        <v>812</v>
      </c>
      <c r="I7" s="39" t="s">
        <v>812</v>
      </c>
      <c r="J7" s="40" t="s">
        <v>812</v>
      </c>
      <c r="K7" s="5">
        <v>319</v>
      </c>
      <c r="L7" s="24"/>
      <c r="M7" s="128" t="s">
        <v>841</v>
      </c>
      <c r="N7" s="41"/>
    </row>
    <row r="8" spans="1:2502" ht="39" x14ac:dyDescent="0.35">
      <c r="A8" s="114"/>
      <c r="B8" s="117"/>
      <c r="C8" s="114"/>
      <c r="D8" s="110"/>
      <c r="E8" s="22" t="s">
        <v>596</v>
      </c>
      <c r="F8" s="4" t="s">
        <v>597</v>
      </c>
      <c r="G8" s="91" t="s">
        <v>32</v>
      </c>
      <c r="H8" s="38" t="s">
        <v>812</v>
      </c>
      <c r="I8" s="39" t="s">
        <v>812</v>
      </c>
      <c r="J8" s="40" t="s">
        <v>812</v>
      </c>
      <c r="K8" s="5">
        <v>326</v>
      </c>
      <c r="L8" s="24"/>
      <c r="M8" s="129"/>
      <c r="N8" s="41"/>
    </row>
    <row r="9" spans="1:2502" ht="39" x14ac:dyDescent="0.35">
      <c r="A9" s="114"/>
      <c r="B9" s="117"/>
      <c r="C9" s="115"/>
      <c r="D9" s="111"/>
      <c r="E9" s="22" t="s">
        <v>598</v>
      </c>
      <c r="F9" s="4" t="s">
        <v>599</v>
      </c>
      <c r="G9" s="91" t="s">
        <v>32</v>
      </c>
      <c r="H9" s="38" t="s">
        <v>812</v>
      </c>
      <c r="I9" s="39" t="s">
        <v>812</v>
      </c>
      <c r="J9" s="40" t="s">
        <v>812</v>
      </c>
      <c r="K9" s="5">
        <v>326</v>
      </c>
      <c r="L9" s="24"/>
      <c r="M9" s="129"/>
      <c r="N9" s="41"/>
    </row>
    <row r="10" spans="1:2502" ht="52" x14ac:dyDescent="0.35">
      <c r="A10" s="114"/>
      <c r="B10" s="117"/>
      <c r="C10" s="113" t="s">
        <v>600</v>
      </c>
      <c r="D10" s="109" t="s">
        <v>601</v>
      </c>
      <c r="E10" s="22" t="s">
        <v>602</v>
      </c>
      <c r="F10" s="4" t="s">
        <v>603</v>
      </c>
      <c r="G10" s="91" t="s">
        <v>32</v>
      </c>
      <c r="H10" s="4"/>
      <c r="I10" s="39" t="s">
        <v>812</v>
      </c>
      <c r="J10" s="40" t="s">
        <v>812</v>
      </c>
      <c r="K10" s="5">
        <v>295</v>
      </c>
      <c r="L10" s="24"/>
      <c r="M10" s="129"/>
      <c r="N10" s="41"/>
    </row>
    <row r="11" spans="1:2502" ht="65" x14ac:dyDescent="0.35">
      <c r="A11" s="114"/>
      <c r="B11" s="117"/>
      <c r="C11" s="114"/>
      <c r="D11" s="110"/>
      <c r="E11" s="22" t="s">
        <v>604</v>
      </c>
      <c r="F11" s="4" t="s">
        <v>605</v>
      </c>
      <c r="G11" s="91" t="s">
        <v>32</v>
      </c>
      <c r="H11" s="4"/>
      <c r="I11" s="39" t="s">
        <v>812</v>
      </c>
      <c r="J11" s="40" t="s">
        <v>812</v>
      </c>
      <c r="K11" s="5">
        <v>319</v>
      </c>
      <c r="L11" s="24"/>
      <c r="M11" s="129"/>
      <c r="N11" s="41"/>
    </row>
    <row r="12" spans="1:2502" ht="26" x14ac:dyDescent="0.35">
      <c r="A12" s="114"/>
      <c r="B12" s="117"/>
      <c r="C12" s="114"/>
      <c r="D12" s="110"/>
      <c r="E12" s="22" t="s">
        <v>606</v>
      </c>
      <c r="F12" s="4" t="s">
        <v>607</v>
      </c>
      <c r="G12" s="91" t="s">
        <v>32</v>
      </c>
      <c r="H12" s="4"/>
      <c r="I12" s="39" t="s">
        <v>812</v>
      </c>
      <c r="J12" s="40" t="s">
        <v>812</v>
      </c>
      <c r="K12" s="5">
        <v>287</v>
      </c>
      <c r="L12" s="24"/>
      <c r="M12" s="129"/>
      <c r="N12" s="41"/>
    </row>
    <row r="13" spans="1:2502" ht="26" x14ac:dyDescent="0.35">
      <c r="A13" s="114"/>
      <c r="B13" s="117"/>
      <c r="C13" s="114"/>
      <c r="D13" s="110"/>
      <c r="E13" s="22" t="s">
        <v>608</v>
      </c>
      <c r="F13" s="4" t="s">
        <v>19</v>
      </c>
      <c r="G13" s="91" t="s">
        <v>32</v>
      </c>
      <c r="H13" s="4"/>
      <c r="I13" s="39" t="s">
        <v>812</v>
      </c>
      <c r="J13" s="40" t="s">
        <v>812</v>
      </c>
      <c r="K13" s="5">
        <v>299</v>
      </c>
      <c r="L13" s="24"/>
      <c r="M13" s="129"/>
      <c r="N13" s="41"/>
    </row>
    <row r="14" spans="1:2502" ht="14.5" x14ac:dyDescent="0.35">
      <c r="A14" s="115"/>
      <c r="B14" s="118"/>
      <c r="C14" s="115"/>
      <c r="D14" s="111"/>
      <c r="E14" s="22" t="s">
        <v>609</v>
      </c>
      <c r="F14" s="4" t="s">
        <v>18</v>
      </c>
      <c r="G14" s="91" t="s">
        <v>32</v>
      </c>
      <c r="H14" s="4"/>
      <c r="I14" s="4"/>
      <c r="J14" s="40" t="s">
        <v>812</v>
      </c>
      <c r="K14" s="5">
        <v>544</v>
      </c>
      <c r="L14" s="24"/>
      <c r="M14" s="130"/>
      <c r="N14" s="41"/>
    </row>
    <row r="15" spans="1:2502" s="13" customFormat="1" x14ac:dyDescent="0.4">
      <c r="B15" s="25"/>
      <c r="D15" s="42"/>
      <c r="E15" s="26"/>
      <c r="G15" s="54"/>
      <c r="N15" s="42"/>
    </row>
    <row r="16" spans="1:2502" s="13" customFormat="1" x14ac:dyDescent="0.4">
      <c r="B16" s="25"/>
      <c r="D16" s="42"/>
      <c r="E16" s="26"/>
      <c r="G16" s="54"/>
      <c r="N16" s="42"/>
    </row>
    <row r="17" spans="2:14" s="13" customFormat="1" x14ac:dyDescent="0.4">
      <c r="B17" s="25"/>
      <c r="D17" s="42"/>
      <c r="E17" s="26"/>
      <c r="G17" s="54"/>
      <c r="N17" s="42"/>
    </row>
    <row r="18" spans="2:14" s="13" customFormat="1" x14ac:dyDescent="0.4">
      <c r="B18" s="25"/>
      <c r="D18" s="42"/>
      <c r="E18" s="26"/>
      <c r="G18" s="54"/>
      <c r="N18" s="42"/>
    </row>
    <row r="19" spans="2:14" s="13" customFormat="1" x14ac:dyDescent="0.4">
      <c r="B19" s="25"/>
      <c r="D19" s="42"/>
      <c r="E19" s="26"/>
      <c r="G19" s="54"/>
      <c r="N19" s="42"/>
    </row>
    <row r="20" spans="2:14" s="13" customFormat="1" x14ac:dyDescent="0.4">
      <c r="B20" s="25"/>
      <c r="D20" s="42"/>
      <c r="E20" s="26"/>
      <c r="G20" s="54"/>
      <c r="N20" s="42"/>
    </row>
    <row r="21" spans="2:14" s="13" customFormat="1" x14ac:dyDescent="0.4">
      <c r="B21" s="25"/>
      <c r="D21" s="42"/>
      <c r="E21" s="26"/>
      <c r="G21" s="54"/>
      <c r="N21" s="42"/>
    </row>
    <row r="22" spans="2:14" s="13" customFormat="1" x14ac:dyDescent="0.4">
      <c r="B22" s="25"/>
      <c r="D22" s="42"/>
      <c r="E22" s="26"/>
      <c r="G22" s="54"/>
      <c r="N22" s="42"/>
    </row>
    <row r="23" spans="2:14" s="13" customFormat="1" x14ac:dyDescent="0.4">
      <c r="B23" s="25"/>
      <c r="D23" s="42"/>
      <c r="E23" s="26"/>
      <c r="G23" s="54"/>
      <c r="N23" s="42"/>
    </row>
    <row r="24" spans="2:14" s="13" customFormat="1" x14ac:dyDescent="0.4">
      <c r="B24" s="25"/>
      <c r="D24" s="42"/>
      <c r="E24" s="26"/>
      <c r="G24" s="54"/>
      <c r="N24" s="42"/>
    </row>
    <row r="25" spans="2:14" s="13" customFormat="1" x14ac:dyDescent="0.4">
      <c r="B25" s="25"/>
      <c r="D25" s="42"/>
      <c r="E25" s="26"/>
      <c r="G25" s="54"/>
      <c r="N25" s="42"/>
    </row>
    <row r="26" spans="2:14" s="13" customFormat="1" x14ac:dyDescent="0.4">
      <c r="B26" s="25"/>
      <c r="D26" s="42"/>
      <c r="E26" s="26"/>
      <c r="G26" s="54"/>
      <c r="N26" s="42"/>
    </row>
    <row r="27" spans="2:14" s="13" customFormat="1" x14ac:dyDescent="0.4">
      <c r="B27" s="25"/>
      <c r="D27" s="42"/>
      <c r="E27" s="26"/>
      <c r="G27" s="54"/>
      <c r="N27" s="42"/>
    </row>
    <row r="28" spans="2:14" s="13" customFormat="1" x14ac:dyDescent="0.4">
      <c r="B28" s="25"/>
      <c r="D28" s="42"/>
      <c r="E28" s="26"/>
      <c r="G28" s="54"/>
      <c r="N28" s="42"/>
    </row>
    <row r="29" spans="2:14" s="13" customFormat="1" x14ac:dyDescent="0.4">
      <c r="B29" s="25"/>
      <c r="D29" s="42"/>
      <c r="E29" s="26"/>
      <c r="G29" s="54"/>
      <c r="N29" s="42"/>
    </row>
    <row r="30" spans="2:14" s="13" customFormat="1" x14ac:dyDescent="0.4">
      <c r="B30" s="25"/>
      <c r="D30" s="42"/>
      <c r="E30" s="26"/>
      <c r="G30" s="54"/>
      <c r="N30" s="42"/>
    </row>
    <row r="31" spans="2:14" s="13" customFormat="1" x14ac:dyDescent="0.4">
      <c r="B31" s="25"/>
      <c r="D31" s="42"/>
      <c r="E31" s="26"/>
      <c r="G31" s="54"/>
      <c r="N31" s="42"/>
    </row>
    <row r="32" spans="2:14" s="13" customFormat="1" x14ac:dyDescent="0.4">
      <c r="B32" s="25"/>
      <c r="D32" s="42"/>
      <c r="E32" s="26"/>
      <c r="G32" s="54"/>
      <c r="N32" s="42"/>
    </row>
    <row r="33" spans="2:14" s="13" customFormat="1" x14ac:dyDescent="0.4">
      <c r="B33" s="25"/>
      <c r="D33" s="42"/>
      <c r="E33" s="26"/>
      <c r="G33" s="54"/>
      <c r="N33" s="42"/>
    </row>
    <row r="34" spans="2:14" s="13" customFormat="1" x14ac:dyDescent="0.4">
      <c r="B34" s="25"/>
      <c r="D34" s="42"/>
      <c r="E34" s="26"/>
      <c r="G34" s="54"/>
      <c r="N34" s="42"/>
    </row>
    <row r="35" spans="2:14" s="13" customFormat="1" x14ac:dyDescent="0.4">
      <c r="B35" s="25"/>
      <c r="D35" s="42"/>
      <c r="E35" s="26"/>
      <c r="G35" s="54"/>
      <c r="N35" s="42"/>
    </row>
    <row r="36" spans="2:14" s="13" customFormat="1" x14ac:dyDescent="0.4">
      <c r="B36" s="25"/>
      <c r="D36" s="42"/>
      <c r="E36" s="26"/>
      <c r="G36" s="54"/>
      <c r="N36" s="42"/>
    </row>
    <row r="37" spans="2:14" s="13" customFormat="1" x14ac:dyDescent="0.4">
      <c r="B37" s="25"/>
      <c r="D37" s="42"/>
      <c r="E37" s="26"/>
      <c r="G37" s="54"/>
      <c r="N37" s="42"/>
    </row>
    <row r="38" spans="2:14" s="13" customFormat="1" x14ac:dyDescent="0.4">
      <c r="B38" s="25"/>
      <c r="D38" s="42"/>
      <c r="E38" s="26"/>
      <c r="G38" s="54"/>
      <c r="N38" s="42"/>
    </row>
    <row r="39" spans="2:14" s="13" customFormat="1" x14ac:dyDescent="0.4">
      <c r="B39" s="25"/>
      <c r="D39" s="42"/>
      <c r="E39" s="26"/>
      <c r="G39" s="54"/>
      <c r="N39" s="42"/>
    </row>
    <row r="40" spans="2:14" s="13" customFormat="1" x14ac:dyDescent="0.4">
      <c r="B40" s="25"/>
      <c r="D40" s="42"/>
      <c r="E40" s="26"/>
      <c r="G40" s="54"/>
      <c r="N40" s="42"/>
    </row>
    <row r="41" spans="2:14" s="13" customFormat="1" x14ac:dyDescent="0.4">
      <c r="B41" s="25"/>
      <c r="D41" s="42"/>
      <c r="E41" s="26"/>
      <c r="G41" s="54"/>
      <c r="N41" s="42"/>
    </row>
    <row r="42" spans="2:14" s="13" customFormat="1" x14ac:dyDescent="0.4">
      <c r="B42" s="25"/>
      <c r="D42" s="42"/>
      <c r="E42" s="26"/>
      <c r="G42" s="54"/>
      <c r="N42" s="42"/>
    </row>
    <row r="43" spans="2:14" s="13" customFormat="1" x14ac:dyDescent="0.4">
      <c r="B43" s="25"/>
      <c r="D43" s="42"/>
      <c r="E43" s="26"/>
      <c r="G43" s="54"/>
      <c r="N43" s="42"/>
    </row>
    <row r="44" spans="2:14" s="13" customFormat="1" x14ac:dyDescent="0.4">
      <c r="B44" s="25"/>
      <c r="D44" s="42"/>
      <c r="E44" s="26"/>
      <c r="G44" s="54"/>
      <c r="N44" s="42"/>
    </row>
    <row r="45" spans="2:14" s="13" customFormat="1" x14ac:dyDescent="0.4">
      <c r="B45" s="25"/>
      <c r="D45" s="42"/>
      <c r="E45" s="26"/>
      <c r="G45" s="54"/>
      <c r="N45" s="42"/>
    </row>
    <row r="46" spans="2:14" s="13" customFormat="1" x14ac:dyDescent="0.4">
      <c r="B46" s="25"/>
      <c r="D46" s="42"/>
      <c r="E46" s="26"/>
      <c r="G46" s="54"/>
      <c r="N46" s="42"/>
    </row>
    <row r="47" spans="2:14" s="13" customFormat="1" x14ac:dyDescent="0.4">
      <c r="B47" s="25"/>
      <c r="D47" s="42"/>
      <c r="E47" s="26"/>
      <c r="G47" s="54"/>
      <c r="N47" s="42"/>
    </row>
    <row r="48" spans="2:14" s="13" customFormat="1" x14ac:dyDescent="0.4">
      <c r="B48" s="25"/>
      <c r="D48" s="42"/>
      <c r="E48" s="26"/>
      <c r="G48" s="54"/>
      <c r="N48" s="42"/>
    </row>
    <row r="49" spans="2:14" s="13" customFormat="1" x14ac:dyDescent="0.4">
      <c r="B49" s="25"/>
      <c r="D49" s="42"/>
      <c r="E49" s="26"/>
      <c r="G49" s="54"/>
      <c r="N49" s="42"/>
    </row>
    <row r="50" spans="2:14" s="13" customFormat="1" x14ac:dyDescent="0.4">
      <c r="B50" s="25"/>
      <c r="D50" s="42"/>
      <c r="E50" s="26"/>
      <c r="G50" s="54"/>
      <c r="N50" s="42"/>
    </row>
    <row r="51" spans="2:14" s="13" customFormat="1" x14ac:dyDescent="0.4">
      <c r="B51" s="25"/>
      <c r="D51" s="42"/>
      <c r="E51" s="26"/>
      <c r="G51" s="54"/>
      <c r="N51" s="42"/>
    </row>
    <row r="52" spans="2:14" s="13" customFormat="1" x14ac:dyDescent="0.4">
      <c r="B52" s="25"/>
      <c r="D52" s="42"/>
      <c r="E52" s="26"/>
      <c r="G52" s="54"/>
      <c r="N52" s="42"/>
    </row>
    <row r="53" spans="2:14" s="13" customFormat="1" x14ac:dyDescent="0.4">
      <c r="B53" s="25"/>
      <c r="D53" s="42"/>
      <c r="E53" s="26"/>
      <c r="G53" s="54"/>
      <c r="N53" s="42"/>
    </row>
    <row r="54" spans="2:14" s="13" customFormat="1" x14ac:dyDescent="0.4">
      <c r="B54" s="25"/>
      <c r="D54" s="42"/>
      <c r="E54" s="26"/>
      <c r="G54" s="54"/>
      <c r="N54" s="42"/>
    </row>
    <row r="55" spans="2:14" s="13" customFormat="1" x14ac:dyDescent="0.4">
      <c r="B55" s="25"/>
      <c r="D55" s="42"/>
      <c r="E55" s="26"/>
      <c r="G55" s="54"/>
      <c r="N55" s="42"/>
    </row>
    <row r="56" spans="2:14" s="13" customFormat="1" x14ac:dyDescent="0.4">
      <c r="B56" s="25"/>
      <c r="D56" s="42"/>
      <c r="E56" s="26"/>
      <c r="G56" s="54"/>
      <c r="N56" s="42"/>
    </row>
    <row r="57" spans="2:14" s="13" customFormat="1" x14ac:dyDescent="0.4">
      <c r="B57" s="25"/>
      <c r="D57" s="42"/>
      <c r="E57" s="26"/>
      <c r="G57" s="54"/>
      <c r="N57" s="42"/>
    </row>
    <row r="58" spans="2:14" s="13" customFormat="1" x14ac:dyDescent="0.4">
      <c r="B58" s="25"/>
      <c r="D58" s="42"/>
      <c r="E58" s="26"/>
      <c r="G58" s="54"/>
      <c r="N58" s="42"/>
    </row>
    <row r="59" spans="2:14" s="13" customFormat="1" x14ac:dyDescent="0.4">
      <c r="B59" s="25"/>
      <c r="D59" s="42"/>
      <c r="E59" s="26"/>
      <c r="G59" s="54"/>
      <c r="N59" s="42"/>
    </row>
    <row r="60" spans="2:14" s="13" customFormat="1" x14ac:dyDescent="0.4">
      <c r="B60" s="25"/>
      <c r="D60" s="42"/>
      <c r="E60" s="26"/>
      <c r="G60" s="54"/>
      <c r="N60" s="42"/>
    </row>
    <row r="61" spans="2:14" s="13" customFormat="1" x14ac:dyDescent="0.4">
      <c r="B61" s="25"/>
      <c r="D61" s="42"/>
      <c r="E61" s="26"/>
      <c r="G61" s="54"/>
      <c r="N61" s="42"/>
    </row>
    <row r="62" spans="2:14" s="13" customFormat="1" x14ac:dyDescent="0.4">
      <c r="B62" s="25"/>
      <c r="D62" s="42"/>
      <c r="E62" s="26"/>
      <c r="G62" s="54"/>
      <c r="N62" s="42"/>
    </row>
    <row r="63" spans="2:14" s="13" customFormat="1" x14ac:dyDescent="0.4">
      <c r="B63" s="25"/>
      <c r="D63" s="42"/>
      <c r="E63" s="26"/>
      <c r="G63" s="54"/>
      <c r="N63" s="42"/>
    </row>
    <row r="64" spans="2:14" s="13" customFormat="1" x14ac:dyDescent="0.4">
      <c r="B64" s="25"/>
      <c r="D64" s="42"/>
      <c r="E64" s="26"/>
      <c r="G64" s="54"/>
      <c r="N64" s="42"/>
    </row>
    <row r="65" spans="2:14" s="13" customFormat="1" x14ac:dyDescent="0.4">
      <c r="B65" s="25"/>
      <c r="D65" s="42"/>
      <c r="E65" s="26"/>
      <c r="G65" s="54"/>
      <c r="N65" s="42"/>
    </row>
    <row r="66" spans="2:14" s="13" customFormat="1" x14ac:dyDescent="0.4">
      <c r="B66" s="25"/>
      <c r="D66" s="42"/>
      <c r="E66" s="26"/>
      <c r="G66" s="54"/>
      <c r="N66" s="42"/>
    </row>
    <row r="67" spans="2:14" s="13" customFormat="1" x14ac:dyDescent="0.4">
      <c r="B67" s="25"/>
      <c r="D67" s="42"/>
      <c r="E67" s="26"/>
      <c r="G67" s="54"/>
      <c r="N67" s="42"/>
    </row>
    <row r="68" spans="2:14" s="13" customFormat="1" x14ac:dyDescent="0.4">
      <c r="B68" s="25"/>
      <c r="D68" s="42"/>
      <c r="E68" s="26"/>
      <c r="G68" s="54"/>
      <c r="N68" s="42"/>
    </row>
    <row r="69" spans="2:14" s="13" customFormat="1" x14ac:dyDescent="0.4">
      <c r="B69" s="25"/>
      <c r="D69" s="42"/>
      <c r="E69" s="26"/>
      <c r="G69" s="54"/>
      <c r="N69" s="42"/>
    </row>
    <row r="70" spans="2:14" s="13" customFormat="1" x14ac:dyDescent="0.4">
      <c r="B70" s="25"/>
      <c r="D70" s="42"/>
      <c r="E70" s="26"/>
      <c r="G70" s="54"/>
      <c r="N70" s="42"/>
    </row>
    <row r="71" spans="2:14" s="13" customFormat="1" x14ac:dyDescent="0.4">
      <c r="B71" s="25"/>
      <c r="D71" s="42"/>
      <c r="E71" s="26"/>
      <c r="G71" s="54"/>
      <c r="N71" s="42"/>
    </row>
    <row r="72" spans="2:14" s="13" customFormat="1" x14ac:dyDescent="0.4">
      <c r="B72" s="25"/>
      <c r="D72" s="42"/>
      <c r="E72" s="26"/>
      <c r="G72" s="54"/>
      <c r="N72" s="42"/>
    </row>
    <row r="73" spans="2:14" s="13" customFormat="1" x14ac:dyDescent="0.4">
      <c r="B73" s="25"/>
      <c r="D73" s="42"/>
      <c r="E73" s="26"/>
      <c r="G73" s="54"/>
      <c r="N73" s="42"/>
    </row>
    <row r="74" spans="2:14" s="13" customFormat="1" x14ac:dyDescent="0.4">
      <c r="B74" s="25"/>
      <c r="D74" s="42"/>
      <c r="E74" s="26"/>
      <c r="G74" s="54"/>
      <c r="N74" s="42"/>
    </row>
    <row r="75" spans="2:14" s="13" customFormat="1" x14ac:dyDescent="0.4">
      <c r="B75" s="25"/>
      <c r="D75" s="42"/>
      <c r="E75" s="26"/>
      <c r="G75" s="54"/>
      <c r="N75" s="42"/>
    </row>
    <row r="76" spans="2:14" s="13" customFormat="1" x14ac:dyDescent="0.4">
      <c r="B76" s="25"/>
      <c r="D76" s="42"/>
      <c r="E76" s="26"/>
      <c r="G76" s="54"/>
      <c r="N76" s="42"/>
    </row>
    <row r="77" spans="2:14" s="13" customFormat="1" x14ac:dyDescent="0.4">
      <c r="B77" s="25"/>
      <c r="D77" s="42"/>
      <c r="E77" s="26"/>
      <c r="G77" s="54"/>
      <c r="N77" s="42"/>
    </row>
    <row r="78" spans="2:14" s="13" customFormat="1" x14ac:dyDescent="0.4">
      <c r="B78" s="25"/>
      <c r="D78" s="42"/>
      <c r="E78" s="26"/>
      <c r="G78" s="54"/>
      <c r="N78" s="42"/>
    </row>
    <row r="79" spans="2:14" s="13" customFormat="1" x14ac:dyDescent="0.4">
      <c r="B79" s="25"/>
      <c r="D79" s="42"/>
      <c r="E79" s="26"/>
      <c r="G79" s="54"/>
      <c r="N79" s="42"/>
    </row>
    <row r="80" spans="2:14" s="13" customFormat="1" x14ac:dyDescent="0.4">
      <c r="B80" s="25"/>
      <c r="D80" s="42"/>
      <c r="E80" s="26"/>
      <c r="G80" s="54"/>
      <c r="N80" s="42"/>
    </row>
    <row r="81" spans="2:14" s="13" customFormat="1" x14ac:dyDescent="0.4">
      <c r="B81" s="25"/>
      <c r="D81" s="42"/>
      <c r="E81" s="26"/>
      <c r="G81" s="54"/>
      <c r="N81" s="42"/>
    </row>
    <row r="82" spans="2:14" s="13" customFormat="1" x14ac:dyDescent="0.4">
      <c r="B82" s="25"/>
      <c r="D82" s="42"/>
      <c r="E82" s="26"/>
      <c r="G82" s="54"/>
      <c r="N82" s="42"/>
    </row>
    <row r="83" spans="2:14" s="13" customFormat="1" x14ac:dyDescent="0.4">
      <c r="B83" s="25"/>
      <c r="D83" s="42"/>
      <c r="E83" s="26"/>
      <c r="G83" s="54"/>
      <c r="N83" s="42"/>
    </row>
    <row r="84" spans="2:14" s="13" customFormat="1" x14ac:dyDescent="0.4">
      <c r="B84" s="25"/>
      <c r="D84" s="42"/>
      <c r="E84" s="26"/>
      <c r="G84" s="54"/>
      <c r="N84" s="42"/>
    </row>
    <row r="85" spans="2:14" s="13" customFormat="1" x14ac:dyDescent="0.4">
      <c r="B85" s="25"/>
      <c r="D85" s="42"/>
      <c r="E85" s="26"/>
      <c r="G85" s="54"/>
      <c r="N85" s="42"/>
    </row>
    <row r="86" spans="2:14" s="13" customFormat="1" x14ac:dyDescent="0.4">
      <c r="B86" s="25"/>
      <c r="D86" s="42"/>
      <c r="E86" s="26"/>
      <c r="G86" s="54"/>
      <c r="N86" s="42"/>
    </row>
    <row r="87" spans="2:14" s="13" customFormat="1" x14ac:dyDescent="0.4">
      <c r="B87" s="25"/>
      <c r="D87" s="42"/>
      <c r="E87" s="26"/>
      <c r="G87" s="54"/>
      <c r="N87" s="42"/>
    </row>
    <row r="88" spans="2:14" s="13" customFormat="1" x14ac:dyDescent="0.4">
      <c r="B88" s="25"/>
      <c r="D88" s="42"/>
      <c r="E88" s="26"/>
      <c r="G88" s="54"/>
      <c r="N88" s="42"/>
    </row>
    <row r="89" spans="2:14" s="13" customFormat="1" x14ac:dyDescent="0.4">
      <c r="B89" s="25"/>
      <c r="D89" s="42"/>
      <c r="E89" s="26"/>
      <c r="G89" s="54"/>
      <c r="N89" s="42"/>
    </row>
    <row r="90" spans="2:14" s="13" customFormat="1" x14ac:dyDescent="0.4">
      <c r="B90" s="25"/>
      <c r="D90" s="42"/>
      <c r="E90" s="26"/>
      <c r="G90" s="54"/>
      <c r="N90" s="42"/>
    </row>
    <row r="91" spans="2:14" s="13" customFormat="1" x14ac:dyDescent="0.4">
      <c r="B91" s="25"/>
      <c r="D91" s="42"/>
      <c r="E91" s="26"/>
      <c r="G91" s="54"/>
      <c r="N91" s="42"/>
    </row>
    <row r="92" spans="2:14" s="13" customFormat="1" x14ac:dyDescent="0.4">
      <c r="B92" s="25"/>
      <c r="D92" s="42"/>
      <c r="E92" s="26"/>
      <c r="G92" s="54"/>
      <c r="N92" s="42"/>
    </row>
    <row r="93" spans="2:14" s="13" customFormat="1" x14ac:dyDescent="0.4">
      <c r="B93" s="25"/>
      <c r="D93" s="42"/>
      <c r="E93" s="26"/>
      <c r="G93" s="54"/>
      <c r="N93" s="42"/>
    </row>
    <row r="94" spans="2:14" s="13" customFormat="1" x14ac:dyDescent="0.4">
      <c r="B94" s="25"/>
      <c r="D94" s="42"/>
      <c r="E94" s="26"/>
      <c r="G94" s="54"/>
      <c r="N94" s="42"/>
    </row>
    <row r="95" spans="2:14" s="13" customFormat="1" x14ac:dyDescent="0.4">
      <c r="B95" s="25"/>
      <c r="D95" s="42"/>
      <c r="E95" s="26"/>
      <c r="G95" s="54"/>
      <c r="N95" s="42"/>
    </row>
    <row r="96" spans="2:14" s="13" customFormat="1" x14ac:dyDescent="0.4">
      <c r="B96" s="25"/>
      <c r="D96" s="42"/>
      <c r="E96" s="26"/>
      <c r="G96" s="54"/>
      <c r="N96" s="42"/>
    </row>
    <row r="97" spans="2:14" s="13" customFormat="1" x14ac:dyDescent="0.4">
      <c r="B97" s="25"/>
      <c r="D97" s="42"/>
      <c r="E97" s="26"/>
      <c r="G97" s="54"/>
      <c r="N97" s="42"/>
    </row>
    <row r="98" spans="2:14" s="13" customFormat="1" x14ac:dyDescent="0.4">
      <c r="B98" s="25"/>
      <c r="D98" s="42"/>
      <c r="E98" s="26"/>
      <c r="G98" s="54"/>
      <c r="N98" s="42"/>
    </row>
    <row r="99" spans="2:14" s="13" customFormat="1" x14ac:dyDescent="0.4">
      <c r="B99" s="25"/>
      <c r="D99" s="42"/>
      <c r="E99" s="26"/>
      <c r="G99" s="54"/>
      <c r="N99" s="42"/>
    </row>
    <row r="100" spans="2:14" s="13" customFormat="1" x14ac:dyDescent="0.4">
      <c r="B100" s="25"/>
      <c r="D100" s="42"/>
      <c r="E100" s="26"/>
      <c r="G100" s="54"/>
      <c r="N100" s="42"/>
    </row>
    <row r="101" spans="2:14" s="13" customFormat="1" x14ac:dyDescent="0.4">
      <c r="B101" s="25"/>
      <c r="D101" s="42"/>
      <c r="E101" s="26"/>
      <c r="G101" s="54"/>
      <c r="N101" s="42"/>
    </row>
    <row r="102" spans="2:14" s="13" customFormat="1" x14ac:dyDescent="0.4">
      <c r="B102" s="25"/>
      <c r="D102" s="42"/>
      <c r="E102" s="26"/>
      <c r="G102" s="54"/>
      <c r="N102" s="42"/>
    </row>
    <row r="103" spans="2:14" s="13" customFormat="1" x14ac:dyDescent="0.4">
      <c r="B103" s="25"/>
      <c r="D103" s="42"/>
      <c r="E103" s="26"/>
      <c r="G103" s="54"/>
      <c r="N103" s="42"/>
    </row>
    <row r="104" spans="2:14" s="13" customFormat="1" x14ac:dyDescent="0.4">
      <c r="B104" s="25"/>
      <c r="D104" s="42"/>
      <c r="E104" s="26"/>
      <c r="G104" s="54"/>
      <c r="N104" s="42"/>
    </row>
    <row r="105" spans="2:14" s="13" customFormat="1" x14ac:dyDescent="0.4">
      <c r="B105" s="25"/>
      <c r="D105" s="42"/>
      <c r="E105" s="26"/>
      <c r="G105" s="54"/>
      <c r="N105" s="42"/>
    </row>
    <row r="106" spans="2:14" s="13" customFormat="1" x14ac:dyDescent="0.4">
      <c r="B106" s="25"/>
      <c r="D106" s="42"/>
      <c r="E106" s="26"/>
      <c r="G106" s="54"/>
      <c r="N106" s="42"/>
    </row>
    <row r="107" spans="2:14" s="13" customFormat="1" x14ac:dyDescent="0.4">
      <c r="B107" s="25"/>
      <c r="D107" s="42"/>
      <c r="E107" s="26"/>
      <c r="G107" s="54"/>
      <c r="N107" s="42"/>
    </row>
    <row r="108" spans="2:14" s="13" customFormat="1" x14ac:dyDescent="0.4">
      <c r="B108" s="25"/>
      <c r="D108" s="42"/>
      <c r="E108" s="26"/>
      <c r="G108" s="54"/>
      <c r="N108" s="42"/>
    </row>
    <row r="109" spans="2:14" s="13" customFormat="1" x14ac:dyDescent="0.4">
      <c r="B109" s="25"/>
      <c r="D109" s="42"/>
      <c r="E109" s="26"/>
      <c r="G109" s="54"/>
      <c r="N109" s="42"/>
    </row>
    <row r="110" spans="2:14" s="13" customFormat="1" x14ac:dyDescent="0.4">
      <c r="B110" s="25"/>
      <c r="D110" s="42"/>
      <c r="E110" s="26"/>
      <c r="G110" s="54"/>
      <c r="N110" s="42"/>
    </row>
    <row r="111" spans="2:14" s="13" customFormat="1" x14ac:dyDescent="0.4">
      <c r="B111" s="25"/>
      <c r="D111" s="42"/>
      <c r="E111" s="26"/>
      <c r="G111" s="54"/>
      <c r="N111" s="42"/>
    </row>
    <row r="112" spans="2:14" s="13" customFormat="1" x14ac:dyDescent="0.4">
      <c r="B112" s="25"/>
      <c r="D112" s="42"/>
      <c r="E112" s="26"/>
      <c r="G112" s="54"/>
      <c r="N112" s="42"/>
    </row>
    <row r="113" spans="2:14" s="13" customFormat="1" x14ac:dyDescent="0.4">
      <c r="B113" s="25"/>
      <c r="D113" s="42"/>
      <c r="E113" s="26"/>
      <c r="G113" s="54"/>
      <c r="N113" s="42"/>
    </row>
    <row r="114" spans="2:14" s="13" customFormat="1" x14ac:dyDescent="0.4">
      <c r="B114" s="25"/>
      <c r="D114" s="42"/>
      <c r="E114" s="26"/>
      <c r="G114" s="54"/>
      <c r="N114" s="42"/>
    </row>
    <row r="115" spans="2:14" s="13" customFormat="1" x14ac:dyDescent="0.4">
      <c r="B115" s="25"/>
      <c r="D115" s="42"/>
      <c r="E115" s="26"/>
      <c r="G115" s="54"/>
      <c r="N115" s="42"/>
    </row>
    <row r="116" spans="2:14" s="13" customFormat="1" x14ac:dyDescent="0.4">
      <c r="B116" s="25"/>
      <c r="D116" s="42"/>
      <c r="E116" s="26"/>
      <c r="G116" s="54"/>
      <c r="N116" s="42"/>
    </row>
    <row r="117" spans="2:14" s="13" customFormat="1" x14ac:dyDescent="0.4">
      <c r="B117" s="25"/>
      <c r="D117" s="42"/>
      <c r="E117" s="26"/>
      <c r="G117" s="54"/>
      <c r="N117" s="42"/>
    </row>
    <row r="118" spans="2:14" s="13" customFormat="1" x14ac:dyDescent="0.4">
      <c r="B118" s="25"/>
      <c r="D118" s="42"/>
      <c r="E118" s="26"/>
      <c r="G118" s="54"/>
      <c r="N118" s="42"/>
    </row>
    <row r="119" spans="2:14" s="13" customFormat="1" x14ac:dyDescent="0.4">
      <c r="B119" s="25"/>
      <c r="D119" s="42"/>
      <c r="E119" s="26"/>
      <c r="G119" s="54"/>
      <c r="N119" s="42"/>
    </row>
    <row r="120" spans="2:14" s="13" customFormat="1" x14ac:dyDescent="0.4">
      <c r="B120" s="25"/>
      <c r="D120" s="42"/>
      <c r="E120" s="26"/>
      <c r="G120" s="54"/>
      <c r="N120" s="42"/>
    </row>
    <row r="121" spans="2:14" s="13" customFormat="1" x14ac:dyDescent="0.4">
      <c r="B121" s="25"/>
      <c r="D121" s="42"/>
      <c r="E121" s="26"/>
      <c r="G121" s="54"/>
      <c r="N121" s="42"/>
    </row>
    <row r="122" spans="2:14" s="13" customFormat="1" x14ac:dyDescent="0.4">
      <c r="B122" s="25"/>
      <c r="D122" s="42"/>
      <c r="E122" s="26"/>
      <c r="G122" s="54"/>
      <c r="N122" s="42"/>
    </row>
    <row r="123" spans="2:14" s="13" customFormat="1" x14ac:dyDescent="0.4">
      <c r="B123" s="25"/>
      <c r="D123" s="42"/>
      <c r="E123" s="26"/>
      <c r="G123" s="54"/>
      <c r="N123" s="42"/>
    </row>
    <row r="124" spans="2:14" s="13" customFormat="1" x14ac:dyDescent="0.4">
      <c r="B124" s="25"/>
      <c r="D124" s="42"/>
      <c r="E124" s="26"/>
      <c r="G124" s="54"/>
      <c r="N124" s="42"/>
    </row>
    <row r="125" spans="2:14" s="13" customFormat="1" x14ac:dyDescent="0.4">
      <c r="B125" s="25"/>
      <c r="D125" s="42"/>
      <c r="E125" s="26"/>
      <c r="G125" s="54"/>
      <c r="N125" s="42"/>
    </row>
    <row r="126" spans="2:14" s="13" customFormat="1" x14ac:dyDescent="0.4">
      <c r="B126" s="25"/>
      <c r="D126" s="42"/>
      <c r="E126" s="26"/>
      <c r="G126" s="54"/>
      <c r="N126" s="42"/>
    </row>
    <row r="127" spans="2:14" s="13" customFormat="1" x14ac:dyDescent="0.4">
      <c r="B127" s="25"/>
      <c r="D127" s="42"/>
      <c r="E127" s="26"/>
      <c r="G127" s="54"/>
      <c r="N127" s="42"/>
    </row>
    <row r="128" spans="2:14" s="13" customFormat="1" x14ac:dyDescent="0.4">
      <c r="B128" s="25"/>
      <c r="D128" s="42"/>
      <c r="E128" s="26"/>
      <c r="G128" s="54"/>
      <c r="N128" s="42"/>
    </row>
    <row r="129" spans="2:14" s="13" customFormat="1" x14ac:dyDescent="0.4">
      <c r="B129" s="25"/>
      <c r="D129" s="42"/>
      <c r="E129" s="26"/>
      <c r="G129" s="54"/>
      <c r="N129" s="42"/>
    </row>
    <row r="130" spans="2:14" s="13" customFormat="1" x14ac:dyDescent="0.4">
      <c r="B130" s="25"/>
      <c r="D130" s="42"/>
      <c r="E130" s="26"/>
      <c r="G130" s="54"/>
      <c r="N130" s="42"/>
    </row>
    <row r="131" spans="2:14" s="13" customFormat="1" x14ac:dyDescent="0.4">
      <c r="B131" s="25"/>
      <c r="D131" s="42"/>
      <c r="E131" s="26"/>
      <c r="G131" s="54"/>
      <c r="N131" s="42"/>
    </row>
    <row r="132" spans="2:14" s="13" customFormat="1" x14ac:dyDescent="0.4">
      <c r="B132" s="25"/>
      <c r="D132" s="42"/>
      <c r="E132" s="26"/>
      <c r="G132" s="54"/>
      <c r="N132" s="42"/>
    </row>
    <row r="133" spans="2:14" s="13" customFormat="1" x14ac:dyDescent="0.4">
      <c r="B133" s="25"/>
      <c r="D133" s="42"/>
      <c r="E133" s="26"/>
      <c r="G133" s="54"/>
      <c r="N133" s="42"/>
    </row>
    <row r="134" spans="2:14" s="13" customFormat="1" x14ac:dyDescent="0.4">
      <c r="B134" s="25"/>
      <c r="D134" s="42"/>
      <c r="E134" s="26"/>
      <c r="G134" s="54"/>
      <c r="N134" s="42"/>
    </row>
    <row r="135" spans="2:14" s="13" customFormat="1" x14ac:dyDescent="0.4">
      <c r="B135" s="25"/>
      <c r="D135" s="42"/>
      <c r="E135" s="26"/>
      <c r="G135" s="54"/>
      <c r="N135" s="42"/>
    </row>
    <row r="136" spans="2:14" s="13" customFormat="1" x14ac:dyDescent="0.4">
      <c r="B136" s="25"/>
      <c r="D136" s="42"/>
      <c r="E136" s="26"/>
      <c r="G136" s="54"/>
      <c r="N136" s="42"/>
    </row>
    <row r="137" spans="2:14" s="13" customFormat="1" x14ac:dyDescent="0.4">
      <c r="B137" s="25"/>
      <c r="D137" s="42"/>
      <c r="E137" s="26"/>
      <c r="G137" s="54"/>
      <c r="N137" s="42"/>
    </row>
    <row r="138" spans="2:14" s="13" customFormat="1" x14ac:dyDescent="0.4">
      <c r="B138" s="25"/>
      <c r="D138" s="42"/>
      <c r="E138" s="26"/>
      <c r="G138" s="54"/>
      <c r="N138" s="42"/>
    </row>
    <row r="139" spans="2:14" s="13" customFormat="1" x14ac:dyDescent="0.4">
      <c r="B139" s="25"/>
      <c r="D139" s="42"/>
      <c r="E139" s="26"/>
      <c r="G139" s="54"/>
      <c r="N139" s="42"/>
    </row>
    <row r="140" spans="2:14" s="13" customFormat="1" x14ac:dyDescent="0.4">
      <c r="B140" s="25"/>
      <c r="D140" s="42"/>
      <c r="E140" s="26"/>
      <c r="G140" s="54"/>
      <c r="N140" s="42"/>
    </row>
    <row r="141" spans="2:14" s="13" customFormat="1" x14ac:dyDescent="0.4">
      <c r="B141" s="25"/>
      <c r="D141" s="42"/>
      <c r="E141" s="26"/>
      <c r="G141" s="54"/>
      <c r="N141" s="42"/>
    </row>
    <row r="142" spans="2:14" s="13" customFormat="1" x14ac:dyDescent="0.4">
      <c r="B142" s="25"/>
      <c r="D142" s="42"/>
      <c r="E142" s="26"/>
      <c r="G142" s="54"/>
      <c r="N142" s="42"/>
    </row>
    <row r="143" spans="2:14" s="13" customFormat="1" x14ac:dyDescent="0.4">
      <c r="B143" s="25"/>
      <c r="D143" s="42"/>
      <c r="E143" s="26"/>
      <c r="G143" s="54"/>
      <c r="N143" s="42"/>
    </row>
    <row r="144" spans="2:14" s="13" customFormat="1" x14ac:dyDescent="0.4">
      <c r="B144" s="25"/>
      <c r="D144" s="42"/>
      <c r="E144" s="26"/>
      <c r="G144" s="54"/>
      <c r="N144" s="42"/>
    </row>
    <row r="145" spans="2:14" s="13" customFormat="1" x14ac:dyDescent="0.4">
      <c r="B145" s="25"/>
      <c r="D145" s="42"/>
      <c r="E145" s="26"/>
      <c r="G145" s="54"/>
      <c r="N145" s="42"/>
    </row>
    <row r="146" spans="2:14" s="13" customFormat="1" x14ac:dyDescent="0.4">
      <c r="B146" s="25"/>
      <c r="D146" s="42"/>
      <c r="E146" s="26"/>
      <c r="G146" s="54"/>
      <c r="N146" s="42"/>
    </row>
    <row r="147" spans="2:14" s="13" customFormat="1" x14ac:dyDescent="0.4">
      <c r="B147" s="25"/>
      <c r="D147" s="42"/>
      <c r="E147" s="26"/>
      <c r="G147" s="54"/>
      <c r="N147" s="42"/>
    </row>
    <row r="148" spans="2:14" s="13" customFormat="1" x14ac:dyDescent="0.4">
      <c r="B148" s="25"/>
      <c r="D148" s="42"/>
      <c r="E148" s="26"/>
      <c r="G148" s="54"/>
      <c r="N148" s="42"/>
    </row>
    <row r="149" spans="2:14" s="13" customFormat="1" x14ac:dyDescent="0.4">
      <c r="B149" s="25"/>
      <c r="D149" s="42"/>
      <c r="E149" s="26"/>
      <c r="G149" s="54"/>
      <c r="N149" s="42"/>
    </row>
    <row r="150" spans="2:14" s="13" customFormat="1" x14ac:dyDescent="0.4">
      <c r="B150" s="25"/>
      <c r="D150" s="42"/>
      <c r="E150" s="26"/>
      <c r="G150" s="54"/>
      <c r="N150" s="42"/>
    </row>
    <row r="151" spans="2:14" s="13" customFormat="1" x14ac:dyDescent="0.4">
      <c r="B151" s="25"/>
      <c r="D151" s="42"/>
      <c r="E151" s="26"/>
      <c r="G151" s="54"/>
      <c r="N151" s="42"/>
    </row>
    <row r="152" spans="2:14" s="13" customFormat="1" x14ac:dyDescent="0.4">
      <c r="B152" s="25"/>
      <c r="D152" s="42"/>
      <c r="E152" s="26"/>
      <c r="G152" s="54"/>
      <c r="N152" s="42"/>
    </row>
    <row r="153" spans="2:14" s="13" customFormat="1" x14ac:dyDescent="0.4">
      <c r="B153" s="25"/>
      <c r="D153" s="42"/>
      <c r="E153" s="26"/>
      <c r="G153" s="54"/>
      <c r="N153" s="42"/>
    </row>
    <row r="154" spans="2:14" s="13" customFormat="1" x14ac:dyDescent="0.4">
      <c r="B154" s="25"/>
      <c r="D154" s="42"/>
      <c r="E154" s="26"/>
      <c r="G154" s="54"/>
      <c r="N154" s="42"/>
    </row>
    <row r="155" spans="2:14" s="13" customFormat="1" x14ac:dyDescent="0.4">
      <c r="B155" s="25"/>
      <c r="D155" s="42"/>
      <c r="E155" s="26"/>
      <c r="G155" s="54"/>
      <c r="N155" s="42"/>
    </row>
    <row r="156" spans="2:14" s="13" customFormat="1" x14ac:dyDescent="0.4">
      <c r="B156" s="25"/>
      <c r="D156" s="42"/>
      <c r="E156" s="26"/>
      <c r="G156" s="54"/>
      <c r="N156" s="42"/>
    </row>
    <row r="157" spans="2:14" s="13" customFormat="1" x14ac:dyDescent="0.4">
      <c r="B157" s="25"/>
      <c r="D157" s="42"/>
      <c r="E157" s="26"/>
      <c r="G157" s="54"/>
      <c r="N157" s="42"/>
    </row>
    <row r="158" spans="2:14" s="13" customFormat="1" x14ac:dyDescent="0.4">
      <c r="B158" s="25"/>
      <c r="D158" s="42"/>
      <c r="E158" s="26"/>
      <c r="G158" s="54"/>
      <c r="N158" s="42"/>
    </row>
    <row r="159" spans="2:14" s="13" customFormat="1" x14ac:dyDescent="0.4">
      <c r="B159" s="25"/>
      <c r="D159" s="42"/>
      <c r="E159" s="26"/>
      <c r="G159" s="54"/>
      <c r="N159" s="42"/>
    </row>
    <row r="160" spans="2:14" s="13" customFormat="1" x14ac:dyDescent="0.4">
      <c r="B160" s="25"/>
      <c r="D160" s="42"/>
      <c r="E160" s="26"/>
      <c r="G160" s="54"/>
      <c r="N160" s="42"/>
    </row>
    <row r="161" spans="2:14" s="13" customFormat="1" x14ac:dyDescent="0.4">
      <c r="B161" s="25"/>
      <c r="D161" s="42"/>
      <c r="E161" s="26"/>
      <c r="G161" s="54"/>
      <c r="N161" s="42"/>
    </row>
    <row r="162" spans="2:14" s="13" customFormat="1" x14ac:dyDescent="0.4">
      <c r="B162" s="25"/>
      <c r="D162" s="42"/>
      <c r="E162" s="26"/>
      <c r="G162" s="54"/>
      <c r="N162" s="42"/>
    </row>
    <row r="163" spans="2:14" s="13" customFormat="1" x14ac:dyDescent="0.4">
      <c r="B163" s="25"/>
      <c r="D163" s="42"/>
      <c r="E163" s="26"/>
      <c r="G163" s="54"/>
      <c r="N163" s="42"/>
    </row>
    <row r="164" spans="2:14" s="13" customFormat="1" x14ac:dyDescent="0.4">
      <c r="B164" s="25"/>
      <c r="D164" s="42"/>
      <c r="E164" s="26"/>
      <c r="G164" s="54"/>
      <c r="N164" s="42"/>
    </row>
    <row r="165" spans="2:14" s="13" customFormat="1" x14ac:dyDescent="0.4">
      <c r="B165" s="25"/>
      <c r="D165" s="42"/>
      <c r="E165" s="26"/>
      <c r="G165" s="54"/>
      <c r="N165" s="42"/>
    </row>
    <row r="166" spans="2:14" s="13" customFormat="1" x14ac:dyDescent="0.4">
      <c r="B166" s="25"/>
      <c r="D166" s="42"/>
      <c r="E166" s="26"/>
      <c r="G166" s="54"/>
      <c r="N166" s="42"/>
    </row>
    <row r="167" spans="2:14" s="13" customFormat="1" x14ac:dyDescent="0.4">
      <c r="B167" s="25"/>
      <c r="D167" s="42"/>
      <c r="E167" s="26"/>
      <c r="G167" s="54"/>
      <c r="N167" s="42"/>
    </row>
    <row r="168" spans="2:14" s="13" customFormat="1" x14ac:dyDescent="0.4">
      <c r="B168" s="25"/>
      <c r="D168" s="42"/>
      <c r="E168" s="26"/>
      <c r="G168" s="54"/>
      <c r="N168" s="42"/>
    </row>
    <row r="169" spans="2:14" s="13" customFormat="1" x14ac:dyDescent="0.4">
      <c r="B169" s="25"/>
      <c r="D169" s="42"/>
      <c r="E169" s="26"/>
      <c r="G169" s="54"/>
      <c r="N169" s="42"/>
    </row>
    <row r="170" spans="2:14" s="13" customFormat="1" x14ac:dyDescent="0.4">
      <c r="B170" s="25"/>
      <c r="D170" s="42"/>
      <c r="E170" s="26"/>
      <c r="G170" s="54"/>
      <c r="N170" s="42"/>
    </row>
    <row r="171" spans="2:14" s="13" customFormat="1" x14ac:dyDescent="0.4">
      <c r="B171" s="25"/>
      <c r="D171" s="42"/>
      <c r="E171" s="26"/>
      <c r="G171" s="54"/>
      <c r="N171" s="42"/>
    </row>
    <row r="172" spans="2:14" s="13" customFormat="1" x14ac:dyDescent="0.4">
      <c r="B172" s="25"/>
      <c r="D172" s="42"/>
      <c r="E172" s="26"/>
      <c r="G172" s="54"/>
      <c r="N172" s="42"/>
    </row>
    <row r="173" spans="2:14" s="13" customFormat="1" x14ac:dyDescent="0.4">
      <c r="B173" s="25"/>
      <c r="D173" s="42"/>
      <c r="E173" s="26"/>
      <c r="G173" s="54"/>
      <c r="N173" s="42"/>
    </row>
    <row r="174" spans="2:14" s="13" customFormat="1" x14ac:dyDescent="0.4">
      <c r="B174" s="25"/>
      <c r="D174" s="42"/>
      <c r="E174" s="26"/>
      <c r="G174" s="54"/>
      <c r="N174" s="42"/>
    </row>
    <row r="175" spans="2:14" s="13" customFormat="1" x14ac:dyDescent="0.4">
      <c r="B175" s="25"/>
      <c r="D175" s="42"/>
      <c r="E175" s="26"/>
      <c r="G175" s="54"/>
      <c r="N175" s="42"/>
    </row>
    <row r="176" spans="2:14" s="13" customFormat="1" x14ac:dyDescent="0.4">
      <c r="B176" s="25"/>
      <c r="D176" s="42"/>
      <c r="E176" s="26"/>
      <c r="G176" s="54"/>
      <c r="N176" s="42"/>
    </row>
    <row r="177" spans="2:14" s="13" customFormat="1" x14ac:dyDescent="0.4">
      <c r="B177" s="25"/>
      <c r="D177" s="42"/>
      <c r="E177" s="26"/>
      <c r="G177" s="54"/>
      <c r="N177" s="42"/>
    </row>
    <row r="178" spans="2:14" s="13" customFormat="1" x14ac:dyDescent="0.4">
      <c r="B178" s="25"/>
      <c r="D178" s="42"/>
      <c r="E178" s="26"/>
      <c r="G178" s="54"/>
      <c r="N178" s="42"/>
    </row>
    <row r="179" spans="2:14" s="13" customFormat="1" x14ac:dyDescent="0.4">
      <c r="B179" s="25"/>
      <c r="D179" s="42"/>
      <c r="E179" s="26"/>
      <c r="G179" s="54"/>
      <c r="N179" s="42"/>
    </row>
    <row r="180" spans="2:14" s="13" customFormat="1" x14ac:dyDescent="0.4">
      <c r="B180" s="25"/>
      <c r="D180" s="42"/>
      <c r="E180" s="26"/>
      <c r="G180" s="54"/>
      <c r="N180" s="42"/>
    </row>
    <row r="181" spans="2:14" s="13" customFormat="1" x14ac:dyDescent="0.4">
      <c r="B181" s="25"/>
      <c r="D181" s="42"/>
      <c r="E181" s="26"/>
      <c r="G181" s="54"/>
      <c r="N181" s="42"/>
    </row>
    <row r="182" spans="2:14" s="13" customFormat="1" x14ac:dyDescent="0.4">
      <c r="B182" s="25"/>
      <c r="D182" s="42"/>
      <c r="E182" s="26"/>
      <c r="G182" s="54"/>
      <c r="N182" s="42"/>
    </row>
    <row r="183" spans="2:14" s="13" customFormat="1" x14ac:dyDescent="0.4">
      <c r="B183" s="25"/>
      <c r="D183" s="42"/>
      <c r="E183" s="26"/>
      <c r="G183" s="54"/>
      <c r="N183" s="42"/>
    </row>
    <row r="184" spans="2:14" s="13" customFormat="1" x14ac:dyDescent="0.4">
      <c r="B184" s="25"/>
      <c r="D184" s="42"/>
      <c r="E184" s="26"/>
      <c r="G184" s="54"/>
      <c r="N184" s="42"/>
    </row>
    <row r="185" spans="2:14" s="13" customFormat="1" x14ac:dyDescent="0.4">
      <c r="B185" s="25"/>
      <c r="D185" s="42"/>
      <c r="E185" s="26"/>
      <c r="G185" s="54"/>
      <c r="N185" s="42"/>
    </row>
    <row r="186" spans="2:14" s="13" customFormat="1" x14ac:dyDescent="0.4">
      <c r="B186" s="25"/>
      <c r="D186" s="42"/>
      <c r="E186" s="26"/>
      <c r="G186" s="54"/>
      <c r="N186" s="42"/>
    </row>
    <row r="187" spans="2:14" s="13" customFormat="1" x14ac:dyDescent="0.4">
      <c r="B187" s="25"/>
      <c r="D187" s="42"/>
      <c r="E187" s="26"/>
      <c r="G187" s="54"/>
      <c r="N187" s="42"/>
    </row>
    <row r="188" spans="2:14" s="13" customFormat="1" x14ac:dyDescent="0.4">
      <c r="B188" s="25"/>
      <c r="D188" s="42"/>
      <c r="E188" s="26"/>
      <c r="G188" s="54"/>
      <c r="N188" s="42"/>
    </row>
    <row r="189" spans="2:14" s="13" customFormat="1" x14ac:dyDescent="0.4">
      <c r="B189" s="25"/>
      <c r="D189" s="42"/>
      <c r="E189" s="26"/>
      <c r="G189" s="54"/>
      <c r="N189" s="42"/>
    </row>
    <row r="190" spans="2:14" s="13" customFormat="1" x14ac:dyDescent="0.4">
      <c r="B190" s="25"/>
      <c r="D190" s="42"/>
      <c r="E190" s="26"/>
      <c r="G190" s="54"/>
      <c r="N190" s="42"/>
    </row>
    <row r="191" spans="2:14" s="13" customFormat="1" x14ac:dyDescent="0.4">
      <c r="B191" s="25"/>
      <c r="D191" s="42"/>
      <c r="E191" s="26"/>
      <c r="G191" s="54"/>
      <c r="N191" s="42"/>
    </row>
    <row r="192" spans="2:14" s="13" customFormat="1" x14ac:dyDescent="0.4">
      <c r="B192" s="25"/>
      <c r="D192" s="42"/>
      <c r="E192" s="26"/>
      <c r="G192" s="54"/>
      <c r="N192" s="42"/>
    </row>
    <row r="193" spans="2:14" s="13" customFormat="1" x14ac:dyDescent="0.4">
      <c r="B193" s="25"/>
      <c r="D193" s="42"/>
      <c r="E193" s="26"/>
      <c r="G193" s="54"/>
      <c r="N193" s="42"/>
    </row>
    <row r="194" spans="2:14" s="13" customFormat="1" x14ac:dyDescent="0.4">
      <c r="B194" s="25"/>
      <c r="D194" s="42"/>
      <c r="E194" s="26"/>
      <c r="G194" s="54"/>
      <c r="N194" s="42"/>
    </row>
    <row r="195" spans="2:14" s="13" customFormat="1" x14ac:dyDescent="0.4">
      <c r="B195" s="25"/>
      <c r="D195" s="42"/>
      <c r="E195" s="26"/>
      <c r="G195" s="54"/>
      <c r="N195" s="42"/>
    </row>
    <row r="196" spans="2:14" s="13" customFormat="1" x14ac:dyDescent="0.4">
      <c r="B196" s="25"/>
      <c r="D196" s="42"/>
      <c r="E196" s="26"/>
      <c r="G196" s="54"/>
      <c r="N196" s="42"/>
    </row>
    <row r="197" spans="2:14" s="13" customFormat="1" x14ac:dyDescent="0.4">
      <c r="B197" s="25"/>
      <c r="D197" s="42"/>
      <c r="E197" s="26"/>
      <c r="G197" s="54"/>
      <c r="N197" s="42"/>
    </row>
    <row r="198" spans="2:14" s="13" customFormat="1" x14ac:dyDescent="0.4">
      <c r="B198" s="25"/>
      <c r="D198" s="42"/>
      <c r="E198" s="26"/>
      <c r="G198" s="54"/>
      <c r="N198" s="42"/>
    </row>
    <row r="199" spans="2:14" s="13" customFormat="1" x14ac:dyDescent="0.4">
      <c r="B199" s="25"/>
      <c r="D199" s="42"/>
      <c r="E199" s="26"/>
      <c r="G199" s="54"/>
      <c r="N199" s="42"/>
    </row>
    <row r="200" spans="2:14" s="13" customFormat="1" x14ac:dyDescent="0.4">
      <c r="B200" s="25"/>
      <c r="D200" s="42"/>
      <c r="E200" s="26"/>
      <c r="G200" s="54"/>
      <c r="N200" s="42"/>
    </row>
    <row r="201" spans="2:14" s="13" customFormat="1" x14ac:dyDescent="0.4">
      <c r="B201" s="25"/>
      <c r="D201" s="42"/>
      <c r="E201" s="26"/>
      <c r="G201" s="54"/>
      <c r="N201" s="42"/>
    </row>
    <row r="202" spans="2:14" s="13" customFormat="1" x14ac:dyDescent="0.4">
      <c r="B202" s="25"/>
      <c r="D202" s="42"/>
      <c r="E202" s="26"/>
      <c r="G202" s="54"/>
      <c r="N202" s="42"/>
    </row>
    <row r="203" spans="2:14" s="13" customFormat="1" x14ac:dyDescent="0.4">
      <c r="B203" s="25"/>
      <c r="D203" s="42"/>
      <c r="E203" s="26"/>
      <c r="G203" s="54"/>
      <c r="N203" s="42"/>
    </row>
    <row r="204" spans="2:14" s="13" customFormat="1" x14ac:dyDescent="0.4">
      <c r="B204" s="25"/>
      <c r="D204" s="42"/>
      <c r="E204" s="26"/>
      <c r="G204" s="54"/>
      <c r="N204" s="42"/>
    </row>
    <row r="205" spans="2:14" s="13" customFormat="1" x14ac:dyDescent="0.4">
      <c r="B205" s="25"/>
      <c r="D205" s="42"/>
      <c r="E205" s="26"/>
      <c r="G205" s="54"/>
      <c r="N205" s="42"/>
    </row>
    <row r="206" spans="2:14" s="13" customFormat="1" x14ac:dyDescent="0.4">
      <c r="B206" s="25"/>
      <c r="D206" s="42"/>
      <c r="E206" s="26"/>
      <c r="G206" s="54"/>
      <c r="N206" s="42"/>
    </row>
    <row r="207" spans="2:14" s="13" customFormat="1" x14ac:dyDescent="0.4">
      <c r="B207" s="25"/>
      <c r="D207" s="42"/>
      <c r="E207" s="26"/>
      <c r="G207" s="54"/>
      <c r="N207" s="42"/>
    </row>
    <row r="208" spans="2:14" s="13" customFormat="1" x14ac:dyDescent="0.4">
      <c r="B208" s="25"/>
      <c r="D208" s="42"/>
      <c r="E208" s="26"/>
      <c r="G208" s="54"/>
      <c r="N208" s="42"/>
    </row>
    <row r="209" spans="2:14" s="13" customFormat="1" x14ac:dyDescent="0.4">
      <c r="B209" s="25"/>
      <c r="D209" s="42"/>
      <c r="E209" s="26"/>
      <c r="G209" s="54"/>
      <c r="N209" s="42"/>
    </row>
    <row r="210" spans="2:14" s="13" customFormat="1" x14ac:dyDescent="0.4">
      <c r="B210" s="25"/>
      <c r="D210" s="42"/>
      <c r="E210" s="26"/>
      <c r="G210" s="54"/>
      <c r="N210" s="42"/>
    </row>
    <row r="211" spans="2:14" s="13" customFormat="1" x14ac:dyDescent="0.4">
      <c r="B211" s="25"/>
      <c r="D211" s="42"/>
      <c r="E211" s="26"/>
      <c r="G211" s="54"/>
      <c r="N211" s="42"/>
    </row>
    <row r="212" spans="2:14" s="13" customFormat="1" x14ac:dyDescent="0.4">
      <c r="B212" s="25"/>
      <c r="D212" s="42"/>
      <c r="E212" s="26"/>
      <c r="G212" s="54"/>
      <c r="N212" s="42"/>
    </row>
    <row r="213" spans="2:14" s="13" customFormat="1" x14ac:dyDescent="0.4">
      <c r="B213" s="25"/>
      <c r="D213" s="42"/>
      <c r="E213" s="26"/>
      <c r="G213" s="54"/>
      <c r="N213" s="42"/>
    </row>
    <row r="214" spans="2:14" s="13" customFormat="1" x14ac:dyDescent="0.4">
      <c r="B214" s="25"/>
      <c r="D214" s="42"/>
      <c r="E214" s="26"/>
      <c r="G214" s="54"/>
      <c r="N214" s="42"/>
    </row>
    <row r="215" spans="2:14" s="13" customFormat="1" x14ac:dyDescent="0.4">
      <c r="B215" s="25"/>
      <c r="D215" s="42"/>
      <c r="E215" s="26"/>
      <c r="G215" s="54"/>
      <c r="N215" s="42"/>
    </row>
    <row r="216" spans="2:14" s="13" customFormat="1" x14ac:dyDescent="0.4">
      <c r="B216" s="25"/>
      <c r="D216" s="42"/>
      <c r="E216" s="26"/>
      <c r="G216" s="54"/>
      <c r="N216" s="42"/>
    </row>
    <row r="217" spans="2:14" s="13" customFormat="1" x14ac:dyDescent="0.4">
      <c r="B217" s="25"/>
      <c r="D217" s="42"/>
      <c r="E217" s="26"/>
      <c r="G217" s="54"/>
      <c r="N217" s="42"/>
    </row>
    <row r="218" spans="2:14" s="13" customFormat="1" x14ac:dyDescent="0.4">
      <c r="B218" s="25"/>
      <c r="D218" s="42"/>
      <c r="E218" s="26"/>
      <c r="G218" s="54"/>
      <c r="N218" s="42"/>
    </row>
    <row r="219" spans="2:14" s="13" customFormat="1" x14ac:dyDescent="0.4">
      <c r="B219" s="25"/>
      <c r="D219" s="42"/>
      <c r="E219" s="26"/>
      <c r="G219" s="54"/>
      <c r="N219" s="42"/>
    </row>
    <row r="220" spans="2:14" s="13" customFormat="1" x14ac:dyDescent="0.4">
      <c r="B220" s="25"/>
      <c r="D220" s="42"/>
      <c r="E220" s="26"/>
      <c r="G220" s="54"/>
      <c r="N220" s="42"/>
    </row>
    <row r="221" spans="2:14" s="13" customFormat="1" x14ac:dyDescent="0.4">
      <c r="B221" s="25"/>
      <c r="D221" s="42"/>
      <c r="E221" s="26"/>
      <c r="G221" s="54"/>
      <c r="N221" s="42"/>
    </row>
    <row r="222" spans="2:14" s="13" customFormat="1" x14ac:dyDescent="0.4">
      <c r="B222" s="25"/>
      <c r="D222" s="42"/>
      <c r="E222" s="26"/>
      <c r="G222" s="54"/>
      <c r="N222" s="42"/>
    </row>
    <row r="223" spans="2:14" s="13" customFormat="1" x14ac:dyDescent="0.4">
      <c r="B223" s="25"/>
      <c r="D223" s="42"/>
      <c r="E223" s="26"/>
      <c r="G223" s="54"/>
      <c r="N223" s="42"/>
    </row>
    <row r="224" spans="2:14" s="13" customFormat="1" x14ac:dyDescent="0.4">
      <c r="B224" s="25"/>
      <c r="D224" s="42"/>
      <c r="E224" s="26"/>
      <c r="G224" s="54"/>
      <c r="N224" s="42"/>
    </row>
    <row r="225" spans="2:14" s="13" customFormat="1" x14ac:dyDescent="0.4">
      <c r="B225" s="25"/>
      <c r="D225" s="42"/>
      <c r="E225" s="26"/>
      <c r="G225" s="54"/>
      <c r="N225" s="42"/>
    </row>
    <row r="226" spans="2:14" s="13" customFormat="1" x14ac:dyDescent="0.4">
      <c r="B226" s="25"/>
      <c r="D226" s="42"/>
      <c r="E226" s="26"/>
      <c r="G226" s="54"/>
      <c r="N226" s="42"/>
    </row>
    <row r="227" spans="2:14" s="13" customFormat="1" x14ac:dyDescent="0.4">
      <c r="B227" s="25"/>
      <c r="D227" s="42"/>
      <c r="E227" s="26"/>
      <c r="G227" s="54"/>
      <c r="N227" s="42"/>
    </row>
    <row r="228" spans="2:14" s="13" customFormat="1" x14ac:dyDescent="0.4">
      <c r="B228" s="25"/>
      <c r="D228" s="42"/>
      <c r="E228" s="26"/>
      <c r="G228" s="54"/>
      <c r="N228" s="42"/>
    </row>
    <row r="229" spans="2:14" s="13" customFormat="1" x14ac:dyDescent="0.4">
      <c r="B229" s="25"/>
      <c r="D229" s="42"/>
      <c r="E229" s="26"/>
      <c r="G229" s="54"/>
      <c r="N229" s="42"/>
    </row>
    <row r="230" spans="2:14" s="13" customFormat="1" x14ac:dyDescent="0.4">
      <c r="B230" s="25"/>
      <c r="D230" s="42"/>
      <c r="E230" s="26"/>
      <c r="G230" s="54"/>
      <c r="N230" s="42"/>
    </row>
    <row r="231" spans="2:14" s="13" customFormat="1" x14ac:dyDescent="0.4">
      <c r="B231" s="25"/>
      <c r="D231" s="42"/>
      <c r="E231" s="26"/>
      <c r="G231" s="54"/>
      <c r="N231" s="42"/>
    </row>
    <row r="232" spans="2:14" s="13" customFormat="1" x14ac:dyDescent="0.4">
      <c r="B232" s="25"/>
      <c r="D232" s="42"/>
      <c r="E232" s="26"/>
      <c r="G232" s="54"/>
      <c r="N232" s="42"/>
    </row>
    <row r="233" spans="2:14" s="13" customFormat="1" x14ac:dyDescent="0.4">
      <c r="B233" s="25"/>
      <c r="D233" s="42"/>
      <c r="E233" s="26"/>
      <c r="G233" s="54"/>
      <c r="N233" s="42"/>
    </row>
    <row r="234" spans="2:14" s="13" customFormat="1" x14ac:dyDescent="0.4">
      <c r="B234" s="25"/>
      <c r="D234" s="42"/>
      <c r="E234" s="26"/>
      <c r="G234" s="54"/>
      <c r="N234" s="42"/>
    </row>
    <row r="235" spans="2:14" s="13" customFormat="1" x14ac:dyDescent="0.4">
      <c r="B235" s="25"/>
      <c r="D235" s="42"/>
      <c r="E235" s="26"/>
      <c r="G235" s="54"/>
      <c r="N235" s="42"/>
    </row>
    <row r="236" spans="2:14" s="13" customFormat="1" x14ac:dyDescent="0.4">
      <c r="B236" s="25"/>
      <c r="D236" s="42"/>
      <c r="E236" s="26"/>
      <c r="G236" s="54"/>
      <c r="N236" s="42"/>
    </row>
    <row r="237" spans="2:14" s="13" customFormat="1" x14ac:dyDescent="0.4">
      <c r="B237" s="25"/>
      <c r="D237" s="42"/>
      <c r="E237" s="26"/>
      <c r="G237" s="54"/>
      <c r="N237" s="42"/>
    </row>
    <row r="238" spans="2:14" s="13" customFormat="1" x14ac:dyDescent="0.4">
      <c r="B238" s="25"/>
      <c r="D238" s="42"/>
      <c r="E238" s="26"/>
      <c r="G238" s="54"/>
      <c r="N238" s="42"/>
    </row>
    <row r="239" spans="2:14" s="13" customFormat="1" x14ac:dyDescent="0.4">
      <c r="B239" s="25"/>
      <c r="D239" s="42"/>
      <c r="E239" s="26"/>
      <c r="G239" s="54"/>
      <c r="N239" s="42"/>
    </row>
    <row r="240" spans="2:14" s="13" customFormat="1" x14ac:dyDescent="0.4">
      <c r="B240" s="25"/>
      <c r="D240" s="42"/>
      <c r="E240" s="26"/>
      <c r="G240" s="54"/>
      <c r="N240" s="42"/>
    </row>
    <row r="241" spans="2:14" s="13" customFormat="1" x14ac:dyDescent="0.4">
      <c r="B241" s="25"/>
      <c r="D241" s="42"/>
      <c r="E241" s="26"/>
      <c r="G241" s="54"/>
      <c r="N241" s="42"/>
    </row>
    <row r="242" spans="2:14" s="13" customFormat="1" x14ac:dyDescent="0.4">
      <c r="B242" s="25"/>
      <c r="D242" s="42"/>
      <c r="E242" s="26"/>
      <c r="G242" s="54"/>
      <c r="N242" s="42"/>
    </row>
    <row r="243" spans="2:14" s="13" customFormat="1" x14ac:dyDescent="0.4">
      <c r="B243" s="25"/>
      <c r="D243" s="42"/>
      <c r="E243" s="26"/>
      <c r="G243" s="54"/>
      <c r="N243" s="42"/>
    </row>
    <row r="244" spans="2:14" s="13" customFormat="1" x14ac:dyDescent="0.4">
      <c r="B244" s="25"/>
      <c r="D244" s="42"/>
      <c r="E244" s="26"/>
      <c r="G244" s="54"/>
      <c r="N244" s="42"/>
    </row>
    <row r="245" spans="2:14" s="13" customFormat="1" x14ac:dyDescent="0.4">
      <c r="B245" s="25"/>
      <c r="D245" s="42"/>
      <c r="E245" s="26"/>
      <c r="G245" s="54"/>
      <c r="N245" s="42"/>
    </row>
    <row r="246" spans="2:14" s="13" customFormat="1" x14ac:dyDescent="0.4">
      <c r="B246" s="25"/>
      <c r="D246" s="42"/>
      <c r="E246" s="26"/>
      <c r="G246" s="54"/>
      <c r="N246" s="42"/>
    </row>
    <row r="247" spans="2:14" s="13" customFormat="1" x14ac:dyDescent="0.4">
      <c r="B247" s="25"/>
      <c r="D247" s="42"/>
      <c r="E247" s="26"/>
      <c r="G247" s="54"/>
      <c r="N247" s="42"/>
    </row>
    <row r="248" spans="2:14" s="13" customFormat="1" x14ac:dyDescent="0.4">
      <c r="B248" s="25"/>
      <c r="D248" s="42"/>
      <c r="E248" s="26"/>
      <c r="G248" s="54"/>
      <c r="N248" s="42"/>
    </row>
    <row r="249" spans="2:14" s="13" customFormat="1" x14ac:dyDescent="0.4">
      <c r="B249" s="25"/>
      <c r="D249" s="42"/>
      <c r="E249" s="26"/>
      <c r="G249" s="54"/>
      <c r="N249" s="42"/>
    </row>
    <row r="250" spans="2:14" s="13" customFormat="1" x14ac:dyDescent="0.4">
      <c r="B250" s="25"/>
      <c r="D250" s="42"/>
      <c r="E250" s="26"/>
      <c r="G250" s="54"/>
      <c r="N250" s="42"/>
    </row>
    <row r="251" spans="2:14" s="13" customFormat="1" x14ac:dyDescent="0.4">
      <c r="B251" s="25"/>
      <c r="D251" s="42"/>
      <c r="E251" s="26"/>
      <c r="G251" s="54"/>
      <c r="N251" s="42"/>
    </row>
    <row r="252" spans="2:14" s="13" customFormat="1" x14ac:dyDescent="0.4">
      <c r="B252" s="25"/>
      <c r="D252" s="42"/>
      <c r="E252" s="26"/>
      <c r="G252" s="54"/>
      <c r="N252" s="42"/>
    </row>
    <row r="253" spans="2:14" s="13" customFormat="1" x14ac:dyDescent="0.4">
      <c r="B253" s="25"/>
      <c r="D253" s="42"/>
      <c r="E253" s="26"/>
      <c r="G253" s="54"/>
      <c r="N253" s="42"/>
    </row>
    <row r="254" spans="2:14" s="13" customFormat="1" x14ac:dyDescent="0.4">
      <c r="B254" s="25"/>
      <c r="D254" s="42"/>
      <c r="E254" s="26"/>
      <c r="G254" s="54"/>
      <c r="N254" s="42"/>
    </row>
    <row r="255" spans="2:14" s="13" customFormat="1" x14ac:dyDescent="0.4">
      <c r="B255" s="25"/>
      <c r="D255" s="42"/>
      <c r="E255" s="26"/>
      <c r="G255" s="54"/>
      <c r="N255" s="42"/>
    </row>
    <row r="256" spans="2:14" s="13" customFormat="1" x14ac:dyDescent="0.4">
      <c r="B256" s="25"/>
      <c r="D256" s="42"/>
      <c r="E256" s="26"/>
      <c r="G256" s="54"/>
      <c r="N256" s="42"/>
    </row>
    <row r="257" spans="2:14" s="13" customFormat="1" x14ac:dyDescent="0.4">
      <c r="B257" s="25"/>
      <c r="D257" s="42"/>
      <c r="E257" s="26"/>
      <c r="G257" s="54"/>
      <c r="N257" s="42"/>
    </row>
    <row r="258" spans="2:14" s="13" customFormat="1" x14ac:dyDescent="0.4">
      <c r="B258" s="25"/>
      <c r="D258" s="42"/>
      <c r="E258" s="26"/>
      <c r="G258" s="54"/>
      <c r="N258" s="42"/>
    </row>
    <row r="259" spans="2:14" s="13" customFormat="1" x14ac:dyDescent="0.4">
      <c r="B259" s="25"/>
      <c r="D259" s="42"/>
      <c r="E259" s="26"/>
      <c r="G259" s="54"/>
      <c r="N259" s="42"/>
    </row>
    <row r="260" spans="2:14" s="13" customFormat="1" x14ac:dyDescent="0.4">
      <c r="B260" s="25"/>
      <c r="D260" s="42"/>
      <c r="E260" s="26"/>
      <c r="G260" s="54"/>
      <c r="N260" s="42"/>
    </row>
    <row r="261" spans="2:14" s="13" customFormat="1" x14ac:dyDescent="0.4">
      <c r="B261" s="25"/>
      <c r="D261" s="42"/>
      <c r="E261" s="26"/>
      <c r="G261" s="54"/>
      <c r="N261" s="42"/>
    </row>
    <row r="262" spans="2:14" s="13" customFormat="1" x14ac:dyDescent="0.4">
      <c r="B262" s="25"/>
      <c r="D262" s="42"/>
      <c r="E262" s="26"/>
      <c r="G262" s="54"/>
      <c r="N262" s="42"/>
    </row>
    <row r="263" spans="2:14" s="13" customFormat="1" x14ac:dyDescent="0.4">
      <c r="B263" s="25"/>
      <c r="D263" s="42"/>
      <c r="E263" s="26"/>
      <c r="G263" s="54"/>
      <c r="N263" s="42"/>
    </row>
    <row r="264" spans="2:14" s="13" customFormat="1" x14ac:dyDescent="0.4">
      <c r="B264" s="25"/>
      <c r="D264" s="42"/>
      <c r="E264" s="26"/>
      <c r="G264" s="54"/>
      <c r="N264" s="42"/>
    </row>
    <row r="265" spans="2:14" s="13" customFormat="1" x14ac:dyDescent="0.4">
      <c r="B265" s="25"/>
      <c r="D265" s="42"/>
      <c r="E265" s="26"/>
      <c r="G265" s="54"/>
      <c r="N265" s="42"/>
    </row>
    <row r="266" spans="2:14" s="13" customFormat="1" x14ac:dyDescent="0.4">
      <c r="B266" s="25"/>
      <c r="D266" s="42"/>
      <c r="E266" s="26"/>
      <c r="G266" s="54"/>
      <c r="N266" s="42"/>
    </row>
    <row r="267" spans="2:14" s="13" customFormat="1" x14ac:dyDescent="0.4">
      <c r="B267" s="25"/>
      <c r="D267" s="42"/>
      <c r="E267" s="26"/>
      <c r="G267" s="54"/>
      <c r="N267" s="42"/>
    </row>
    <row r="268" spans="2:14" s="13" customFormat="1" x14ac:dyDescent="0.4">
      <c r="B268" s="25"/>
      <c r="D268" s="42"/>
      <c r="E268" s="26"/>
      <c r="G268" s="54"/>
      <c r="N268" s="42"/>
    </row>
    <row r="269" spans="2:14" s="13" customFormat="1" x14ac:dyDescent="0.4">
      <c r="B269" s="25"/>
      <c r="D269" s="42"/>
      <c r="E269" s="26"/>
      <c r="G269" s="54"/>
      <c r="N269" s="42"/>
    </row>
    <row r="270" spans="2:14" s="13" customFormat="1" x14ac:dyDescent="0.4">
      <c r="B270" s="25"/>
      <c r="D270" s="42"/>
      <c r="E270" s="26"/>
      <c r="G270" s="54"/>
      <c r="N270" s="42"/>
    </row>
    <row r="271" spans="2:14" s="13" customFormat="1" x14ac:dyDescent="0.4">
      <c r="B271" s="25"/>
      <c r="D271" s="42"/>
      <c r="E271" s="26"/>
      <c r="G271" s="54"/>
      <c r="N271" s="42"/>
    </row>
    <row r="272" spans="2:14" s="13" customFormat="1" x14ac:dyDescent="0.4">
      <c r="B272" s="25"/>
      <c r="D272" s="42"/>
      <c r="E272" s="26"/>
      <c r="G272" s="54"/>
      <c r="N272" s="42"/>
    </row>
    <row r="273" spans="2:14" s="13" customFormat="1" x14ac:dyDescent="0.4">
      <c r="B273" s="25"/>
      <c r="D273" s="42"/>
      <c r="E273" s="26"/>
      <c r="G273" s="54"/>
      <c r="N273" s="42"/>
    </row>
    <row r="274" spans="2:14" s="13" customFormat="1" x14ac:dyDescent="0.4">
      <c r="B274" s="25"/>
      <c r="D274" s="42"/>
      <c r="E274" s="26"/>
      <c r="G274" s="54"/>
      <c r="N274" s="42"/>
    </row>
    <row r="275" spans="2:14" s="13" customFormat="1" x14ac:dyDescent="0.4">
      <c r="B275" s="25"/>
      <c r="D275" s="42"/>
      <c r="E275" s="26"/>
      <c r="G275" s="54"/>
      <c r="N275" s="42"/>
    </row>
    <row r="276" spans="2:14" s="13" customFormat="1" x14ac:dyDescent="0.4">
      <c r="B276" s="25"/>
      <c r="D276" s="42"/>
      <c r="E276" s="26"/>
      <c r="G276" s="54"/>
      <c r="N276" s="42"/>
    </row>
    <row r="277" spans="2:14" s="13" customFormat="1" x14ac:dyDescent="0.4">
      <c r="B277" s="25"/>
      <c r="D277" s="42"/>
      <c r="E277" s="26"/>
      <c r="G277" s="54"/>
      <c r="N277" s="42"/>
    </row>
    <row r="278" spans="2:14" s="13" customFormat="1" x14ac:dyDescent="0.4">
      <c r="B278" s="25"/>
      <c r="D278" s="42"/>
      <c r="E278" s="26"/>
      <c r="G278" s="54"/>
      <c r="N278" s="42"/>
    </row>
    <row r="279" spans="2:14" s="13" customFormat="1" x14ac:dyDescent="0.4">
      <c r="B279" s="25"/>
      <c r="D279" s="42"/>
      <c r="E279" s="26"/>
      <c r="G279" s="54"/>
      <c r="N279" s="42"/>
    </row>
    <row r="280" spans="2:14" s="13" customFormat="1" x14ac:dyDescent="0.4">
      <c r="B280" s="25"/>
      <c r="D280" s="42"/>
      <c r="E280" s="26"/>
      <c r="G280" s="54"/>
      <c r="N280" s="42"/>
    </row>
    <row r="281" spans="2:14" s="13" customFormat="1" x14ac:dyDescent="0.4">
      <c r="B281" s="25"/>
      <c r="D281" s="42"/>
      <c r="E281" s="26"/>
      <c r="G281" s="54"/>
      <c r="N281" s="42"/>
    </row>
    <row r="282" spans="2:14" s="13" customFormat="1" x14ac:dyDescent="0.4">
      <c r="B282" s="25"/>
      <c r="D282" s="42"/>
      <c r="E282" s="26"/>
      <c r="G282" s="54"/>
      <c r="N282" s="42"/>
    </row>
    <row r="283" spans="2:14" s="13" customFormat="1" x14ac:dyDescent="0.4">
      <c r="B283" s="25"/>
      <c r="D283" s="42"/>
      <c r="E283" s="26"/>
      <c r="G283" s="54"/>
      <c r="N283" s="42"/>
    </row>
    <row r="284" spans="2:14" s="13" customFormat="1" x14ac:dyDescent="0.4">
      <c r="B284" s="25"/>
      <c r="D284" s="42"/>
      <c r="E284" s="26"/>
      <c r="G284" s="54"/>
      <c r="N284" s="42"/>
    </row>
    <row r="285" spans="2:14" s="13" customFormat="1" x14ac:dyDescent="0.4">
      <c r="B285" s="25"/>
      <c r="D285" s="42"/>
      <c r="E285" s="26"/>
      <c r="G285" s="54"/>
      <c r="N285" s="42"/>
    </row>
    <row r="286" spans="2:14" s="13" customFormat="1" x14ac:dyDescent="0.4">
      <c r="B286" s="25"/>
      <c r="D286" s="42"/>
      <c r="E286" s="26"/>
      <c r="G286" s="54"/>
      <c r="N286" s="42"/>
    </row>
    <row r="287" spans="2:14" s="13" customFormat="1" x14ac:dyDescent="0.4">
      <c r="B287" s="25"/>
      <c r="D287" s="42"/>
      <c r="E287" s="26"/>
      <c r="G287" s="54"/>
      <c r="N287" s="42"/>
    </row>
    <row r="288" spans="2:14" s="13" customFormat="1" x14ac:dyDescent="0.4">
      <c r="B288" s="25"/>
      <c r="D288" s="42"/>
      <c r="E288" s="26"/>
      <c r="G288" s="54"/>
      <c r="N288" s="42"/>
    </row>
    <row r="289" spans="2:14" s="13" customFormat="1" x14ac:dyDescent="0.4">
      <c r="B289" s="25"/>
      <c r="D289" s="42"/>
      <c r="E289" s="26"/>
      <c r="G289" s="54"/>
      <c r="N289" s="42"/>
    </row>
    <row r="290" spans="2:14" s="13" customFormat="1" x14ac:dyDescent="0.4">
      <c r="B290" s="25"/>
      <c r="D290" s="42"/>
      <c r="E290" s="26"/>
      <c r="G290" s="54"/>
      <c r="N290" s="42"/>
    </row>
    <row r="291" spans="2:14" s="13" customFormat="1" x14ac:dyDescent="0.4">
      <c r="B291" s="25"/>
      <c r="D291" s="42"/>
      <c r="E291" s="26"/>
      <c r="G291" s="54"/>
      <c r="N291" s="42"/>
    </row>
    <row r="292" spans="2:14" s="13" customFormat="1" x14ac:dyDescent="0.4">
      <c r="B292" s="25"/>
      <c r="D292" s="42"/>
      <c r="E292" s="26"/>
      <c r="G292" s="54"/>
      <c r="N292" s="42"/>
    </row>
    <row r="293" spans="2:14" s="13" customFormat="1" x14ac:dyDescent="0.4">
      <c r="B293" s="25"/>
      <c r="D293" s="42"/>
      <c r="E293" s="26"/>
      <c r="G293" s="54"/>
      <c r="N293" s="42"/>
    </row>
    <row r="294" spans="2:14" s="13" customFormat="1" x14ac:dyDescent="0.4">
      <c r="B294" s="25"/>
      <c r="D294" s="42"/>
      <c r="E294" s="26"/>
      <c r="G294" s="54"/>
      <c r="N294" s="42"/>
    </row>
    <row r="295" spans="2:14" s="13" customFormat="1" x14ac:dyDescent="0.4">
      <c r="B295" s="25"/>
      <c r="D295" s="42"/>
      <c r="E295" s="26"/>
      <c r="G295" s="54"/>
      <c r="N295" s="42"/>
    </row>
    <row r="296" spans="2:14" s="13" customFormat="1" x14ac:dyDescent="0.4">
      <c r="B296" s="25"/>
      <c r="D296" s="42"/>
      <c r="E296" s="26"/>
      <c r="G296" s="54"/>
      <c r="N296" s="42"/>
    </row>
    <row r="297" spans="2:14" s="13" customFormat="1" x14ac:dyDescent="0.4">
      <c r="B297" s="25"/>
      <c r="D297" s="42"/>
      <c r="E297" s="26"/>
      <c r="G297" s="54"/>
      <c r="N297" s="42"/>
    </row>
    <row r="298" spans="2:14" s="13" customFormat="1" x14ac:dyDescent="0.4">
      <c r="B298" s="25"/>
      <c r="D298" s="42"/>
      <c r="E298" s="26"/>
      <c r="G298" s="54"/>
      <c r="N298" s="42"/>
    </row>
    <row r="299" spans="2:14" s="13" customFormat="1" x14ac:dyDescent="0.4">
      <c r="B299" s="25"/>
      <c r="D299" s="42"/>
      <c r="E299" s="26"/>
      <c r="G299" s="54"/>
      <c r="N299" s="42"/>
    </row>
    <row r="300" spans="2:14" s="13" customFormat="1" x14ac:dyDescent="0.4">
      <c r="B300" s="25"/>
      <c r="D300" s="42"/>
      <c r="E300" s="26"/>
      <c r="G300" s="54"/>
      <c r="N300" s="42"/>
    </row>
    <row r="301" spans="2:14" s="13" customFormat="1" x14ac:dyDescent="0.4">
      <c r="B301" s="25"/>
      <c r="D301" s="42"/>
      <c r="E301" s="26"/>
      <c r="G301" s="54"/>
      <c r="N301" s="42"/>
    </row>
    <row r="302" spans="2:14" s="13" customFormat="1" x14ac:dyDescent="0.4">
      <c r="B302" s="25"/>
      <c r="D302" s="42"/>
      <c r="E302" s="26"/>
      <c r="G302" s="54"/>
      <c r="N302" s="42"/>
    </row>
    <row r="303" spans="2:14" s="13" customFormat="1" x14ac:dyDescent="0.4">
      <c r="B303" s="25"/>
      <c r="D303" s="42"/>
      <c r="E303" s="26"/>
      <c r="G303" s="54"/>
      <c r="N303" s="42"/>
    </row>
    <row r="304" spans="2:14" s="13" customFormat="1" x14ac:dyDescent="0.4">
      <c r="B304" s="25"/>
      <c r="D304" s="42"/>
      <c r="E304" s="26"/>
      <c r="G304" s="54"/>
      <c r="N304" s="42"/>
    </row>
    <row r="305" spans="2:14" s="13" customFormat="1" x14ac:dyDescent="0.4">
      <c r="B305" s="25"/>
      <c r="D305" s="42"/>
      <c r="E305" s="26"/>
      <c r="G305" s="54"/>
      <c r="N305" s="42"/>
    </row>
    <row r="306" spans="2:14" s="13" customFormat="1" x14ac:dyDescent="0.4">
      <c r="B306" s="25"/>
      <c r="D306" s="42"/>
      <c r="E306" s="26"/>
      <c r="G306" s="54"/>
      <c r="N306" s="42"/>
    </row>
    <row r="307" spans="2:14" s="13" customFormat="1" x14ac:dyDescent="0.4">
      <c r="B307" s="25"/>
      <c r="D307" s="42"/>
      <c r="E307" s="26"/>
      <c r="G307" s="54"/>
      <c r="N307" s="42"/>
    </row>
    <row r="308" spans="2:14" s="13" customFormat="1" x14ac:dyDescent="0.4">
      <c r="B308" s="25"/>
      <c r="D308" s="42"/>
      <c r="E308" s="26"/>
      <c r="G308" s="54"/>
      <c r="N308" s="42"/>
    </row>
    <row r="309" spans="2:14" s="13" customFormat="1" x14ac:dyDescent="0.4">
      <c r="B309" s="25"/>
      <c r="D309" s="42"/>
      <c r="E309" s="26"/>
      <c r="G309" s="54"/>
      <c r="N309" s="42"/>
    </row>
    <row r="310" spans="2:14" s="13" customFormat="1" x14ac:dyDescent="0.4">
      <c r="B310" s="25"/>
      <c r="D310" s="42"/>
      <c r="E310" s="26"/>
      <c r="G310" s="54"/>
      <c r="N310" s="42"/>
    </row>
    <row r="311" spans="2:14" s="13" customFormat="1" x14ac:dyDescent="0.4">
      <c r="B311" s="25"/>
      <c r="D311" s="42"/>
      <c r="E311" s="26"/>
      <c r="G311" s="54"/>
      <c r="N311" s="42"/>
    </row>
    <row r="312" spans="2:14" s="13" customFormat="1" x14ac:dyDescent="0.4">
      <c r="B312" s="25"/>
      <c r="D312" s="42"/>
      <c r="E312" s="26"/>
      <c r="G312" s="54"/>
      <c r="N312" s="42"/>
    </row>
    <row r="313" spans="2:14" s="13" customFormat="1" x14ac:dyDescent="0.4">
      <c r="B313" s="25"/>
      <c r="D313" s="42"/>
      <c r="E313" s="26"/>
      <c r="G313" s="54"/>
      <c r="N313" s="42"/>
    </row>
    <row r="314" spans="2:14" s="13" customFormat="1" x14ac:dyDescent="0.4">
      <c r="B314" s="25"/>
      <c r="D314" s="42"/>
      <c r="E314" s="26"/>
      <c r="G314" s="54"/>
      <c r="N314" s="42"/>
    </row>
    <row r="315" spans="2:14" s="13" customFormat="1" x14ac:dyDescent="0.4">
      <c r="B315" s="25"/>
      <c r="D315" s="42"/>
      <c r="E315" s="26"/>
      <c r="G315" s="54"/>
      <c r="N315" s="42"/>
    </row>
    <row r="316" spans="2:14" s="13" customFormat="1" x14ac:dyDescent="0.4">
      <c r="B316" s="25"/>
      <c r="D316" s="42"/>
      <c r="E316" s="26"/>
      <c r="G316" s="54"/>
      <c r="N316" s="42"/>
    </row>
    <row r="317" spans="2:14" s="13" customFormat="1" x14ac:dyDescent="0.4">
      <c r="B317" s="25"/>
      <c r="D317" s="42"/>
      <c r="E317" s="26"/>
      <c r="G317" s="54"/>
      <c r="N317" s="42"/>
    </row>
    <row r="318" spans="2:14" s="13" customFormat="1" x14ac:dyDescent="0.4">
      <c r="B318" s="25"/>
      <c r="D318" s="42"/>
      <c r="E318" s="26"/>
      <c r="G318" s="54"/>
      <c r="N318" s="42"/>
    </row>
    <row r="319" spans="2:14" s="13" customFormat="1" x14ac:dyDescent="0.4">
      <c r="B319" s="25"/>
      <c r="D319" s="42"/>
      <c r="E319" s="26"/>
      <c r="G319" s="54"/>
      <c r="N319" s="42"/>
    </row>
    <row r="320" spans="2:14" s="13" customFormat="1" x14ac:dyDescent="0.4">
      <c r="B320" s="25"/>
      <c r="D320" s="42"/>
      <c r="E320" s="26"/>
      <c r="G320" s="54"/>
      <c r="N320" s="42"/>
    </row>
    <row r="321" spans="2:14" s="13" customFormat="1" x14ac:dyDescent="0.4">
      <c r="B321" s="25"/>
      <c r="D321" s="42"/>
      <c r="E321" s="26"/>
      <c r="G321" s="54"/>
      <c r="N321" s="42"/>
    </row>
    <row r="322" spans="2:14" s="13" customFormat="1" x14ac:dyDescent="0.4">
      <c r="B322" s="25"/>
      <c r="D322" s="42"/>
      <c r="E322" s="26"/>
      <c r="G322" s="54"/>
      <c r="N322" s="42"/>
    </row>
    <row r="323" spans="2:14" s="13" customFormat="1" x14ac:dyDescent="0.4">
      <c r="B323" s="25"/>
      <c r="D323" s="42"/>
      <c r="E323" s="26"/>
      <c r="G323" s="54"/>
      <c r="N323" s="42"/>
    </row>
    <row r="324" spans="2:14" s="13" customFormat="1" x14ac:dyDescent="0.4">
      <c r="B324" s="25"/>
      <c r="D324" s="42"/>
      <c r="E324" s="26"/>
      <c r="G324" s="54"/>
      <c r="N324" s="42"/>
    </row>
    <row r="325" spans="2:14" s="13" customFormat="1" x14ac:dyDescent="0.4">
      <c r="B325" s="25"/>
      <c r="D325" s="42"/>
      <c r="E325" s="26"/>
      <c r="G325" s="54"/>
      <c r="N325" s="42"/>
    </row>
    <row r="326" spans="2:14" s="13" customFormat="1" x14ac:dyDescent="0.4">
      <c r="B326" s="25"/>
      <c r="D326" s="42"/>
      <c r="E326" s="26"/>
      <c r="G326" s="54"/>
      <c r="N326" s="42"/>
    </row>
    <row r="327" spans="2:14" s="13" customFormat="1" x14ac:dyDescent="0.4">
      <c r="B327" s="25"/>
      <c r="D327" s="42"/>
      <c r="E327" s="26"/>
      <c r="G327" s="54"/>
      <c r="N327" s="42"/>
    </row>
    <row r="328" spans="2:14" s="13" customFormat="1" x14ac:dyDescent="0.4">
      <c r="B328" s="25"/>
      <c r="D328" s="42"/>
      <c r="E328" s="26"/>
      <c r="G328" s="54"/>
      <c r="N328" s="42"/>
    </row>
    <row r="329" spans="2:14" s="13" customFormat="1" x14ac:dyDescent="0.4">
      <c r="B329" s="25"/>
      <c r="D329" s="42"/>
      <c r="E329" s="26"/>
      <c r="G329" s="54"/>
      <c r="N329" s="42"/>
    </row>
    <row r="330" spans="2:14" s="13" customFormat="1" x14ac:dyDescent="0.4">
      <c r="B330" s="25"/>
      <c r="D330" s="42"/>
      <c r="E330" s="26"/>
      <c r="G330" s="54"/>
      <c r="N330" s="42"/>
    </row>
    <row r="331" spans="2:14" s="13" customFormat="1" x14ac:dyDescent="0.4">
      <c r="B331" s="25"/>
      <c r="D331" s="42"/>
      <c r="E331" s="26"/>
      <c r="G331" s="54"/>
      <c r="N331" s="42"/>
    </row>
    <row r="332" spans="2:14" s="13" customFormat="1" x14ac:dyDescent="0.4">
      <c r="B332" s="25"/>
      <c r="D332" s="42"/>
      <c r="E332" s="26"/>
      <c r="G332" s="54"/>
      <c r="N332" s="42"/>
    </row>
    <row r="333" spans="2:14" s="13" customFormat="1" x14ac:dyDescent="0.4">
      <c r="B333" s="25"/>
      <c r="D333" s="42"/>
      <c r="E333" s="26"/>
      <c r="G333" s="54"/>
      <c r="N333" s="42"/>
    </row>
    <row r="334" spans="2:14" s="13" customFormat="1" x14ac:dyDescent="0.4">
      <c r="B334" s="25"/>
      <c r="D334" s="42"/>
      <c r="E334" s="26"/>
      <c r="G334" s="54"/>
      <c r="N334" s="42"/>
    </row>
    <row r="335" spans="2:14" s="13" customFormat="1" x14ac:dyDescent="0.4">
      <c r="B335" s="25"/>
      <c r="D335" s="42"/>
      <c r="E335" s="26"/>
      <c r="G335" s="54"/>
      <c r="N335" s="42"/>
    </row>
    <row r="336" spans="2:14" s="13" customFormat="1" x14ac:dyDescent="0.4">
      <c r="B336" s="25"/>
      <c r="D336" s="42"/>
      <c r="E336" s="26"/>
      <c r="G336" s="54"/>
      <c r="N336" s="42"/>
    </row>
    <row r="337" spans="2:14" s="13" customFormat="1" x14ac:dyDescent="0.4">
      <c r="B337" s="25"/>
      <c r="D337" s="42"/>
      <c r="E337" s="26"/>
      <c r="G337" s="54"/>
      <c r="N337" s="42"/>
    </row>
    <row r="338" spans="2:14" s="13" customFormat="1" x14ac:dyDescent="0.4">
      <c r="B338" s="25"/>
      <c r="D338" s="42"/>
      <c r="E338" s="26"/>
      <c r="G338" s="54"/>
      <c r="N338" s="42"/>
    </row>
    <row r="339" spans="2:14" s="13" customFormat="1" x14ac:dyDescent="0.4">
      <c r="B339" s="25"/>
      <c r="D339" s="42"/>
      <c r="E339" s="26"/>
      <c r="G339" s="54"/>
      <c r="N339" s="42"/>
    </row>
    <row r="340" spans="2:14" s="13" customFormat="1" x14ac:dyDescent="0.4">
      <c r="B340" s="25"/>
      <c r="D340" s="42"/>
      <c r="E340" s="26"/>
      <c r="G340" s="54"/>
      <c r="N340" s="42"/>
    </row>
    <row r="341" spans="2:14" s="13" customFormat="1" x14ac:dyDescent="0.4">
      <c r="B341" s="25"/>
      <c r="D341" s="42"/>
      <c r="E341" s="26"/>
      <c r="G341" s="54"/>
      <c r="N341" s="42"/>
    </row>
    <row r="342" spans="2:14" s="13" customFormat="1" x14ac:dyDescent="0.4">
      <c r="B342" s="25"/>
      <c r="D342" s="42"/>
      <c r="E342" s="26"/>
      <c r="G342" s="54"/>
      <c r="N342" s="42"/>
    </row>
    <row r="343" spans="2:14" s="13" customFormat="1" x14ac:dyDescent="0.4">
      <c r="B343" s="25"/>
      <c r="D343" s="42"/>
      <c r="E343" s="26"/>
      <c r="G343" s="54"/>
      <c r="N343" s="42"/>
    </row>
    <row r="344" spans="2:14" s="13" customFormat="1" x14ac:dyDescent="0.4">
      <c r="B344" s="25"/>
      <c r="D344" s="42"/>
      <c r="E344" s="26"/>
      <c r="G344" s="54"/>
      <c r="N344" s="42"/>
    </row>
    <row r="345" spans="2:14" s="13" customFormat="1" x14ac:dyDescent="0.4">
      <c r="B345" s="25"/>
      <c r="D345" s="42"/>
      <c r="E345" s="26"/>
      <c r="G345" s="54"/>
      <c r="N345" s="42"/>
    </row>
    <row r="346" spans="2:14" s="13" customFormat="1" x14ac:dyDescent="0.4">
      <c r="B346" s="25"/>
      <c r="D346" s="42"/>
      <c r="E346" s="26"/>
      <c r="G346" s="54"/>
      <c r="N346" s="42"/>
    </row>
    <row r="347" spans="2:14" s="13" customFormat="1" x14ac:dyDescent="0.4">
      <c r="B347" s="25"/>
      <c r="D347" s="42"/>
      <c r="E347" s="26"/>
      <c r="G347" s="54"/>
      <c r="N347" s="42"/>
    </row>
    <row r="348" spans="2:14" s="13" customFormat="1" x14ac:dyDescent="0.4">
      <c r="B348" s="25"/>
      <c r="D348" s="42"/>
      <c r="E348" s="26"/>
      <c r="G348" s="54"/>
      <c r="N348" s="42"/>
    </row>
    <row r="349" spans="2:14" s="13" customFormat="1" x14ac:dyDescent="0.4">
      <c r="B349" s="25"/>
      <c r="D349" s="42"/>
      <c r="E349" s="26"/>
      <c r="G349" s="54"/>
      <c r="N349" s="42"/>
    </row>
    <row r="350" spans="2:14" s="13" customFormat="1" x14ac:dyDescent="0.4">
      <c r="B350" s="25"/>
      <c r="D350" s="42"/>
      <c r="E350" s="26"/>
      <c r="G350" s="54"/>
      <c r="N350" s="42"/>
    </row>
    <row r="351" spans="2:14" s="13" customFormat="1" x14ac:dyDescent="0.4">
      <c r="B351" s="25"/>
      <c r="D351" s="42"/>
      <c r="E351" s="26"/>
      <c r="G351" s="54"/>
      <c r="N351" s="42"/>
    </row>
    <row r="352" spans="2:14" s="13" customFormat="1" x14ac:dyDescent="0.4">
      <c r="B352" s="25"/>
      <c r="D352" s="42"/>
      <c r="E352" s="26"/>
      <c r="G352" s="54"/>
      <c r="N352" s="42"/>
    </row>
    <row r="353" spans="2:14" s="13" customFormat="1" x14ac:dyDescent="0.4">
      <c r="B353" s="25"/>
      <c r="D353" s="42"/>
      <c r="E353" s="26"/>
      <c r="G353" s="54"/>
      <c r="N353" s="42"/>
    </row>
    <row r="354" spans="2:14" s="13" customFormat="1" x14ac:dyDescent="0.4">
      <c r="B354" s="25"/>
      <c r="D354" s="42"/>
      <c r="E354" s="26"/>
      <c r="G354" s="54"/>
      <c r="N354" s="42"/>
    </row>
    <row r="355" spans="2:14" s="13" customFormat="1" x14ac:dyDescent="0.4">
      <c r="B355" s="25"/>
      <c r="D355" s="42"/>
      <c r="E355" s="26"/>
      <c r="G355" s="54"/>
      <c r="N355" s="42"/>
    </row>
    <row r="356" spans="2:14" s="13" customFormat="1" x14ac:dyDescent="0.4">
      <c r="B356" s="25"/>
      <c r="D356" s="42"/>
      <c r="E356" s="26"/>
      <c r="G356" s="54"/>
      <c r="N356" s="42"/>
    </row>
    <row r="357" spans="2:14" s="13" customFormat="1" x14ac:dyDescent="0.4">
      <c r="B357" s="25"/>
      <c r="D357" s="42"/>
      <c r="E357" s="26"/>
      <c r="G357" s="54"/>
      <c r="N357" s="42"/>
    </row>
    <row r="358" spans="2:14" s="13" customFormat="1" x14ac:dyDescent="0.4">
      <c r="B358" s="25"/>
      <c r="D358" s="42"/>
      <c r="E358" s="26"/>
      <c r="G358" s="54"/>
      <c r="N358" s="42"/>
    </row>
    <row r="359" spans="2:14" s="13" customFormat="1" x14ac:dyDescent="0.4">
      <c r="B359" s="25"/>
      <c r="D359" s="42"/>
      <c r="E359" s="26"/>
      <c r="G359" s="54"/>
      <c r="N359" s="42"/>
    </row>
    <row r="360" spans="2:14" s="13" customFormat="1" x14ac:dyDescent="0.4">
      <c r="B360" s="25"/>
      <c r="D360" s="42"/>
      <c r="E360" s="26"/>
      <c r="G360" s="54"/>
      <c r="N360" s="42"/>
    </row>
    <row r="361" spans="2:14" s="13" customFormat="1" x14ac:dyDescent="0.4">
      <c r="B361" s="25"/>
      <c r="D361" s="42"/>
      <c r="E361" s="26"/>
      <c r="G361" s="54"/>
      <c r="N361" s="42"/>
    </row>
    <row r="362" spans="2:14" s="13" customFormat="1" x14ac:dyDescent="0.4">
      <c r="B362" s="25"/>
      <c r="D362" s="42"/>
      <c r="E362" s="26"/>
      <c r="G362" s="54"/>
      <c r="N362" s="42"/>
    </row>
    <row r="363" spans="2:14" s="13" customFormat="1" x14ac:dyDescent="0.4">
      <c r="B363" s="25"/>
      <c r="D363" s="42"/>
      <c r="E363" s="26"/>
      <c r="G363" s="54"/>
      <c r="N363" s="42"/>
    </row>
    <row r="364" spans="2:14" s="13" customFormat="1" x14ac:dyDescent="0.4">
      <c r="B364" s="25"/>
      <c r="D364" s="42"/>
      <c r="E364" s="26"/>
      <c r="G364" s="54"/>
      <c r="N364" s="42"/>
    </row>
    <row r="365" spans="2:14" s="13" customFormat="1" x14ac:dyDescent="0.4">
      <c r="B365" s="25"/>
      <c r="D365" s="42"/>
      <c r="E365" s="26"/>
      <c r="G365" s="54"/>
      <c r="N365" s="42"/>
    </row>
    <row r="366" spans="2:14" s="13" customFormat="1" x14ac:dyDescent="0.4">
      <c r="B366" s="25"/>
      <c r="D366" s="42"/>
      <c r="E366" s="26"/>
      <c r="G366" s="54"/>
      <c r="N366" s="42"/>
    </row>
    <row r="367" spans="2:14" s="13" customFormat="1" x14ac:dyDescent="0.4">
      <c r="B367" s="25"/>
      <c r="D367" s="42"/>
      <c r="E367" s="26"/>
      <c r="G367" s="54"/>
      <c r="N367" s="42"/>
    </row>
    <row r="368" spans="2:14" s="13" customFormat="1" x14ac:dyDescent="0.4">
      <c r="B368" s="25"/>
      <c r="D368" s="42"/>
      <c r="E368" s="26"/>
      <c r="G368" s="54"/>
      <c r="N368" s="42"/>
    </row>
    <row r="369" spans="2:14" s="13" customFormat="1" x14ac:dyDescent="0.4">
      <c r="B369" s="25"/>
      <c r="D369" s="42"/>
      <c r="E369" s="26"/>
      <c r="G369" s="54"/>
      <c r="N369" s="42"/>
    </row>
    <row r="370" spans="2:14" s="13" customFormat="1" x14ac:dyDescent="0.4">
      <c r="B370" s="25"/>
      <c r="D370" s="42"/>
      <c r="E370" s="26"/>
      <c r="G370" s="54"/>
      <c r="N370" s="42"/>
    </row>
    <row r="371" spans="2:14" s="13" customFormat="1" x14ac:dyDescent="0.4">
      <c r="B371" s="25"/>
      <c r="D371" s="42"/>
      <c r="E371" s="26"/>
      <c r="G371" s="54"/>
      <c r="N371" s="42"/>
    </row>
    <row r="372" spans="2:14" s="13" customFormat="1" x14ac:dyDescent="0.4">
      <c r="B372" s="25"/>
      <c r="D372" s="42"/>
      <c r="E372" s="26"/>
      <c r="G372" s="54"/>
      <c r="N372" s="42"/>
    </row>
    <row r="373" spans="2:14" s="13" customFormat="1" x14ac:dyDescent="0.4">
      <c r="B373" s="25"/>
      <c r="D373" s="42"/>
      <c r="E373" s="26"/>
      <c r="G373" s="54"/>
      <c r="N373" s="42"/>
    </row>
    <row r="374" spans="2:14" s="13" customFormat="1" x14ac:dyDescent="0.4">
      <c r="B374" s="25"/>
      <c r="D374" s="42"/>
      <c r="E374" s="26"/>
      <c r="G374" s="54"/>
      <c r="N374" s="42"/>
    </row>
    <row r="375" spans="2:14" s="13" customFormat="1" x14ac:dyDescent="0.4">
      <c r="B375" s="25"/>
      <c r="D375" s="42"/>
      <c r="E375" s="26"/>
      <c r="G375" s="54"/>
      <c r="N375" s="42"/>
    </row>
    <row r="376" spans="2:14" s="13" customFormat="1" x14ac:dyDescent="0.4">
      <c r="B376" s="25"/>
      <c r="D376" s="42"/>
      <c r="E376" s="26"/>
      <c r="G376" s="54"/>
      <c r="N376" s="42"/>
    </row>
    <row r="377" spans="2:14" s="13" customFormat="1" x14ac:dyDescent="0.4">
      <c r="B377" s="25"/>
      <c r="D377" s="42"/>
      <c r="E377" s="26"/>
      <c r="G377" s="54"/>
      <c r="N377" s="42"/>
    </row>
    <row r="378" spans="2:14" s="13" customFormat="1" x14ac:dyDescent="0.4">
      <c r="B378" s="25"/>
      <c r="D378" s="42"/>
      <c r="E378" s="26"/>
      <c r="G378" s="54"/>
      <c r="N378" s="42"/>
    </row>
    <row r="379" spans="2:14" s="13" customFormat="1" x14ac:dyDescent="0.4">
      <c r="B379" s="25"/>
      <c r="D379" s="42"/>
      <c r="E379" s="26"/>
      <c r="G379" s="54"/>
      <c r="N379" s="42"/>
    </row>
    <row r="380" spans="2:14" s="13" customFormat="1" x14ac:dyDescent="0.4">
      <c r="B380" s="25"/>
      <c r="D380" s="42"/>
      <c r="E380" s="26"/>
      <c r="G380" s="54"/>
      <c r="N380" s="42"/>
    </row>
    <row r="381" spans="2:14" s="13" customFormat="1" x14ac:dyDescent="0.4">
      <c r="B381" s="25"/>
      <c r="D381" s="42"/>
      <c r="E381" s="26"/>
      <c r="G381" s="54"/>
      <c r="N381" s="42"/>
    </row>
    <row r="382" spans="2:14" s="13" customFormat="1" x14ac:dyDescent="0.4">
      <c r="B382" s="25"/>
      <c r="D382" s="42"/>
      <c r="E382" s="26"/>
      <c r="G382" s="54"/>
      <c r="N382" s="42"/>
    </row>
    <row r="383" spans="2:14" s="13" customFormat="1" x14ac:dyDescent="0.4">
      <c r="B383" s="25"/>
      <c r="D383" s="42"/>
      <c r="E383" s="26"/>
      <c r="G383" s="54"/>
      <c r="N383" s="42"/>
    </row>
    <row r="384" spans="2:14" s="13" customFormat="1" x14ac:dyDescent="0.4">
      <c r="B384" s="25"/>
      <c r="D384" s="42"/>
      <c r="E384" s="26"/>
      <c r="G384" s="54"/>
      <c r="N384" s="42"/>
    </row>
    <row r="385" spans="2:14" s="13" customFormat="1" x14ac:dyDescent="0.4">
      <c r="B385" s="25"/>
      <c r="D385" s="42"/>
      <c r="E385" s="26"/>
      <c r="G385" s="54"/>
      <c r="N385" s="42"/>
    </row>
    <row r="386" spans="2:14" s="13" customFormat="1" x14ac:dyDescent="0.4">
      <c r="B386" s="25"/>
      <c r="D386" s="42"/>
      <c r="E386" s="26"/>
      <c r="G386" s="54"/>
      <c r="N386" s="42"/>
    </row>
    <row r="387" spans="2:14" s="13" customFormat="1" x14ac:dyDescent="0.4">
      <c r="B387" s="25"/>
      <c r="D387" s="42"/>
      <c r="E387" s="26"/>
      <c r="G387" s="54"/>
      <c r="N387" s="42"/>
    </row>
    <row r="388" spans="2:14" s="13" customFormat="1" x14ac:dyDescent="0.4">
      <c r="B388" s="25"/>
      <c r="D388" s="42"/>
      <c r="E388" s="26"/>
      <c r="G388" s="54"/>
      <c r="N388" s="42"/>
    </row>
    <row r="389" spans="2:14" s="13" customFormat="1" x14ac:dyDescent="0.4">
      <c r="B389" s="25"/>
      <c r="D389" s="42"/>
      <c r="E389" s="26"/>
      <c r="G389" s="54"/>
      <c r="N389" s="42"/>
    </row>
    <row r="390" spans="2:14" s="13" customFormat="1" x14ac:dyDescent="0.4">
      <c r="B390" s="25"/>
      <c r="D390" s="42"/>
      <c r="E390" s="26"/>
      <c r="G390" s="54"/>
      <c r="N390" s="42"/>
    </row>
    <row r="391" spans="2:14" s="13" customFormat="1" x14ac:dyDescent="0.4">
      <c r="B391" s="25"/>
      <c r="D391" s="42"/>
      <c r="E391" s="26"/>
      <c r="G391" s="54"/>
      <c r="N391" s="42"/>
    </row>
    <row r="392" spans="2:14" s="13" customFormat="1" x14ac:dyDescent="0.4">
      <c r="B392" s="25"/>
      <c r="D392" s="42"/>
      <c r="E392" s="26"/>
      <c r="G392" s="54"/>
      <c r="N392" s="42"/>
    </row>
    <row r="393" spans="2:14" s="13" customFormat="1" x14ac:dyDescent="0.4">
      <c r="B393" s="25"/>
      <c r="D393" s="42"/>
      <c r="E393" s="26"/>
      <c r="G393" s="54"/>
      <c r="N393" s="42"/>
    </row>
    <row r="394" spans="2:14" s="13" customFormat="1" x14ac:dyDescent="0.4">
      <c r="B394" s="25"/>
      <c r="D394" s="42"/>
      <c r="E394" s="26"/>
      <c r="G394" s="54"/>
      <c r="N394" s="42"/>
    </row>
    <row r="395" spans="2:14" s="13" customFormat="1" x14ac:dyDescent="0.4">
      <c r="B395" s="25"/>
      <c r="D395" s="42"/>
      <c r="E395" s="26"/>
      <c r="G395" s="54"/>
      <c r="N395" s="42"/>
    </row>
    <row r="396" spans="2:14" s="13" customFormat="1" x14ac:dyDescent="0.4">
      <c r="B396" s="25"/>
      <c r="D396" s="42"/>
      <c r="E396" s="26"/>
      <c r="G396" s="54"/>
      <c r="N396" s="42"/>
    </row>
    <row r="397" spans="2:14" s="13" customFormat="1" x14ac:dyDescent="0.4">
      <c r="B397" s="25"/>
      <c r="D397" s="42"/>
      <c r="E397" s="26"/>
      <c r="G397" s="54"/>
      <c r="N397" s="42"/>
    </row>
    <row r="398" spans="2:14" s="13" customFormat="1" x14ac:dyDescent="0.4">
      <c r="B398" s="25"/>
      <c r="D398" s="42"/>
      <c r="E398" s="26"/>
      <c r="G398" s="54"/>
      <c r="N398" s="42"/>
    </row>
    <row r="399" spans="2:14" s="13" customFormat="1" x14ac:dyDescent="0.4">
      <c r="B399" s="25"/>
      <c r="D399" s="42"/>
      <c r="E399" s="26"/>
      <c r="G399" s="54"/>
      <c r="N399" s="42"/>
    </row>
    <row r="400" spans="2:14" s="13" customFormat="1" x14ac:dyDescent="0.4">
      <c r="B400" s="25"/>
      <c r="D400" s="42"/>
      <c r="E400" s="26"/>
      <c r="G400" s="54"/>
      <c r="N400" s="42"/>
    </row>
    <row r="401" spans="2:14" s="13" customFormat="1" x14ac:dyDescent="0.4">
      <c r="B401" s="25"/>
      <c r="D401" s="42"/>
      <c r="E401" s="26"/>
      <c r="G401" s="54"/>
      <c r="N401" s="42"/>
    </row>
    <row r="402" spans="2:14" s="13" customFormat="1" x14ac:dyDescent="0.4">
      <c r="B402" s="25"/>
      <c r="D402" s="42"/>
      <c r="E402" s="26"/>
      <c r="G402" s="54"/>
      <c r="N402" s="42"/>
    </row>
    <row r="403" spans="2:14" s="13" customFormat="1" x14ac:dyDescent="0.4">
      <c r="B403" s="25"/>
      <c r="D403" s="42"/>
      <c r="E403" s="26"/>
      <c r="G403" s="54"/>
      <c r="N403" s="42"/>
    </row>
    <row r="404" spans="2:14" s="13" customFormat="1" x14ac:dyDescent="0.4">
      <c r="B404" s="25"/>
      <c r="D404" s="42"/>
      <c r="E404" s="26"/>
      <c r="G404" s="54"/>
      <c r="N404" s="42"/>
    </row>
    <row r="405" spans="2:14" s="13" customFormat="1" x14ac:dyDescent="0.4">
      <c r="B405" s="25"/>
      <c r="D405" s="42"/>
      <c r="E405" s="26"/>
      <c r="G405" s="54"/>
      <c r="N405" s="42"/>
    </row>
    <row r="406" spans="2:14" s="13" customFormat="1" x14ac:dyDescent="0.4">
      <c r="B406" s="25"/>
      <c r="D406" s="42"/>
      <c r="E406" s="26"/>
      <c r="G406" s="54"/>
      <c r="N406" s="42"/>
    </row>
    <row r="407" spans="2:14" s="13" customFormat="1" x14ac:dyDescent="0.4">
      <c r="B407" s="25"/>
      <c r="D407" s="42"/>
      <c r="E407" s="26"/>
      <c r="G407" s="54"/>
      <c r="N407" s="42"/>
    </row>
    <row r="408" spans="2:14" s="13" customFormat="1" x14ac:dyDescent="0.4">
      <c r="B408" s="25"/>
      <c r="D408" s="42"/>
      <c r="E408" s="26"/>
      <c r="G408" s="54"/>
      <c r="N408" s="42"/>
    </row>
    <row r="409" spans="2:14" s="13" customFormat="1" x14ac:dyDescent="0.4">
      <c r="B409" s="25"/>
      <c r="D409" s="42"/>
      <c r="E409" s="26"/>
      <c r="G409" s="54"/>
      <c r="N409" s="42"/>
    </row>
    <row r="410" spans="2:14" s="13" customFormat="1" x14ac:dyDescent="0.4">
      <c r="B410" s="25"/>
      <c r="D410" s="42"/>
      <c r="E410" s="26"/>
      <c r="G410" s="54"/>
      <c r="N410" s="42"/>
    </row>
    <row r="411" spans="2:14" s="13" customFormat="1" x14ac:dyDescent="0.4">
      <c r="B411" s="25"/>
      <c r="D411" s="42"/>
      <c r="E411" s="26"/>
      <c r="G411" s="54"/>
      <c r="N411" s="42"/>
    </row>
    <row r="412" spans="2:14" s="13" customFormat="1" x14ac:dyDescent="0.4">
      <c r="B412" s="25"/>
      <c r="D412" s="42"/>
      <c r="E412" s="26"/>
      <c r="G412" s="54"/>
      <c r="N412" s="42"/>
    </row>
    <row r="413" spans="2:14" s="13" customFormat="1" x14ac:dyDescent="0.4">
      <c r="B413" s="25"/>
      <c r="D413" s="42"/>
      <c r="E413" s="26"/>
      <c r="G413" s="54"/>
      <c r="N413" s="42"/>
    </row>
    <row r="414" spans="2:14" s="13" customFormat="1" x14ac:dyDescent="0.4">
      <c r="B414" s="25"/>
      <c r="D414" s="42"/>
      <c r="E414" s="26"/>
      <c r="G414" s="54"/>
      <c r="N414" s="42"/>
    </row>
    <row r="415" spans="2:14" s="13" customFormat="1" x14ac:dyDescent="0.4">
      <c r="B415" s="25"/>
      <c r="D415" s="42"/>
      <c r="E415" s="26"/>
      <c r="G415" s="54"/>
      <c r="N415" s="42"/>
    </row>
    <row r="416" spans="2:14" s="13" customFormat="1" x14ac:dyDescent="0.4">
      <c r="B416" s="25"/>
      <c r="D416" s="42"/>
      <c r="E416" s="26"/>
      <c r="G416" s="54"/>
      <c r="N416" s="42"/>
    </row>
    <row r="417" spans="2:14" s="13" customFormat="1" x14ac:dyDescent="0.4">
      <c r="B417" s="25"/>
      <c r="D417" s="42"/>
      <c r="E417" s="26"/>
      <c r="G417" s="54"/>
      <c r="N417" s="42"/>
    </row>
    <row r="418" spans="2:14" s="13" customFormat="1" x14ac:dyDescent="0.4">
      <c r="B418" s="25"/>
      <c r="D418" s="42"/>
      <c r="E418" s="26"/>
      <c r="G418" s="54"/>
      <c r="N418" s="42"/>
    </row>
    <row r="419" spans="2:14" s="13" customFormat="1" x14ac:dyDescent="0.4">
      <c r="B419" s="25"/>
      <c r="D419" s="42"/>
      <c r="E419" s="26"/>
      <c r="G419" s="54"/>
      <c r="N419" s="42"/>
    </row>
    <row r="420" spans="2:14" s="13" customFormat="1" x14ac:dyDescent="0.4">
      <c r="B420" s="25"/>
      <c r="D420" s="42"/>
      <c r="E420" s="26"/>
      <c r="G420" s="54"/>
      <c r="N420" s="42"/>
    </row>
    <row r="421" spans="2:14" s="13" customFormat="1" x14ac:dyDescent="0.4">
      <c r="B421" s="25"/>
      <c r="D421" s="42"/>
      <c r="E421" s="26"/>
      <c r="G421" s="54"/>
      <c r="N421" s="42"/>
    </row>
    <row r="422" spans="2:14" s="13" customFormat="1" x14ac:dyDescent="0.4">
      <c r="B422" s="25"/>
      <c r="D422" s="42"/>
      <c r="E422" s="26"/>
      <c r="G422" s="54"/>
      <c r="N422" s="42"/>
    </row>
    <row r="423" spans="2:14" s="13" customFormat="1" x14ac:dyDescent="0.4">
      <c r="B423" s="25"/>
      <c r="D423" s="42"/>
      <c r="E423" s="26"/>
      <c r="G423" s="54"/>
      <c r="N423" s="42"/>
    </row>
    <row r="424" spans="2:14" s="13" customFormat="1" x14ac:dyDescent="0.4">
      <c r="B424" s="25"/>
      <c r="D424" s="42"/>
      <c r="E424" s="26"/>
      <c r="G424" s="54"/>
      <c r="N424" s="42"/>
    </row>
    <row r="425" spans="2:14" s="13" customFormat="1" x14ac:dyDescent="0.4">
      <c r="B425" s="25"/>
      <c r="D425" s="42"/>
      <c r="E425" s="26"/>
      <c r="G425" s="54"/>
      <c r="N425" s="42"/>
    </row>
    <row r="426" spans="2:14" s="13" customFormat="1" x14ac:dyDescent="0.4">
      <c r="B426" s="25"/>
      <c r="D426" s="42"/>
      <c r="E426" s="26"/>
      <c r="G426" s="54"/>
      <c r="N426" s="42"/>
    </row>
    <row r="427" spans="2:14" s="13" customFormat="1" x14ac:dyDescent="0.4">
      <c r="B427" s="25"/>
      <c r="D427" s="42"/>
      <c r="E427" s="26"/>
      <c r="G427" s="54"/>
      <c r="N427" s="42"/>
    </row>
    <row r="428" spans="2:14" s="13" customFormat="1" x14ac:dyDescent="0.4">
      <c r="B428" s="25"/>
      <c r="D428" s="42"/>
      <c r="E428" s="26"/>
      <c r="G428" s="54"/>
      <c r="N428" s="42"/>
    </row>
    <row r="429" spans="2:14" s="13" customFormat="1" x14ac:dyDescent="0.4">
      <c r="B429" s="25"/>
      <c r="D429" s="42"/>
      <c r="E429" s="26"/>
      <c r="G429" s="54"/>
      <c r="N429" s="42"/>
    </row>
    <row r="430" spans="2:14" s="13" customFormat="1" x14ac:dyDescent="0.4">
      <c r="B430" s="25"/>
      <c r="D430" s="42"/>
      <c r="E430" s="26"/>
      <c r="G430" s="54"/>
      <c r="N430" s="42"/>
    </row>
    <row r="431" spans="2:14" s="13" customFormat="1" x14ac:dyDescent="0.4">
      <c r="B431" s="25"/>
      <c r="D431" s="42"/>
      <c r="E431" s="26"/>
      <c r="G431" s="54"/>
      <c r="N431" s="42"/>
    </row>
    <row r="432" spans="2:14" s="13" customFormat="1" x14ac:dyDescent="0.4">
      <c r="B432" s="25"/>
      <c r="D432" s="42"/>
      <c r="E432" s="26"/>
      <c r="G432" s="54"/>
      <c r="N432" s="42"/>
    </row>
    <row r="433" spans="2:14" s="13" customFormat="1" x14ac:dyDescent="0.4">
      <c r="B433" s="25"/>
      <c r="D433" s="42"/>
      <c r="E433" s="26"/>
      <c r="G433" s="54"/>
      <c r="N433" s="42"/>
    </row>
    <row r="434" spans="2:14" s="13" customFormat="1" x14ac:dyDescent="0.4">
      <c r="B434" s="25"/>
      <c r="D434" s="42"/>
      <c r="E434" s="26"/>
      <c r="G434" s="54"/>
      <c r="N434" s="42"/>
    </row>
    <row r="435" spans="2:14" s="13" customFormat="1" x14ac:dyDescent="0.4">
      <c r="B435" s="25"/>
      <c r="D435" s="42"/>
      <c r="E435" s="26"/>
      <c r="G435" s="54"/>
      <c r="N435" s="42"/>
    </row>
    <row r="436" spans="2:14" s="13" customFormat="1" x14ac:dyDescent="0.4">
      <c r="B436" s="25"/>
      <c r="D436" s="42"/>
      <c r="E436" s="26"/>
      <c r="G436" s="54"/>
      <c r="N436" s="42"/>
    </row>
    <row r="437" spans="2:14" s="13" customFormat="1" x14ac:dyDescent="0.4">
      <c r="B437" s="25"/>
      <c r="D437" s="42"/>
      <c r="E437" s="26"/>
      <c r="G437" s="54"/>
      <c r="N437" s="42"/>
    </row>
    <row r="438" spans="2:14" s="13" customFormat="1" x14ac:dyDescent="0.4">
      <c r="B438" s="25"/>
      <c r="D438" s="42"/>
      <c r="E438" s="26"/>
      <c r="G438" s="54"/>
      <c r="N438" s="42"/>
    </row>
    <row r="439" spans="2:14" s="13" customFormat="1" x14ac:dyDescent="0.4">
      <c r="B439" s="25"/>
      <c r="D439" s="42"/>
      <c r="E439" s="26"/>
      <c r="G439" s="54"/>
      <c r="N439" s="42"/>
    </row>
    <row r="440" spans="2:14" s="13" customFormat="1" x14ac:dyDescent="0.4">
      <c r="B440" s="25"/>
      <c r="D440" s="42"/>
      <c r="E440" s="26"/>
      <c r="G440" s="54"/>
      <c r="N440" s="42"/>
    </row>
    <row r="441" spans="2:14" s="13" customFormat="1" x14ac:dyDescent="0.4">
      <c r="B441" s="25"/>
      <c r="D441" s="42"/>
      <c r="E441" s="26"/>
      <c r="G441" s="54"/>
      <c r="N441" s="42"/>
    </row>
    <row r="442" spans="2:14" s="13" customFormat="1" x14ac:dyDescent="0.4">
      <c r="B442" s="25"/>
      <c r="D442" s="42"/>
      <c r="E442" s="26"/>
      <c r="G442" s="54"/>
      <c r="N442" s="42"/>
    </row>
    <row r="443" spans="2:14" s="13" customFormat="1" x14ac:dyDescent="0.4">
      <c r="B443" s="25"/>
      <c r="D443" s="42"/>
      <c r="E443" s="26"/>
      <c r="G443" s="54"/>
      <c r="N443" s="42"/>
    </row>
    <row r="444" spans="2:14" s="13" customFormat="1" x14ac:dyDescent="0.4">
      <c r="B444" s="25"/>
      <c r="D444" s="42"/>
      <c r="E444" s="26"/>
      <c r="G444" s="54"/>
      <c r="N444" s="42"/>
    </row>
    <row r="445" spans="2:14" s="13" customFormat="1" x14ac:dyDescent="0.4">
      <c r="B445" s="25"/>
      <c r="D445" s="42"/>
      <c r="E445" s="26"/>
      <c r="G445" s="54"/>
      <c r="N445" s="42"/>
    </row>
    <row r="446" spans="2:14" s="13" customFormat="1" x14ac:dyDescent="0.4">
      <c r="B446" s="25"/>
      <c r="D446" s="42"/>
      <c r="E446" s="26"/>
      <c r="G446" s="54"/>
      <c r="N446" s="42"/>
    </row>
    <row r="447" spans="2:14" s="13" customFormat="1" x14ac:dyDescent="0.4">
      <c r="B447" s="25"/>
      <c r="D447" s="42"/>
      <c r="E447" s="26"/>
      <c r="G447" s="54"/>
      <c r="N447" s="42"/>
    </row>
    <row r="448" spans="2:14" s="13" customFormat="1" x14ac:dyDescent="0.4">
      <c r="B448" s="25"/>
      <c r="D448" s="42"/>
      <c r="E448" s="26"/>
      <c r="G448" s="54"/>
      <c r="N448" s="42"/>
    </row>
    <row r="449" spans="2:14" s="13" customFormat="1" x14ac:dyDescent="0.4">
      <c r="B449" s="25"/>
      <c r="D449" s="42"/>
      <c r="E449" s="26"/>
      <c r="G449" s="54"/>
      <c r="N449" s="42"/>
    </row>
    <row r="450" spans="2:14" s="13" customFormat="1" x14ac:dyDescent="0.4">
      <c r="B450" s="25"/>
      <c r="D450" s="42"/>
      <c r="E450" s="26"/>
      <c r="G450" s="54"/>
      <c r="N450" s="42"/>
    </row>
    <row r="451" spans="2:14" s="13" customFormat="1" x14ac:dyDescent="0.4">
      <c r="B451" s="25"/>
      <c r="D451" s="42"/>
      <c r="E451" s="26"/>
      <c r="G451" s="54"/>
      <c r="N451" s="42"/>
    </row>
    <row r="452" spans="2:14" s="13" customFormat="1" x14ac:dyDescent="0.4">
      <c r="B452" s="25"/>
      <c r="D452" s="42"/>
      <c r="E452" s="26"/>
      <c r="G452" s="54"/>
      <c r="N452" s="42"/>
    </row>
    <row r="453" spans="2:14" s="13" customFormat="1" x14ac:dyDescent="0.4">
      <c r="B453" s="25"/>
      <c r="D453" s="42"/>
      <c r="E453" s="26"/>
      <c r="G453" s="54"/>
      <c r="N453" s="42"/>
    </row>
    <row r="454" spans="2:14" s="13" customFormat="1" x14ac:dyDescent="0.4">
      <c r="B454" s="25"/>
      <c r="D454" s="42"/>
      <c r="E454" s="26"/>
      <c r="G454" s="54"/>
      <c r="N454" s="42"/>
    </row>
    <row r="455" spans="2:14" s="13" customFormat="1" x14ac:dyDescent="0.4">
      <c r="B455" s="25"/>
      <c r="D455" s="42"/>
      <c r="E455" s="26"/>
      <c r="G455" s="54"/>
      <c r="N455" s="42"/>
    </row>
    <row r="456" spans="2:14" s="13" customFormat="1" x14ac:dyDescent="0.4">
      <c r="B456" s="25"/>
      <c r="D456" s="42"/>
      <c r="E456" s="26"/>
      <c r="G456" s="54"/>
      <c r="N456" s="42"/>
    </row>
    <row r="457" spans="2:14" s="13" customFormat="1" x14ac:dyDescent="0.4">
      <c r="B457" s="25"/>
      <c r="D457" s="42"/>
      <c r="E457" s="26"/>
      <c r="G457" s="54"/>
      <c r="N457" s="42"/>
    </row>
    <row r="458" spans="2:14" s="13" customFormat="1" x14ac:dyDescent="0.4">
      <c r="B458" s="25"/>
      <c r="D458" s="42"/>
      <c r="E458" s="26"/>
      <c r="G458" s="54"/>
      <c r="N458" s="42"/>
    </row>
    <row r="459" spans="2:14" s="13" customFormat="1" x14ac:dyDescent="0.4">
      <c r="B459" s="25"/>
      <c r="D459" s="42"/>
      <c r="E459" s="26"/>
      <c r="G459" s="54"/>
      <c r="N459" s="42"/>
    </row>
    <row r="460" spans="2:14" s="13" customFormat="1" x14ac:dyDescent="0.4">
      <c r="B460" s="25"/>
      <c r="D460" s="42"/>
      <c r="E460" s="26"/>
      <c r="G460" s="54"/>
      <c r="N460" s="42"/>
    </row>
    <row r="461" spans="2:14" s="13" customFormat="1" x14ac:dyDescent="0.4">
      <c r="B461" s="25"/>
      <c r="D461" s="42"/>
      <c r="E461" s="26"/>
      <c r="G461" s="54"/>
      <c r="N461" s="42"/>
    </row>
    <row r="462" spans="2:14" s="13" customFormat="1" x14ac:dyDescent="0.4">
      <c r="B462" s="25"/>
      <c r="D462" s="42"/>
      <c r="E462" s="26"/>
      <c r="G462" s="54"/>
      <c r="N462" s="42"/>
    </row>
    <row r="463" spans="2:14" s="13" customFormat="1" x14ac:dyDescent="0.4">
      <c r="B463" s="25"/>
      <c r="D463" s="42"/>
      <c r="E463" s="26"/>
      <c r="G463" s="54"/>
      <c r="N463" s="42"/>
    </row>
    <row r="464" spans="2:14" s="13" customFormat="1" x14ac:dyDescent="0.4">
      <c r="B464" s="25"/>
      <c r="D464" s="42"/>
      <c r="E464" s="26"/>
      <c r="G464" s="54"/>
      <c r="N464" s="42"/>
    </row>
    <row r="465" spans="2:14" s="13" customFormat="1" x14ac:dyDescent="0.4">
      <c r="B465" s="25"/>
      <c r="D465" s="42"/>
      <c r="E465" s="26"/>
      <c r="G465" s="54"/>
      <c r="N465" s="42"/>
    </row>
    <row r="466" spans="2:14" s="13" customFormat="1" x14ac:dyDescent="0.4">
      <c r="B466" s="25"/>
      <c r="D466" s="42"/>
      <c r="E466" s="26"/>
      <c r="G466" s="54"/>
      <c r="N466" s="42"/>
    </row>
    <row r="467" spans="2:14" s="13" customFormat="1" x14ac:dyDescent="0.4">
      <c r="B467" s="25"/>
      <c r="D467" s="42"/>
      <c r="E467" s="26"/>
      <c r="G467" s="54"/>
      <c r="N467" s="42"/>
    </row>
    <row r="468" spans="2:14" s="13" customFormat="1" x14ac:dyDescent="0.4">
      <c r="B468" s="25"/>
      <c r="D468" s="42"/>
      <c r="E468" s="26"/>
      <c r="G468" s="54"/>
      <c r="N468" s="42"/>
    </row>
    <row r="469" spans="2:14" s="13" customFormat="1" x14ac:dyDescent="0.4">
      <c r="B469" s="25"/>
      <c r="D469" s="42"/>
      <c r="E469" s="26"/>
      <c r="G469" s="54"/>
      <c r="N469" s="42"/>
    </row>
    <row r="470" spans="2:14" s="13" customFormat="1" x14ac:dyDescent="0.4">
      <c r="B470" s="25"/>
      <c r="D470" s="42"/>
      <c r="E470" s="26"/>
      <c r="G470" s="54"/>
      <c r="N470" s="42"/>
    </row>
    <row r="471" spans="2:14" s="13" customFormat="1" x14ac:dyDescent="0.4">
      <c r="B471" s="25"/>
      <c r="D471" s="42"/>
      <c r="E471" s="26"/>
      <c r="G471" s="54"/>
      <c r="N471" s="42"/>
    </row>
    <row r="472" spans="2:14" s="13" customFormat="1" x14ac:dyDescent="0.4">
      <c r="B472" s="25"/>
      <c r="D472" s="42"/>
      <c r="E472" s="26"/>
      <c r="G472" s="54"/>
      <c r="N472" s="42"/>
    </row>
    <row r="473" spans="2:14" s="13" customFormat="1" x14ac:dyDescent="0.4">
      <c r="B473" s="25"/>
      <c r="D473" s="42"/>
      <c r="E473" s="26"/>
      <c r="G473" s="54"/>
      <c r="N473" s="42"/>
    </row>
    <row r="474" spans="2:14" s="13" customFormat="1" x14ac:dyDescent="0.4">
      <c r="B474" s="25"/>
      <c r="D474" s="42"/>
      <c r="E474" s="26"/>
      <c r="G474" s="54"/>
      <c r="N474" s="42"/>
    </row>
    <row r="475" spans="2:14" s="13" customFormat="1" x14ac:dyDescent="0.4">
      <c r="B475" s="25"/>
      <c r="D475" s="42"/>
      <c r="E475" s="26"/>
      <c r="G475" s="54"/>
      <c r="N475" s="42"/>
    </row>
    <row r="476" spans="2:14" s="13" customFormat="1" x14ac:dyDescent="0.4">
      <c r="B476" s="25"/>
      <c r="D476" s="42"/>
      <c r="E476" s="26"/>
      <c r="G476" s="54"/>
      <c r="N476" s="42"/>
    </row>
    <row r="477" spans="2:14" s="13" customFormat="1" x14ac:dyDescent="0.4">
      <c r="B477" s="25"/>
      <c r="D477" s="42"/>
      <c r="E477" s="26"/>
      <c r="G477" s="54"/>
      <c r="N477" s="42"/>
    </row>
    <row r="478" spans="2:14" s="13" customFormat="1" x14ac:dyDescent="0.4">
      <c r="B478" s="25"/>
      <c r="D478" s="42"/>
      <c r="E478" s="26"/>
      <c r="G478" s="54"/>
      <c r="N478" s="42"/>
    </row>
    <row r="479" spans="2:14" s="13" customFormat="1" x14ac:dyDescent="0.4">
      <c r="B479" s="25"/>
      <c r="D479" s="42"/>
      <c r="E479" s="26"/>
      <c r="G479" s="54"/>
      <c r="N479" s="42"/>
    </row>
    <row r="480" spans="2:14" s="13" customFormat="1" x14ac:dyDescent="0.4">
      <c r="B480" s="25"/>
      <c r="D480" s="42"/>
      <c r="E480" s="26"/>
      <c r="G480" s="54"/>
      <c r="N480" s="42"/>
    </row>
    <row r="481" spans="2:14" s="13" customFormat="1" x14ac:dyDescent="0.4">
      <c r="B481" s="25"/>
      <c r="D481" s="42"/>
      <c r="E481" s="26"/>
      <c r="G481" s="54"/>
      <c r="N481" s="42"/>
    </row>
    <row r="482" spans="2:14" s="13" customFormat="1" x14ac:dyDescent="0.4">
      <c r="B482" s="25"/>
      <c r="D482" s="42"/>
      <c r="E482" s="26"/>
      <c r="G482" s="54"/>
      <c r="N482" s="42"/>
    </row>
    <row r="483" spans="2:14" s="13" customFormat="1" x14ac:dyDescent="0.4">
      <c r="B483" s="25"/>
      <c r="D483" s="42"/>
      <c r="E483" s="26"/>
      <c r="G483" s="54"/>
      <c r="N483" s="42"/>
    </row>
    <row r="484" spans="2:14" s="13" customFormat="1" x14ac:dyDescent="0.4">
      <c r="B484" s="25"/>
      <c r="D484" s="42"/>
      <c r="E484" s="26"/>
      <c r="G484" s="54"/>
      <c r="N484" s="42"/>
    </row>
    <row r="485" spans="2:14" s="13" customFormat="1" x14ac:dyDescent="0.4">
      <c r="B485" s="25"/>
      <c r="D485" s="42"/>
      <c r="E485" s="26"/>
      <c r="G485" s="54"/>
      <c r="N485" s="42"/>
    </row>
    <row r="486" spans="2:14" s="13" customFormat="1" x14ac:dyDescent="0.4">
      <c r="B486" s="25"/>
      <c r="D486" s="42"/>
      <c r="E486" s="26"/>
      <c r="G486" s="54"/>
      <c r="N486" s="42"/>
    </row>
    <row r="487" spans="2:14" s="13" customFormat="1" x14ac:dyDescent="0.4">
      <c r="B487" s="25"/>
      <c r="D487" s="42"/>
      <c r="E487" s="26"/>
      <c r="G487" s="54"/>
      <c r="N487" s="42"/>
    </row>
    <row r="488" spans="2:14" s="13" customFormat="1" x14ac:dyDescent="0.4">
      <c r="B488" s="25"/>
      <c r="D488" s="42"/>
      <c r="E488" s="26"/>
      <c r="G488" s="54"/>
      <c r="N488" s="42"/>
    </row>
    <row r="489" spans="2:14" s="13" customFormat="1" x14ac:dyDescent="0.4">
      <c r="B489" s="25"/>
      <c r="D489" s="42"/>
      <c r="E489" s="26"/>
      <c r="G489" s="54"/>
      <c r="N489" s="42"/>
    </row>
    <row r="490" spans="2:14" s="13" customFormat="1" x14ac:dyDescent="0.4">
      <c r="B490" s="25"/>
      <c r="D490" s="42"/>
      <c r="E490" s="26"/>
      <c r="G490" s="54"/>
      <c r="N490" s="42"/>
    </row>
    <row r="491" spans="2:14" s="13" customFormat="1" x14ac:dyDescent="0.4">
      <c r="B491" s="25"/>
      <c r="D491" s="42"/>
      <c r="E491" s="26"/>
      <c r="G491" s="54"/>
      <c r="N491" s="42"/>
    </row>
    <row r="492" spans="2:14" s="13" customFormat="1" x14ac:dyDescent="0.4">
      <c r="B492" s="25"/>
      <c r="D492" s="42"/>
      <c r="E492" s="26"/>
      <c r="G492" s="54"/>
      <c r="N492" s="42"/>
    </row>
    <row r="493" spans="2:14" s="13" customFormat="1" x14ac:dyDescent="0.4">
      <c r="B493" s="25"/>
      <c r="D493" s="42"/>
      <c r="E493" s="26"/>
      <c r="G493" s="54"/>
      <c r="N493" s="42"/>
    </row>
    <row r="494" spans="2:14" s="13" customFormat="1" x14ac:dyDescent="0.4">
      <c r="B494" s="25"/>
      <c r="D494" s="42"/>
      <c r="E494" s="26"/>
      <c r="G494" s="54"/>
      <c r="N494" s="42"/>
    </row>
    <row r="495" spans="2:14" s="13" customFormat="1" x14ac:dyDescent="0.4">
      <c r="B495" s="25"/>
      <c r="D495" s="42"/>
      <c r="E495" s="26"/>
      <c r="G495" s="54"/>
      <c r="N495" s="42"/>
    </row>
    <row r="496" spans="2:14" s="13" customFormat="1" x14ac:dyDescent="0.4">
      <c r="B496" s="25"/>
      <c r="D496" s="42"/>
      <c r="E496" s="26"/>
      <c r="G496" s="54"/>
      <c r="N496" s="42"/>
    </row>
    <row r="497" spans="2:14" s="13" customFormat="1" x14ac:dyDescent="0.4">
      <c r="B497" s="25"/>
      <c r="D497" s="42"/>
      <c r="E497" s="26"/>
      <c r="G497" s="54"/>
      <c r="N497" s="42"/>
    </row>
    <row r="498" spans="2:14" s="13" customFormat="1" x14ac:dyDescent="0.4">
      <c r="B498" s="25"/>
      <c r="D498" s="42"/>
      <c r="E498" s="26"/>
      <c r="G498" s="54"/>
      <c r="N498" s="42"/>
    </row>
    <row r="499" spans="2:14" s="13" customFormat="1" x14ac:dyDescent="0.4">
      <c r="B499" s="25"/>
      <c r="D499" s="42"/>
      <c r="E499" s="26"/>
      <c r="G499" s="54"/>
      <c r="N499" s="42"/>
    </row>
    <row r="500" spans="2:14" s="13" customFormat="1" x14ac:dyDescent="0.4">
      <c r="B500" s="25"/>
      <c r="D500" s="42"/>
      <c r="E500" s="26"/>
      <c r="G500" s="54"/>
      <c r="N500" s="42"/>
    </row>
    <row r="501" spans="2:14" s="13" customFormat="1" x14ac:dyDescent="0.4">
      <c r="B501" s="25"/>
      <c r="D501" s="42"/>
      <c r="E501" s="26"/>
      <c r="G501" s="54"/>
      <c r="N501" s="42"/>
    </row>
    <row r="502" spans="2:14" s="13" customFormat="1" x14ac:dyDescent="0.4">
      <c r="B502" s="25"/>
      <c r="D502" s="42"/>
      <c r="E502" s="26"/>
      <c r="G502" s="54"/>
      <c r="N502" s="42"/>
    </row>
    <row r="503" spans="2:14" s="13" customFormat="1" x14ac:dyDescent="0.4">
      <c r="B503" s="25"/>
      <c r="D503" s="42"/>
      <c r="E503" s="26"/>
      <c r="G503" s="54"/>
      <c r="N503" s="42"/>
    </row>
    <row r="504" spans="2:14" s="13" customFormat="1" x14ac:dyDescent="0.4">
      <c r="B504" s="25"/>
      <c r="D504" s="42"/>
      <c r="E504" s="26"/>
      <c r="G504" s="54"/>
      <c r="N504" s="42"/>
    </row>
    <row r="505" spans="2:14" s="13" customFormat="1" x14ac:dyDescent="0.4">
      <c r="B505" s="25"/>
      <c r="D505" s="42"/>
      <c r="E505" s="26"/>
      <c r="G505" s="54"/>
      <c r="N505" s="42"/>
    </row>
    <row r="506" spans="2:14" s="13" customFormat="1" x14ac:dyDescent="0.4">
      <c r="B506" s="25"/>
      <c r="D506" s="42"/>
      <c r="E506" s="26"/>
      <c r="G506" s="54"/>
      <c r="N506" s="42"/>
    </row>
    <row r="507" spans="2:14" s="13" customFormat="1" x14ac:dyDescent="0.4">
      <c r="B507" s="25"/>
      <c r="D507" s="42"/>
      <c r="E507" s="26"/>
      <c r="G507" s="54"/>
      <c r="N507" s="42"/>
    </row>
    <row r="508" spans="2:14" s="13" customFormat="1" x14ac:dyDescent="0.4">
      <c r="B508" s="25"/>
      <c r="D508" s="42"/>
      <c r="E508" s="26"/>
      <c r="G508" s="54"/>
      <c r="N508" s="42"/>
    </row>
    <row r="509" spans="2:14" s="13" customFormat="1" x14ac:dyDescent="0.4">
      <c r="B509" s="25"/>
      <c r="D509" s="42"/>
      <c r="E509" s="26"/>
      <c r="G509" s="54"/>
      <c r="N509" s="42"/>
    </row>
    <row r="510" spans="2:14" s="13" customFormat="1" x14ac:dyDescent="0.4">
      <c r="B510" s="25"/>
      <c r="D510" s="42"/>
      <c r="E510" s="26"/>
      <c r="G510" s="54"/>
      <c r="N510" s="42"/>
    </row>
    <row r="511" spans="2:14" s="13" customFormat="1" x14ac:dyDescent="0.4">
      <c r="B511" s="25"/>
      <c r="D511" s="42"/>
      <c r="E511" s="26"/>
      <c r="G511" s="54"/>
      <c r="N511" s="42"/>
    </row>
    <row r="512" spans="2:14" s="13" customFormat="1" x14ac:dyDescent="0.4">
      <c r="B512" s="25"/>
      <c r="D512" s="42"/>
      <c r="E512" s="26"/>
      <c r="G512" s="54"/>
      <c r="N512" s="42"/>
    </row>
    <row r="513" spans="2:14" s="13" customFormat="1" x14ac:dyDescent="0.4">
      <c r="B513" s="25"/>
      <c r="D513" s="42"/>
      <c r="E513" s="26"/>
      <c r="G513" s="54"/>
      <c r="N513" s="42"/>
    </row>
    <row r="514" spans="2:14" s="13" customFormat="1" x14ac:dyDescent="0.4">
      <c r="B514" s="25"/>
      <c r="D514" s="42"/>
      <c r="E514" s="26"/>
      <c r="G514" s="54"/>
      <c r="N514" s="42"/>
    </row>
    <row r="515" spans="2:14" s="13" customFormat="1" x14ac:dyDescent="0.4">
      <c r="B515" s="25"/>
      <c r="D515" s="42"/>
      <c r="E515" s="26"/>
      <c r="G515" s="54"/>
      <c r="N515" s="42"/>
    </row>
    <row r="516" spans="2:14" s="13" customFormat="1" x14ac:dyDescent="0.4">
      <c r="B516" s="25"/>
      <c r="D516" s="42"/>
      <c r="E516" s="26"/>
      <c r="G516" s="54"/>
      <c r="N516" s="42"/>
    </row>
    <row r="517" spans="2:14" s="13" customFormat="1" x14ac:dyDescent="0.4">
      <c r="B517" s="25"/>
      <c r="D517" s="42"/>
      <c r="E517" s="26"/>
      <c r="G517" s="54"/>
      <c r="N517" s="42"/>
    </row>
    <row r="518" spans="2:14" s="13" customFormat="1" x14ac:dyDescent="0.4">
      <c r="B518" s="25"/>
      <c r="D518" s="42"/>
      <c r="E518" s="26"/>
      <c r="G518" s="54"/>
      <c r="N518" s="42"/>
    </row>
    <row r="519" spans="2:14" s="13" customFormat="1" x14ac:dyDescent="0.4">
      <c r="B519" s="25"/>
      <c r="D519" s="42"/>
      <c r="E519" s="26"/>
      <c r="G519" s="54"/>
      <c r="N519" s="42"/>
    </row>
    <row r="520" spans="2:14" s="13" customFormat="1" x14ac:dyDescent="0.4">
      <c r="B520" s="25"/>
      <c r="D520" s="42"/>
      <c r="E520" s="26"/>
      <c r="G520" s="54"/>
      <c r="N520" s="42"/>
    </row>
    <row r="521" spans="2:14" s="13" customFormat="1" x14ac:dyDescent="0.4">
      <c r="B521" s="25"/>
      <c r="D521" s="42"/>
      <c r="E521" s="26"/>
      <c r="G521" s="54"/>
      <c r="N521" s="42"/>
    </row>
    <row r="522" spans="2:14" s="13" customFormat="1" x14ac:dyDescent="0.4">
      <c r="B522" s="25"/>
      <c r="D522" s="42"/>
      <c r="E522" s="26"/>
      <c r="G522" s="54"/>
      <c r="N522" s="42"/>
    </row>
    <row r="523" spans="2:14" s="13" customFormat="1" x14ac:dyDescent="0.4">
      <c r="B523" s="25"/>
      <c r="D523" s="42"/>
      <c r="E523" s="26"/>
      <c r="G523" s="54"/>
      <c r="N523" s="42"/>
    </row>
    <row r="524" spans="2:14" s="13" customFormat="1" x14ac:dyDescent="0.4">
      <c r="B524" s="25"/>
      <c r="D524" s="42"/>
      <c r="E524" s="26"/>
      <c r="G524" s="54"/>
      <c r="N524" s="42"/>
    </row>
    <row r="525" spans="2:14" s="13" customFormat="1" x14ac:dyDescent="0.4">
      <c r="B525" s="25"/>
      <c r="D525" s="42"/>
      <c r="E525" s="26"/>
      <c r="G525" s="54"/>
      <c r="N525" s="42"/>
    </row>
    <row r="526" spans="2:14" s="13" customFormat="1" x14ac:dyDescent="0.4">
      <c r="B526" s="25"/>
      <c r="D526" s="42"/>
      <c r="E526" s="26"/>
      <c r="G526" s="54"/>
      <c r="N526" s="42"/>
    </row>
    <row r="527" spans="2:14" s="13" customFormat="1" x14ac:dyDescent="0.4">
      <c r="B527" s="25"/>
      <c r="D527" s="42"/>
      <c r="E527" s="26"/>
      <c r="G527" s="54"/>
      <c r="N527" s="42"/>
    </row>
    <row r="528" spans="2:14" s="13" customFormat="1" x14ac:dyDescent="0.4">
      <c r="B528" s="25"/>
      <c r="D528" s="42"/>
      <c r="E528" s="26"/>
      <c r="G528" s="54"/>
      <c r="N528" s="42"/>
    </row>
    <row r="529" spans="2:14" s="13" customFormat="1" x14ac:dyDescent="0.4">
      <c r="B529" s="25"/>
      <c r="D529" s="42"/>
      <c r="E529" s="26"/>
      <c r="G529" s="54"/>
      <c r="N529" s="42"/>
    </row>
    <row r="530" spans="2:14" s="13" customFormat="1" x14ac:dyDescent="0.4">
      <c r="B530" s="25"/>
      <c r="D530" s="42"/>
      <c r="E530" s="26"/>
      <c r="G530" s="54"/>
      <c r="N530" s="42"/>
    </row>
    <row r="531" spans="2:14" s="13" customFormat="1" x14ac:dyDescent="0.4">
      <c r="B531" s="25"/>
      <c r="D531" s="42"/>
      <c r="E531" s="26"/>
      <c r="G531" s="54"/>
      <c r="N531" s="42"/>
    </row>
    <row r="532" spans="2:14" s="13" customFormat="1" x14ac:dyDescent="0.4">
      <c r="B532" s="25"/>
      <c r="D532" s="42"/>
      <c r="E532" s="26"/>
      <c r="G532" s="54"/>
      <c r="N532" s="42"/>
    </row>
    <row r="533" spans="2:14" s="13" customFormat="1" x14ac:dyDescent="0.4">
      <c r="B533" s="25"/>
      <c r="D533" s="42"/>
      <c r="E533" s="26"/>
      <c r="G533" s="54"/>
      <c r="N533" s="42"/>
    </row>
    <row r="534" spans="2:14" s="13" customFormat="1" x14ac:dyDescent="0.4">
      <c r="B534" s="25"/>
      <c r="D534" s="42"/>
      <c r="E534" s="26"/>
      <c r="G534" s="54"/>
      <c r="N534" s="42"/>
    </row>
    <row r="535" spans="2:14" s="13" customFormat="1" x14ac:dyDescent="0.4">
      <c r="B535" s="25"/>
      <c r="D535" s="42"/>
      <c r="E535" s="26"/>
      <c r="G535" s="54"/>
      <c r="N535" s="42"/>
    </row>
    <row r="536" spans="2:14" s="13" customFormat="1" x14ac:dyDescent="0.4">
      <c r="B536" s="25"/>
      <c r="D536" s="42"/>
      <c r="E536" s="26"/>
      <c r="G536" s="54"/>
      <c r="N536" s="42"/>
    </row>
    <row r="537" spans="2:14" s="13" customFormat="1" x14ac:dyDescent="0.4">
      <c r="B537" s="25"/>
      <c r="D537" s="42"/>
      <c r="E537" s="26"/>
      <c r="G537" s="54"/>
      <c r="N537" s="42"/>
    </row>
    <row r="538" spans="2:14" s="13" customFormat="1" x14ac:dyDescent="0.4">
      <c r="B538" s="25"/>
      <c r="D538" s="42"/>
      <c r="E538" s="26"/>
      <c r="G538" s="54"/>
      <c r="N538" s="42"/>
    </row>
    <row r="539" spans="2:14" s="13" customFormat="1" x14ac:dyDescent="0.4">
      <c r="B539" s="25"/>
      <c r="D539" s="42"/>
      <c r="E539" s="26"/>
      <c r="G539" s="54"/>
      <c r="N539" s="42"/>
    </row>
    <row r="540" spans="2:14" s="13" customFormat="1" x14ac:dyDescent="0.4">
      <c r="B540" s="25"/>
      <c r="D540" s="42"/>
      <c r="E540" s="26"/>
      <c r="G540" s="54"/>
      <c r="N540" s="42"/>
    </row>
    <row r="541" spans="2:14" s="13" customFormat="1" x14ac:dyDescent="0.4">
      <c r="B541" s="25"/>
      <c r="D541" s="42"/>
      <c r="E541" s="26"/>
      <c r="G541" s="54"/>
      <c r="N541" s="42"/>
    </row>
    <row r="542" spans="2:14" s="13" customFormat="1" x14ac:dyDescent="0.4">
      <c r="B542" s="25"/>
      <c r="D542" s="42"/>
      <c r="E542" s="26"/>
      <c r="G542" s="54"/>
      <c r="N542" s="42"/>
    </row>
    <row r="543" spans="2:14" s="13" customFormat="1" x14ac:dyDescent="0.4">
      <c r="B543" s="25"/>
      <c r="D543" s="42"/>
      <c r="E543" s="26"/>
      <c r="G543" s="54"/>
      <c r="N543" s="42"/>
    </row>
    <row r="544" spans="2:14" s="13" customFormat="1" x14ac:dyDescent="0.4">
      <c r="B544" s="25"/>
      <c r="D544" s="42"/>
      <c r="E544" s="26"/>
      <c r="G544" s="54"/>
      <c r="N544" s="42"/>
    </row>
    <row r="545" spans="2:14" s="13" customFormat="1" x14ac:dyDescent="0.4">
      <c r="B545" s="25"/>
      <c r="D545" s="42"/>
      <c r="E545" s="26"/>
      <c r="G545" s="54"/>
      <c r="N545" s="42"/>
    </row>
    <row r="546" spans="2:14" s="13" customFormat="1" x14ac:dyDescent="0.4">
      <c r="B546" s="25"/>
      <c r="D546" s="42"/>
      <c r="E546" s="26"/>
      <c r="G546" s="54"/>
      <c r="N546" s="42"/>
    </row>
    <row r="547" spans="2:14" s="13" customFormat="1" x14ac:dyDescent="0.4">
      <c r="B547" s="25"/>
      <c r="D547" s="42"/>
      <c r="E547" s="26"/>
      <c r="G547" s="54"/>
      <c r="N547" s="42"/>
    </row>
    <row r="548" spans="2:14" s="13" customFormat="1" x14ac:dyDescent="0.4">
      <c r="B548" s="25"/>
      <c r="D548" s="42"/>
      <c r="E548" s="26"/>
      <c r="G548" s="54"/>
      <c r="N548" s="42"/>
    </row>
    <row r="549" spans="2:14" s="13" customFormat="1" x14ac:dyDescent="0.4">
      <c r="B549" s="25"/>
      <c r="D549" s="42"/>
      <c r="E549" s="26"/>
      <c r="G549" s="54"/>
      <c r="N549" s="42"/>
    </row>
    <row r="550" spans="2:14" s="13" customFormat="1" x14ac:dyDescent="0.4">
      <c r="B550" s="25"/>
      <c r="D550" s="42"/>
      <c r="E550" s="26"/>
      <c r="G550" s="54"/>
      <c r="N550" s="42"/>
    </row>
    <row r="551" spans="2:14" s="13" customFormat="1" x14ac:dyDescent="0.4">
      <c r="B551" s="25"/>
      <c r="D551" s="42"/>
      <c r="E551" s="26"/>
      <c r="G551" s="54"/>
      <c r="N551" s="42"/>
    </row>
    <row r="552" spans="2:14" s="13" customFormat="1" x14ac:dyDescent="0.4">
      <c r="B552" s="25"/>
      <c r="D552" s="42"/>
      <c r="E552" s="26"/>
      <c r="G552" s="54"/>
      <c r="N552" s="42"/>
    </row>
    <row r="553" spans="2:14" s="13" customFormat="1" x14ac:dyDescent="0.4">
      <c r="B553" s="25"/>
      <c r="D553" s="42"/>
      <c r="E553" s="26"/>
      <c r="G553" s="54"/>
      <c r="N553" s="42"/>
    </row>
    <row r="554" spans="2:14" s="13" customFormat="1" x14ac:dyDescent="0.4">
      <c r="B554" s="25"/>
      <c r="D554" s="42"/>
      <c r="E554" s="26"/>
      <c r="G554" s="54"/>
      <c r="N554" s="42"/>
    </row>
    <row r="555" spans="2:14" s="13" customFormat="1" x14ac:dyDescent="0.4">
      <c r="B555" s="25"/>
      <c r="D555" s="42"/>
      <c r="E555" s="26"/>
      <c r="G555" s="54"/>
      <c r="N555" s="42"/>
    </row>
    <row r="556" spans="2:14" s="13" customFormat="1" x14ac:dyDescent="0.4">
      <c r="B556" s="25"/>
      <c r="D556" s="42"/>
      <c r="E556" s="26"/>
      <c r="G556" s="54"/>
      <c r="N556" s="42"/>
    </row>
    <row r="557" spans="2:14" s="13" customFormat="1" x14ac:dyDescent="0.4">
      <c r="B557" s="25"/>
      <c r="D557" s="42"/>
      <c r="E557" s="26"/>
      <c r="G557" s="54"/>
      <c r="N557" s="42"/>
    </row>
    <row r="558" spans="2:14" s="13" customFormat="1" x14ac:dyDescent="0.4">
      <c r="B558" s="25"/>
      <c r="D558" s="42"/>
      <c r="E558" s="26"/>
      <c r="G558" s="54"/>
      <c r="N558" s="42"/>
    </row>
    <row r="559" spans="2:14" s="13" customFormat="1" x14ac:dyDescent="0.4">
      <c r="B559" s="25"/>
      <c r="D559" s="42"/>
      <c r="E559" s="26"/>
      <c r="G559" s="54"/>
      <c r="N559" s="42"/>
    </row>
    <row r="560" spans="2:14" s="13" customFormat="1" x14ac:dyDescent="0.4">
      <c r="B560" s="25"/>
      <c r="D560" s="42"/>
      <c r="E560" s="26"/>
      <c r="G560" s="54"/>
      <c r="N560" s="42"/>
    </row>
    <row r="561" spans="2:14" s="13" customFormat="1" x14ac:dyDescent="0.4">
      <c r="B561" s="25"/>
      <c r="D561" s="42"/>
      <c r="E561" s="26"/>
      <c r="G561" s="54"/>
      <c r="N561" s="42"/>
    </row>
    <row r="562" spans="2:14" s="13" customFormat="1" x14ac:dyDescent="0.4">
      <c r="B562" s="25"/>
      <c r="D562" s="42"/>
      <c r="E562" s="26"/>
      <c r="G562" s="54"/>
      <c r="N562" s="42"/>
    </row>
    <row r="563" spans="2:14" s="13" customFormat="1" x14ac:dyDescent="0.4">
      <c r="B563" s="25"/>
      <c r="D563" s="42"/>
      <c r="E563" s="26"/>
      <c r="G563" s="54"/>
      <c r="N563" s="42"/>
    </row>
    <row r="564" spans="2:14" s="13" customFormat="1" x14ac:dyDescent="0.4">
      <c r="B564" s="25"/>
      <c r="D564" s="42"/>
      <c r="E564" s="26"/>
      <c r="G564" s="54"/>
      <c r="N564" s="42"/>
    </row>
    <row r="565" spans="2:14" s="13" customFormat="1" x14ac:dyDescent="0.4">
      <c r="B565" s="25"/>
      <c r="D565" s="42"/>
      <c r="E565" s="26"/>
      <c r="G565" s="54"/>
      <c r="N565" s="42"/>
    </row>
    <row r="566" spans="2:14" s="13" customFormat="1" x14ac:dyDescent="0.4">
      <c r="B566" s="25"/>
      <c r="D566" s="42"/>
      <c r="E566" s="26"/>
      <c r="G566" s="54"/>
      <c r="N566" s="42"/>
    </row>
    <row r="567" spans="2:14" s="13" customFormat="1" x14ac:dyDescent="0.4">
      <c r="B567" s="25"/>
      <c r="D567" s="42"/>
      <c r="E567" s="26"/>
      <c r="G567" s="54"/>
      <c r="N567" s="42"/>
    </row>
    <row r="568" spans="2:14" s="13" customFormat="1" x14ac:dyDescent="0.4">
      <c r="B568" s="25"/>
      <c r="D568" s="42"/>
      <c r="E568" s="26"/>
      <c r="G568" s="54"/>
      <c r="N568" s="42"/>
    </row>
    <row r="569" spans="2:14" s="13" customFormat="1" x14ac:dyDescent="0.4">
      <c r="B569" s="25"/>
      <c r="D569" s="42"/>
      <c r="E569" s="26"/>
      <c r="G569" s="54"/>
      <c r="N569" s="42"/>
    </row>
    <row r="570" spans="2:14" s="13" customFormat="1" x14ac:dyDescent="0.4">
      <c r="B570" s="25"/>
      <c r="D570" s="42"/>
      <c r="E570" s="26"/>
      <c r="G570" s="54"/>
      <c r="N570" s="42"/>
    </row>
    <row r="571" spans="2:14" s="13" customFormat="1" x14ac:dyDescent="0.4">
      <c r="B571" s="25"/>
      <c r="D571" s="42"/>
      <c r="E571" s="26"/>
      <c r="G571" s="54"/>
      <c r="N571" s="42"/>
    </row>
    <row r="572" spans="2:14" s="13" customFormat="1" x14ac:dyDescent="0.4">
      <c r="B572" s="25"/>
      <c r="D572" s="42"/>
      <c r="E572" s="26"/>
      <c r="G572" s="54"/>
      <c r="N572" s="42"/>
    </row>
    <row r="573" spans="2:14" s="13" customFormat="1" x14ac:dyDescent="0.4">
      <c r="B573" s="25"/>
      <c r="D573" s="42"/>
      <c r="E573" s="26"/>
      <c r="G573" s="54"/>
      <c r="N573" s="42"/>
    </row>
    <row r="574" spans="2:14" s="13" customFormat="1" x14ac:dyDescent="0.4">
      <c r="B574" s="25"/>
      <c r="D574" s="42"/>
      <c r="E574" s="26"/>
      <c r="G574" s="54"/>
      <c r="N574" s="42"/>
    </row>
    <row r="575" spans="2:14" s="13" customFormat="1" x14ac:dyDescent="0.4">
      <c r="B575" s="25"/>
      <c r="D575" s="42"/>
      <c r="E575" s="26"/>
      <c r="G575" s="54"/>
      <c r="N575" s="42"/>
    </row>
    <row r="576" spans="2:14" s="13" customFormat="1" x14ac:dyDescent="0.4">
      <c r="B576" s="25"/>
      <c r="D576" s="42"/>
      <c r="E576" s="26"/>
      <c r="G576" s="54"/>
      <c r="N576" s="42"/>
    </row>
    <row r="577" spans="2:14" s="13" customFormat="1" x14ac:dyDescent="0.4">
      <c r="B577" s="25"/>
      <c r="D577" s="42"/>
      <c r="E577" s="26"/>
      <c r="G577" s="54"/>
      <c r="N577" s="42"/>
    </row>
    <row r="578" spans="2:14" s="13" customFormat="1" x14ac:dyDescent="0.4">
      <c r="B578" s="25"/>
      <c r="D578" s="42"/>
      <c r="E578" s="26"/>
      <c r="G578" s="54"/>
      <c r="N578" s="42"/>
    </row>
    <row r="579" spans="2:14" s="13" customFormat="1" x14ac:dyDescent="0.4">
      <c r="B579" s="25"/>
      <c r="D579" s="42"/>
      <c r="E579" s="26"/>
      <c r="G579" s="54"/>
      <c r="N579" s="42"/>
    </row>
    <row r="580" spans="2:14" s="13" customFormat="1" x14ac:dyDescent="0.4">
      <c r="B580" s="25"/>
      <c r="D580" s="42"/>
      <c r="E580" s="26"/>
      <c r="G580" s="54"/>
      <c r="N580" s="42"/>
    </row>
    <row r="581" spans="2:14" s="13" customFormat="1" x14ac:dyDescent="0.4">
      <c r="B581" s="25"/>
      <c r="D581" s="42"/>
      <c r="E581" s="26"/>
      <c r="G581" s="54"/>
      <c r="N581" s="42"/>
    </row>
    <row r="582" spans="2:14" s="13" customFormat="1" x14ac:dyDescent="0.4">
      <c r="B582" s="25"/>
      <c r="D582" s="42"/>
      <c r="E582" s="26"/>
      <c r="G582" s="54"/>
      <c r="N582" s="42"/>
    </row>
    <row r="583" spans="2:14" s="13" customFormat="1" x14ac:dyDescent="0.4">
      <c r="B583" s="25"/>
      <c r="D583" s="42"/>
      <c r="E583" s="26"/>
      <c r="G583" s="54"/>
      <c r="N583" s="42"/>
    </row>
    <row r="584" spans="2:14" s="13" customFormat="1" x14ac:dyDescent="0.4">
      <c r="B584" s="25"/>
      <c r="D584" s="42"/>
      <c r="E584" s="26"/>
      <c r="G584" s="54"/>
      <c r="N584" s="42"/>
    </row>
    <row r="585" spans="2:14" s="13" customFormat="1" x14ac:dyDescent="0.4">
      <c r="B585" s="25"/>
      <c r="D585" s="42"/>
      <c r="E585" s="26"/>
      <c r="G585" s="54"/>
      <c r="N585" s="42"/>
    </row>
    <row r="586" spans="2:14" s="13" customFormat="1" x14ac:dyDescent="0.4">
      <c r="B586" s="25"/>
      <c r="D586" s="42"/>
      <c r="E586" s="26"/>
      <c r="G586" s="54"/>
      <c r="N586" s="42"/>
    </row>
    <row r="587" spans="2:14" s="13" customFormat="1" x14ac:dyDescent="0.4">
      <c r="B587" s="25"/>
      <c r="D587" s="42"/>
      <c r="E587" s="26"/>
      <c r="G587" s="54"/>
      <c r="N587" s="42"/>
    </row>
    <row r="588" spans="2:14" s="13" customFormat="1" x14ac:dyDescent="0.4">
      <c r="B588" s="25"/>
      <c r="D588" s="42"/>
      <c r="E588" s="26"/>
      <c r="G588" s="54"/>
      <c r="N588" s="42"/>
    </row>
    <row r="589" spans="2:14" s="13" customFormat="1" x14ac:dyDescent="0.4">
      <c r="B589" s="25"/>
      <c r="D589" s="42"/>
      <c r="E589" s="26"/>
      <c r="G589" s="54"/>
      <c r="N589" s="42"/>
    </row>
    <row r="590" spans="2:14" s="13" customFormat="1" x14ac:dyDescent="0.4">
      <c r="B590" s="25"/>
      <c r="D590" s="42"/>
      <c r="E590" s="26"/>
      <c r="G590" s="54"/>
      <c r="N590" s="42"/>
    </row>
    <row r="591" spans="2:14" s="13" customFormat="1" x14ac:dyDescent="0.4">
      <c r="B591" s="25"/>
      <c r="D591" s="42"/>
      <c r="E591" s="26"/>
      <c r="G591" s="54"/>
      <c r="N591" s="42"/>
    </row>
    <row r="592" spans="2:14" s="13" customFormat="1" x14ac:dyDescent="0.4">
      <c r="B592" s="25"/>
      <c r="D592" s="42"/>
      <c r="E592" s="26"/>
      <c r="G592" s="54"/>
      <c r="N592" s="42"/>
    </row>
    <row r="593" spans="2:14" s="13" customFormat="1" x14ac:dyDescent="0.4">
      <c r="B593" s="25"/>
      <c r="D593" s="42"/>
      <c r="E593" s="26"/>
      <c r="G593" s="54"/>
      <c r="N593" s="42"/>
    </row>
    <row r="594" spans="2:14" s="13" customFormat="1" x14ac:dyDescent="0.4">
      <c r="B594" s="25"/>
      <c r="D594" s="42"/>
      <c r="E594" s="26"/>
      <c r="G594" s="54"/>
      <c r="N594" s="42"/>
    </row>
    <row r="595" spans="2:14" s="13" customFormat="1" x14ac:dyDescent="0.4">
      <c r="B595" s="25"/>
      <c r="D595" s="42"/>
      <c r="E595" s="26"/>
      <c r="G595" s="54"/>
      <c r="N595" s="42"/>
    </row>
    <row r="596" spans="2:14" s="13" customFormat="1" x14ac:dyDescent="0.4">
      <c r="B596" s="25"/>
      <c r="D596" s="42"/>
      <c r="E596" s="26"/>
      <c r="G596" s="54"/>
      <c r="N596" s="42"/>
    </row>
    <row r="597" spans="2:14" s="13" customFormat="1" x14ac:dyDescent="0.4">
      <c r="B597" s="25"/>
      <c r="D597" s="42"/>
      <c r="E597" s="26"/>
      <c r="G597" s="54"/>
      <c r="N597" s="42"/>
    </row>
    <row r="598" spans="2:14" s="13" customFormat="1" x14ac:dyDescent="0.4">
      <c r="B598" s="25"/>
      <c r="D598" s="42"/>
      <c r="E598" s="26"/>
      <c r="G598" s="54"/>
      <c r="N598" s="42"/>
    </row>
    <row r="599" spans="2:14" s="13" customFormat="1" x14ac:dyDescent="0.4">
      <c r="B599" s="25"/>
      <c r="D599" s="42"/>
      <c r="E599" s="26"/>
      <c r="G599" s="54"/>
      <c r="N599" s="42"/>
    </row>
    <row r="600" spans="2:14" s="13" customFormat="1" x14ac:dyDescent="0.4">
      <c r="B600" s="25"/>
      <c r="D600" s="42"/>
      <c r="E600" s="26"/>
      <c r="G600" s="54"/>
      <c r="N600" s="42"/>
    </row>
    <row r="601" spans="2:14" s="13" customFormat="1" x14ac:dyDescent="0.4">
      <c r="B601" s="25"/>
      <c r="D601" s="42"/>
      <c r="E601" s="26"/>
      <c r="G601" s="54"/>
      <c r="N601" s="42"/>
    </row>
    <row r="602" spans="2:14" s="13" customFormat="1" x14ac:dyDescent="0.4">
      <c r="B602" s="25"/>
      <c r="D602" s="42"/>
      <c r="E602" s="26"/>
      <c r="G602" s="54"/>
      <c r="N602" s="42"/>
    </row>
    <row r="603" spans="2:14" s="13" customFormat="1" x14ac:dyDescent="0.4">
      <c r="B603" s="25"/>
      <c r="D603" s="42"/>
      <c r="E603" s="26"/>
      <c r="G603" s="54"/>
      <c r="N603" s="42"/>
    </row>
    <row r="604" spans="2:14" s="13" customFormat="1" x14ac:dyDescent="0.4">
      <c r="B604" s="25"/>
      <c r="D604" s="42"/>
      <c r="E604" s="26"/>
      <c r="G604" s="54"/>
      <c r="N604" s="42"/>
    </row>
    <row r="605" spans="2:14" s="13" customFormat="1" x14ac:dyDescent="0.4">
      <c r="B605" s="25"/>
      <c r="D605" s="42"/>
      <c r="E605" s="26"/>
      <c r="G605" s="54"/>
      <c r="N605" s="42"/>
    </row>
    <row r="606" spans="2:14" s="13" customFormat="1" x14ac:dyDescent="0.4">
      <c r="B606" s="25"/>
      <c r="D606" s="42"/>
      <c r="E606" s="26"/>
      <c r="G606" s="54"/>
      <c r="N606" s="42"/>
    </row>
    <row r="607" spans="2:14" s="13" customFormat="1" x14ac:dyDescent="0.4">
      <c r="B607" s="25"/>
      <c r="D607" s="42"/>
      <c r="E607" s="26"/>
      <c r="G607" s="54"/>
      <c r="N607" s="42"/>
    </row>
    <row r="608" spans="2:14" s="13" customFormat="1" x14ac:dyDescent="0.4">
      <c r="B608" s="25"/>
      <c r="D608" s="42"/>
      <c r="E608" s="26"/>
      <c r="G608" s="54"/>
      <c r="N608" s="42"/>
    </row>
    <row r="609" spans="2:14" s="13" customFormat="1" x14ac:dyDescent="0.4">
      <c r="B609" s="25"/>
      <c r="D609" s="42"/>
      <c r="E609" s="26"/>
      <c r="G609" s="54"/>
      <c r="N609" s="42"/>
    </row>
    <row r="610" spans="2:14" s="13" customFormat="1" x14ac:dyDescent="0.4">
      <c r="B610" s="25"/>
      <c r="D610" s="42"/>
      <c r="E610" s="26"/>
      <c r="G610" s="54"/>
      <c r="N610" s="42"/>
    </row>
    <row r="611" spans="2:14" s="13" customFormat="1" x14ac:dyDescent="0.4">
      <c r="B611" s="25"/>
      <c r="D611" s="42"/>
      <c r="E611" s="26"/>
      <c r="G611" s="54"/>
      <c r="N611" s="42"/>
    </row>
    <row r="612" spans="2:14" s="13" customFormat="1" x14ac:dyDescent="0.4">
      <c r="B612" s="25"/>
      <c r="D612" s="42"/>
      <c r="E612" s="26"/>
      <c r="G612" s="54"/>
      <c r="N612" s="42"/>
    </row>
    <row r="613" spans="2:14" s="13" customFormat="1" x14ac:dyDescent="0.4">
      <c r="B613" s="25"/>
      <c r="D613" s="42"/>
      <c r="E613" s="26"/>
      <c r="G613" s="54"/>
      <c r="N613" s="42"/>
    </row>
    <row r="614" spans="2:14" s="13" customFormat="1" x14ac:dyDescent="0.4">
      <c r="B614" s="25"/>
      <c r="D614" s="42"/>
      <c r="E614" s="26"/>
      <c r="G614" s="54"/>
      <c r="N614" s="42"/>
    </row>
    <row r="615" spans="2:14" s="13" customFormat="1" x14ac:dyDescent="0.4">
      <c r="B615" s="25"/>
      <c r="D615" s="42"/>
      <c r="E615" s="26"/>
      <c r="G615" s="54"/>
      <c r="N615" s="42"/>
    </row>
    <row r="616" spans="2:14" s="13" customFormat="1" x14ac:dyDescent="0.4">
      <c r="B616" s="25"/>
      <c r="D616" s="42"/>
      <c r="E616" s="26"/>
      <c r="G616" s="54"/>
      <c r="N616" s="42"/>
    </row>
    <row r="617" spans="2:14" s="13" customFormat="1" x14ac:dyDescent="0.4">
      <c r="B617" s="25"/>
      <c r="D617" s="42"/>
      <c r="E617" s="26"/>
      <c r="G617" s="54"/>
      <c r="N617" s="42"/>
    </row>
    <row r="618" spans="2:14" s="13" customFormat="1" x14ac:dyDescent="0.4">
      <c r="B618" s="25"/>
      <c r="D618" s="42"/>
      <c r="E618" s="26"/>
      <c r="G618" s="54"/>
      <c r="N618" s="42"/>
    </row>
    <row r="619" spans="2:14" s="13" customFormat="1" x14ac:dyDescent="0.4">
      <c r="B619" s="25"/>
      <c r="D619" s="42"/>
      <c r="E619" s="26"/>
      <c r="G619" s="54"/>
      <c r="N619" s="42"/>
    </row>
    <row r="620" spans="2:14" s="13" customFormat="1" x14ac:dyDescent="0.4">
      <c r="B620" s="25"/>
      <c r="D620" s="42"/>
      <c r="E620" s="26"/>
      <c r="G620" s="54"/>
      <c r="N620" s="42"/>
    </row>
    <row r="621" spans="2:14" s="13" customFormat="1" x14ac:dyDescent="0.4">
      <c r="B621" s="25"/>
      <c r="D621" s="42"/>
      <c r="E621" s="26"/>
      <c r="G621" s="54"/>
      <c r="N621" s="42"/>
    </row>
    <row r="622" spans="2:14" s="13" customFormat="1" x14ac:dyDescent="0.4">
      <c r="B622" s="25"/>
      <c r="D622" s="42"/>
      <c r="E622" s="26"/>
      <c r="G622" s="54"/>
      <c r="N622" s="42"/>
    </row>
    <row r="623" spans="2:14" s="13" customFormat="1" x14ac:dyDescent="0.4">
      <c r="B623" s="25"/>
      <c r="D623" s="42"/>
      <c r="E623" s="26"/>
      <c r="G623" s="54"/>
      <c r="N623" s="42"/>
    </row>
    <row r="624" spans="2:14" s="13" customFormat="1" x14ac:dyDescent="0.4">
      <c r="B624" s="25"/>
      <c r="D624" s="42"/>
      <c r="E624" s="26"/>
      <c r="G624" s="54"/>
      <c r="N624" s="42"/>
    </row>
    <row r="625" spans="2:14" s="13" customFormat="1" x14ac:dyDescent="0.4">
      <c r="B625" s="25"/>
      <c r="D625" s="42"/>
      <c r="E625" s="26"/>
      <c r="G625" s="54"/>
      <c r="N625" s="42"/>
    </row>
    <row r="626" spans="2:14" s="13" customFormat="1" x14ac:dyDescent="0.4">
      <c r="B626" s="25"/>
      <c r="D626" s="42"/>
      <c r="E626" s="26"/>
      <c r="G626" s="54"/>
      <c r="N626" s="42"/>
    </row>
    <row r="627" spans="2:14" s="13" customFormat="1" x14ac:dyDescent="0.4">
      <c r="B627" s="25"/>
      <c r="D627" s="42"/>
      <c r="E627" s="26"/>
      <c r="G627" s="54"/>
      <c r="N627" s="42"/>
    </row>
    <row r="628" spans="2:14" s="13" customFormat="1" x14ac:dyDescent="0.4">
      <c r="B628" s="25"/>
      <c r="D628" s="42"/>
      <c r="E628" s="26"/>
      <c r="G628" s="54"/>
      <c r="N628" s="42"/>
    </row>
    <row r="629" spans="2:14" s="13" customFormat="1" x14ac:dyDescent="0.4">
      <c r="B629" s="25"/>
      <c r="D629" s="42"/>
      <c r="E629" s="26"/>
      <c r="G629" s="54"/>
      <c r="N629" s="42"/>
    </row>
    <row r="630" spans="2:14" s="13" customFormat="1" x14ac:dyDescent="0.4">
      <c r="B630" s="25"/>
      <c r="D630" s="42"/>
      <c r="E630" s="26"/>
      <c r="G630" s="54"/>
      <c r="N630" s="42"/>
    </row>
    <row r="631" spans="2:14" s="13" customFormat="1" x14ac:dyDescent="0.4">
      <c r="B631" s="25"/>
      <c r="D631" s="42"/>
      <c r="E631" s="26"/>
      <c r="G631" s="54"/>
      <c r="N631" s="42"/>
    </row>
    <row r="632" spans="2:14" s="13" customFormat="1" x14ac:dyDescent="0.4">
      <c r="B632" s="25"/>
      <c r="D632" s="42"/>
      <c r="E632" s="26"/>
      <c r="G632" s="54"/>
      <c r="N632" s="42"/>
    </row>
    <row r="633" spans="2:14" s="13" customFormat="1" x14ac:dyDescent="0.4">
      <c r="B633" s="25"/>
      <c r="D633" s="42"/>
      <c r="E633" s="26"/>
      <c r="G633" s="54"/>
      <c r="N633" s="42"/>
    </row>
    <row r="634" spans="2:14" s="13" customFormat="1" x14ac:dyDescent="0.4">
      <c r="B634" s="25"/>
      <c r="D634" s="42"/>
      <c r="E634" s="26"/>
      <c r="G634" s="54"/>
      <c r="N634" s="42"/>
    </row>
    <row r="635" spans="2:14" s="13" customFormat="1" x14ac:dyDescent="0.4">
      <c r="B635" s="25"/>
      <c r="D635" s="42"/>
      <c r="E635" s="26"/>
      <c r="G635" s="54"/>
      <c r="N635" s="42"/>
    </row>
    <row r="636" spans="2:14" s="13" customFormat="1" x14ac:dyDescent="0.4">
      <c r="B636" s="25"/>
      <c r="D636" s="42"/>
      <c r="E636" s="26"/>
      <c r="G636" s="54"/>
      <c r="N636" s="42"/>
    </row>
    <row r="637" spans="2:14" s="13" customFormat="1" x14ac:dyDescent="0.4">
      <c r="B637" s="25"/>
      <c r="D637" s="42"/>
      <c r="E637" s="26"/>
      <c r="G637" s="54"/>
      <c r="N637" s="42"/>
    </row>
    <row r="638" spans="2:14" s="13" customFormat="1" x14ac:dyDescent="0.4">
      <c r="B638" s="25"/>
      <c r="D638" s="42"/>
      <c r="E638" s="26"/>
      <c r="G638" s="54"/>
      <c r="N638" s="42"/>
    </row>
    <row r="639" spans="2:14" s="13" customFormat="1" x14ac:dyDescent="0.4">
      <c r="B639" s="25"/>
      <c r="D639" s="42"/>
      <c r="E639" s="26"/>
      <c r="G639" s="54"/>
      <c r="N639" s="42"/>
    </row>
    <row r="640" spans="2:14" s="13" customFormat="1" x14ac:dyDescent="0.4">
      <c r="B640" s="25"/>
      <c r="D640" s="42"/>
      <c r="E640" s="26"/>
      <c r="G640" s="54"/>
      <c r="N640" s="42"/>
    </row>
    <row r="641" spans="2:14" s="13" customFormat="1" x14ac:dyDescent="0.4">
      <c r="B641" s="25"/>
      <c r="D641" s="42"/>
      <c r="E641" s="26"/>
      <c r="G641" s="54"/>
      <c r="N641" s="42"/>
    </row>
    <row r="642" spans="2:14" s="13" customFormat="1" x14ac:dyDescent="0.4">
      <c r="B642" s="25"/>
      <c r="D642" s="42"/>
      <c r="E642" s="26"/>
      <c r="G642" s="54"/>
      <c r="N642" s="42"/>
    </row>
    <row r="643" spans="2:14" s="13" customFormat="1" x14ac:dyDescent="0.4">
      <c r="B643" s="25"/>
      <c r="D643" s="42"/>
      <c r="E643" s="26"/>
      <c r="G643" s="54"/>
      <c r="N643" s="42"/>
    </row>
    <row r="644" spans="2:14" s="13" customFormat="1" x14ac:dyDescent="0.4">
      <c r="B644" s="25"/>
      <c r="D644" s="42"/>
      <c r="E644" s="26"/>
      <c r="G644" s="54"/>
      <c r="N644" s="42"/>
    </row>
    <row r="645" spans="2:14" s="13" customFormat="1" x14ac:dyDescent="0.4">
      <c r="B645" s="25"/>
      <c r="D645" s="42"/>
      <c r="E645" s="26"/>
      <c r="G645" s="54"/>
      <c r="N645" s="42"/>
    </row>
    <row r="646" spans="2:14" s="13" customFormat="1" x14ac:dyDescent="0.4">
      <c r="B646" s="25"/>
      <c r="D646" s="42"/>
      <c r="E646" s="26"/>
      <c r="G646" s="54"/>
      <c r="N646" s="42"/>
    </row>
    <row r="647" spans="2:14" s="13" customFormat="1" x14ac:dyDescent="0.4">
      <c r="B647" s="25"/>
      <c r="D647" s="42"/>
      <c r="E647" s="26"/>
      <c r="G647" s="54"/>
      <c r="N647" s="42"/>
    </row>
  </sheetData>
  <sheetProtection algorithmName="SHA-512" hashValue="FIKGwTLZ19dAFpEGiivVHqqbIcFMVALo/wLnOp+J39S0eI1o1/OUVuk4F7wws8WAqN98fvGK+uRGL/F+FpzTZw==" saltValue="ETX1Caehjau7nxVUhfsR8A==" spinCount="100000" sheet="1" formatCells="0" formatColumns="0" formatRows="0"/>
  <mergeCells count="7">
    <mergeCell ref="M7:M14"/>
    <mergeCell ref="A7:A14"/>
    <mergeCell ref="B7:B14"/>
    <mergeCell ref="C7:C9"/>
    <mergeCell ref="D7:D9"/>
    <mergeCell ref="C10:C14"/>
    <mergeCell ref="D10:D14"/>
  </mergeCells>
  <dataValidations count="1">
    <dataValidation type="list" allowBlank="1" showInputMessage="1" showErrorMessage="1" errorTitle="ASVS Test Result" error="Invalid selection!" promptTitle="ASVS Test Result" prompt="Please select test result from the list." sqref="G7:G14" xr:uid="{ADD4AF06-4E2D-4153-BE3F-7B22D596A115}">
      <formula1>testResult</formula1>
    </dataValidation>
  </dataValidations>
  <hyperlinks>
    <hyperlink ref="F7" r:id="rId1" location="tab=Formal_Numbering" display="https://www.owasp.org/index.php/OWASP_Proactive_Controls - tab=Formal_Numbering" xr:uid="{3725E40E-FB0F-4025-95CF-8FF2ECEA23D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Confirm_Reset_Answers_V9">
                <anchor moveWithCells="1" sizeWithCells="1">
                  <from>
                    <xdr:col>0</xdr:col>
                    <xdr:colOff>114300</xdr:colOff>
                    <xdr:row>0</xdr:row>
                    <xdr:rowOff>31750</xdr:rowOff>
                  </from>
                  <to>
                    <xdr:col>1</xdr:col>
                    <xdr:colOff>1562100</xdr:colOff>
                    <xdr:row>2</xdr:row>
                    <xdr:rowOff>50800</xdr:rowOff>
                  </to>
                </anchor>
              </controlPr>
            </control>
          </mc:Choice>
        </mc:AlternateContent>
        <mc:AlternateContent xmlns:mc="http://schemas.openxmlformats.org/markup-compatibility/2006">
          <mc:Choice Requires="x14">
            <control shapeId="24580" r:id="rId5" name="Button 4">
              <controlPr defaultSize="0" print="0" autoFill="0" autoPict="0" macro="[0]!Confirm_Reset_All_Answers">
                <anchor moveWithCells="1" sizeWithCells="1">
                  <from>
                    <xdr:col>0</xdr:col>
                    <xdr:colOff>107950</xdr:colOff>
                    <xdr:row>2</xdr:row>
                    <xdr:rowOff>88900</xdr:rowOff>
                  </from>
                  <to>
                    <xdr:col>1</xdr:col>
                    <xdr:colOff>1555750</xdr:colOff>
                    <xdr:row>4</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EAB45-B285-481C-A1A8-3D1F8CA49326}">
  <sheetPr codeName="Sheet8">
    <tabColor theme="5" tint="-0.499984740745262"/>
  </sheetPr>
  <dimension ref="A1:CRF649"/>
  <sheetViews>
    <sheetView showGridLines="0" showRowColHeaders="0" workbookViewId="0">
      <pane ySplit="6" topLeftCell="A7" activePane="bottomLeft" state="frozen"/>
      <selection pane="bottomLeft" activeCell="A7" sqref="A7:A16"/>
    </sheetView>
  </sheetViews>
  <sheetFormatPr defaultRowHeight="14.5" x14ac:dyDescent="0.35"/>
  <cols>
    <col min="1" max="1" width="10.26953125" customWidth="1"/>
    <col min="2" max="2" width="24.1796875" style="20" customWidth="1"/>
    <col min="3" max="3" width="10.1796875" customWidth="1"/>
    <col min="4" max="4" width="31.81640625" style="43" customWidth="1"/>
    <col min="5" max="5" width="9.1796875" style="21"/>
    <col min="6" max="6" width="56.1796875" customWidth="1"/>
    <col min="7" max="7" width="19.1796875" customWidth="1"/>
    <col min="8" max="10" width="3.7265625" bestFit="1" customWidth="1"/>
    <col min="12" max="13" width="13.1796875"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0</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0</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TOTAL_ASVS_V10</f>
        <v>10</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39" x14ac:dyDescent="0.35">
      <c r="A7" s="113" t="s">
        <v>48</v>
      </c>
      <c r="B7" s="116" t="s">
        <v>611</v>
      </c>
      <c r="C7" s="46" t="s">
        <v>615</v>
      </c>
      <c r="D7" s="48" t="s">
        <v>614</v>
      </c>
      <c r="E7" s="22" t="s">
        <v>612</v>
      </c>
      <c r="F7" s="4" t="s">
        <v>613</v>
      </c>
      <c r="G7" s="91" t="s">
        <v>32</v>
      </c>
      <c r="H7" s="4"/>
      <c r="I7" s="4"/>
      <c r="J7" s="40" t="s">
        <v>812</v>
      </c>
      <c r="K7" s="5">
        <v>749</v>
      </c>
      <c r="L7" s="24"/>
      <c r="M7" s="24"/>
      <c r="N7" s="41"/>
    </row>
    <row r="8" spans="1:2502" ht="52" x14ac:dyDescent="0.35">
      <c r="A8" s="114"/>
      <c r="B8" s="117"/>
      <c r="C8" s="113" t="s">
        <v>616</v>
      </c>
      <c r="D8" s="109" t="s">
        <v>617</v>
      </c>
      <c r="E8" s="22" t="s">
        <v>618</v>
      </c>
      <c r="F8" s="4" t="s">
        <v>619</v>
      </c>
      <c r="G8" s="91" t="s">
        <v>32</v>
      </c>
      <c r="H8" s="4"/>
      <c r="I8" s="39" t="s">
        <v>812</v>
      </c>
      <c r="J8" s="40" t="s">
        <v>812</v>
      </c>
      <c r="K8" s="5">
        <v>359</v>
      </c>
      <c r="L8" s="24"/>
      <c r="M8" s="24"/>
      <c r="N8" s="41"/>
    </row>
    <row r="9" spans="1:2502" ht="39" x14ac:dyDescent="0.35">
      <c r="A9" s="114"/>
      <c r="B9" s="117"/>
      <c r="C9" s="114"/>
      <c r="D9" s="110"/>
      <c r="E9" s="22" t="s">
        <v>620</v>
      </c>
      <c r="F9" s="4" t="s">
        <v>621</v>
      </c>
      <c r="G9" s="91" t="s">
        <v>32</v>
      </c>
      <c r="H9" s="4"/>
      <c r="I9" s="39" t="s">
        <v>812</v>
      </c>
      <c r="J9" s="40" t="s">
        <v>812</v>
      </c>
      <c r="K9" s="5">
        <v>272</v>
      </c>
      <c r="L9" s="24"/>
      <c r="M9" s="24"/>
      <c r="N9" s="41"/>
    </row>
    <row r="10" spans="1:2502" ht="78" x14ac:dyDescent="0.35">
      <c r="A10" s="114"/>
      <c r="B10" s="117"/>
      <c r="C10" s="114"/>
      <c r="D10" s="110"/>
      <c r="E10" s="22" t="s">
        <v>622</v>
      </c>
      <c r="F10" s="4" t="s">
        <v>623</v>
      </c>
      <c r="G10" s="91" t="s">
        <v>32</v>
      </c>
      <c r="H10" s="4"/>
      <c r="I10" s="4"/>
      <c r="J10" s="40" t="s">
        <v>812</v>
      </c>
      <c r="K10" s="5">
        <v>507</v>
      </c>
      <c r="L10" s="24"/>
      <c r="M10" s="24"/>
      <c r="N10" s="41"/>
    </row>
    <row r="11" spans="1:2502" ht="39" x14ac:dyDescent="0.35">
      <c r="A11" s="114"/>
      <c r="B11" s="117"/>
      <c r="C11" s="114"/>
      <c r="D11" s="110"/>
      <c r="E11" s="22" t="s">
        <v>624</v>
      </c>
      <c r="F11" s="4" t="s">
        <v>625</v>
      </c>
      <c r="G11" s="91" t="s">
        <v>32</v>
      </c>
      <c r="H11" s="4"/>
      <c r="I11" s="4"/>
      <c r="J11" s="40" t="s">
        <v>812</v>
      </c>
      <c r="K11" s="5">
        <v>511</v>
      </c>
      <c r="L11" s="24"/>
      <c r="M11" s="24"/>
      <c r="N11" s="41"/>
    </row>
    <row r="12" spans="1:2502" ht="39" x14ac:dyDescent="0.35">
      <c r="A12" s="114"/>
      <c r="B12" s="117"/>
      <c r="C12" s="114"/>
      <c r="D12" s="110"/>
      <c r="E12" s="22" t="s">
        <v>626</v>
      </c>
      <c r="F12" s="4" t="s">
        <v>627</v>
      </c>
      <c r="G12" s="91" t="s">
        <v>32</v>
      </c>
      <c r="H12" s="4"/>
      <c r="I12" s="4"/>
      <c r="J12" s="40" t="s">
        <v>812</v>
      </c>
      <c r="K12" s="5">
        <v>511</v>
      </c>
      <c r="L12" s="24"/>
      <c r="M12" s="24"/>
      <c r="N12" s="41"/>
    </row>
    <row r="13" spans="1:2502" ht="26" x14ac:dyDescent="0.35">
      <c r="A13" s="114"/>
      <c r="B13" s="117"/>
      <c r="C13" s="115"/>
      <c r="D13" s="111"/>
      <c r="E13" s="22" t="s">
        <v>628</v>
      </c>
      <c r="F13" s="4" t="s">
        <v>629</v>
      </c>
      <c r="G13" s="91" t="s">
        <v>32</v>
      </c>
      <c r="H13" s="4"/>
      <c r="I13" s="4"/>
      <c r="J13" s="40" t="s">
        <v>812</v>
      </c>
      <c r="K13" s="5">
        <v>507</v>
      </c>
      <c r="L13" s="24"/>
      <c r="M13" s="24"/>
      <c r="N13" s="41"/>
    </row>
    <row r="14" spans="1:2502" ht="52" x14ac:dyDescent="0.35">
      <c r="A14" s="114"/>
      <c r="B14" s="117"/>
      <c r="C14" s="113" t="s">
        <v>630</v>
      </c>
      <c r="D14" s="109" t="s">
        <v>631</v>
      </c>
      <c r="E14" s="22" t="s">
        <v>632</v>
      </c>
      <c r="F14" s="4" t="s">
        <v>633</v>
      </c>
      <c r="G14" s="91" t="s">
        <v>32</v>
      </c>
      <c r="H14" s="38" t="s">
        <v>812</v>
      </c>
      <c r="I14" s="39" t="s">
        <v>812</v>
      </c>
      <c r="J14" s="40" t="s">
        <v>812</v>
      </c>
      <c r="K14" s="5">
        <v>16</v>
      </c>
      <c r="L14" s="24"/>
      <c r="M14" s="24"/>
      <c r="N14" s="41"/>
    </row>
    <row r="15" spans="1:2502" ht="65" x14ac:dyDescent="0.35">
      <c r="A15" s="114"/>
      <c r="B15" s="117"/>
      <c r="C15" s="114"/>
      <c r="D15" s="110"/>
      <c r="E15" s="22" t="s">
        <v>634</v>
      </c>
      <c r="F15" s="4" t="s">
        <v>635</v>
      </c>
      <c r="G15" s="91" t="s">
        <v>32</v>
      </c>
      <c r="H15" s="38" t="s">
        <v>812</v>
      </c>
      <c r="I15" s="39" t="s">
        <v>812</v>
      </c>
      <c r="J15" s="40" t="s">
        <v>812</v>
      </c>
      <c r="K15" s="5">
        <v>353</v>
      </c>
      <c r="L15" s="24"/>
      <c r="M15" s="24"/>
      <c r="N15" s="41"/>
    </row>
    <row r="16" spans="1:2502" ht="91" x14ac:dyDescent="0.35">
      <c r="A16" s="115"/>
      <c r="B16" s="118"/>
      <c r="C16" s="115"/>
      <c r="D16" s="111"/>
      <c r="E16" s="22" t="s">
        <v>636</v>
      </c>
      <c r="F16" s="4" t="s">
        <v>637</v>
      </c>
      <c r="G16" s="91" t="s">
        <v>32</v>
      </c>
      <c r="H16" s="38" t="s">
        <v>812</v>
      </c>
      <c r="I16" s="39" t="s">
        <v>812</v>
      </c>
      <c r="J16" s="40" t="s">
        <v>812</v>
      </c>
      <c r="K16" s="5">
        <v>350</v>
      </c>
      <c r="L16" s="24"/>
      <c r="M16" s="24"/>
      <c r="N16" s="41"/>
    </row>
    <row r="17" spans="2:14" s="13" customFormat="1" x14ac:dyDescent="0.35">
      <c r="B17" s="25"/>
      <c r="D17" s="42"/>
      <c r="E17" s="26"/>
      <c r="N17" s="42"/>
    </row>
    <row r="18" spans="2:14" s="13" customFormat="1" x14ac:dyDescent="0.35">
      <c r="B18" s="25"/>
      <c r="D18" s="42"/>
      <c r="E18" s="26"/>
      <c r="N18" s="42"/>
    </row>
    <row r="19" spans="2:14" s="13" customFormat="1" x14ac:dyDescent="0.35">
      <c r="B19" s="25"/>
      <c r="D19" s="42"/>
      <c r="E19" s="26"/>
      <c r="N19" s="42"/>
    </row>
    <row r="20" spans="2:14" s="13" customFormat="1" x14ac:dyDescent="0.35">
      <c r="B20" s="25"/>
      <c r="D20" s="42"/>
      <c r="E20" s="26"/>
      <c r="N20" s="42"/>
    </row>
    <row r="21" spans="2:14" s="13" customFormat="1" x14ac:dyDescent="0.35">
      <c r="B21" s="25"/>
      <c r="D21" s="42"/>
      <c r="E21" s="26"/>
      <c r="N21" s="42"/>
    </row>
    <row r="22" spans="2:14" s="13" customFormat="1" x14ac:dyDescent="0.35">
      <c r="B22" s="25"/>
      <c r="D22" s="42"/>
      <c r="E22" s="26"/>
      <c r="N22" s="42"/>
    </row>
    <row r="23" spans="2:14" s="13" customFormat="1" x14ac:dyDescent="0.35">
      <c r="B23" s="25"/>
      <c r="D23" s="42"/>
      <c r="E23" s="26"/>
      <c r="N23" s="42"/>
    </row>
    <row r="24" spans="2:14" s="13" customFormat="1" x14ac:dyDescent="0.35">
      <c r="B24" s="25"/>
      <c r="D24" s="42"/>
      <c r="E24" s="26"/>
      <c r="N24" s="42"/>
    </row>
    <row r="25" spans="2:14" s="13" customFormat="1" x14ac:dyDescent="0.35">
      <c r="B25" s="25"/>
      <c r="D25" s="42"/>
      <c r="E25" s="26"/>
      <c r="N25" s="42"/>
    </row>
    <row r="26" spans="2:14" s="13" customFormat="1" x14ac:dyDescent="0.35">
      <c r="B26" s="25"/>
      <c r="D26" s="42"/>
      <c r="E26" s="26"/>
      <c r="N26" s="42"/>
    </row>
    <row r="27" spans="2:14" s="13" customFormat="1" x14ac:dyDescent="0.35">
      <c r="B27" s="25"/>
      <c r="D27" s="42"/>
      <c r="E27" s="26"/>
      <c r="N27" s="42"/>
    </row>
    <row r="28" spans="2:14" s="13" customFormat="1" x14ac:dyDescent="0.35">
      <c r="B28" s="25"/>
      <c r="D28" s="42"/>
      <c r="E28" s="26"/>
      <c r="N28" s="42"/>
    </row>
    <row r="29" spans="2:14" s="13" customFormat="1" x14ac:dyDescent="0.35">
      <c r="B29" s="25"/>
      <c r="D29" s="42"/>
      <c r="E29" s="26"/>
      <c r="N29" s="42"/>
    </row>
    <row r="30" spans="2:14" s="13" customFormat="1" x14ac:dyDescent="0.35">
      <c r="B30" s="25"/>
      <c r="D30" s="42"/>
      <c r="E30" s="26"/>
      <c r="N30" s="42"/>
    </row>
    <row r="31" spans="2:14" s="13" customFormat="1" x14ac:dyDescent="0.35">
      <c r="B31" s="25"/>
      <c r="D31" s="42"/>
      <c r="E31" s="26"/>
      <c r="N31" s="42"/>
    </row>
    <row r="32" spans="2:14" s="13" customFormat="1" x14ac:dyDescent="0.35">
      <c r="B32" s="25"/>
      <c r="D32" s="42"/>
      <c r="E32" s="26"/>
      <c r="N32" s="42"/>
    </row>
    <row r="33" spans="2:14" s="13" customFormat="1" x14ac:dyDescent="0.35">
      <c r="B33" s="25"/>
      <c r="D33" s="42"/>
      <c r="E33" s="26"/>
      <c r="N33" s="42"/>
    </row>
    <row r="34" spans="2:14" s="13" customFormat="1" x14ac:dyDescent="0.35">
      <c r="B34" s="25"/>
      <c r="D34" s="42"/>
      <c r="E34" s="26"/>
      <c r="N34" s="42"/>
    </row>
    <row r="35" spans="2:14" s="13" customFormat="1" x14ac:dyDescent="0.35">
      <c r="B35" s="25"/>
      <c r="D35" s="42"/>
      <c r="E35" s="26"/>
      <c r="N35" s="42"/>
    </row>
    <row r="36" spans="2:14" s="13" customFormat="1" x14ac:dyDescent="0.35">
      <c r="B36" s="25"/>
      <c r="D36" s="42"/>
      <c r="E36" s="26"/>
      <c r="N36" s="42"/>
    </row>
    <row r="37" spans="2:14" s="13" customFormat="1" x14ac:dyDescent="0.35">
      <c r="B37" s="25"/>
      <c r="D37" s="42"/>
      <c r="E37" s="26"/>
      <c r="N37" s="42"/>
    </row>
    <row r="38" spans="2:14" s="13" customFormat="1" x14ac:dyDescent="0.35">
      <c r="B38" s="25"/>
      <c r="D38" s="42"/>
      <c r="E38" s="26"/>
      <c r="N38" s="42"/>
    </row>
    <row r="39" spans="2:14" s="13" customFormat="1" x14ac:dyDescent="0.35">
      <c r="B39" s="25"/>
      <c r="D39" s="42"/>
      <c r="E39" s="26"/>
      <c r="N39" s="42"/>
    </row>
    <row r="40" spans="2:14" s="13" customFormat="1" x14ac:dyDescent="0.35">
      <c r="B40" s="25"/>
      <c r="D40" s="42"/>
      <c r="E40" s="26"/>
      <c r="N40" s="42"/>
    </row>
    <row r="41" spans="2:14" s="13" customFormat="1" x14ac:dyDescent="0.35">
      <c r="B41" s="25"/>
      <c r="D41" s="42"/>
      <c r="E41" s="26"/>
      <c r="N41" s="42"/>
    </row>
    <row r="42" spans="2:14" s="13" customFormat="1" x14ac:dyDescent="0.35">
      <c r="B42" s="25"/>
      <c r="D42" s="42"/>
      <c r="E42" s="26"/>
      <c r="N42" s="42"/>
    </row>
    <row r="43" spans="2:14" s="13" customFormat="1" x14ac:dyDescent="0.35">
      <c r="B43" s="25"/>
      <c r="D43" s="42"/>
      <c r="E43" s="26"/>
      <c r="N43" s="42"/>
    </row>
    <row r="44" spans="2:14" s="13" customFormat="1" x14ac:dyDescent="0.35">
      <c r="B44" s="25"/>
      <c r="D44" s="42"/>
      <c r="E44" s="26"/>
      <c r="N44" s="42"/>
    </row>
    <row r="45" spans="2:14" s="13" customFormat="1" x14ac:dyDescent="0.35">
      <c r="B45" s="25"/>
      <c r="D45" s="42"/>
      <c r="E45" s="26"/>
      <c r="N45" s="42"/>
    </row>
    <row r="46" spans="2:14" s="13" customFormat="1" x14ac:dyDescent="0.35">
      <c r="B46" s="25"/>
      <c r="D46" s="42"/>
      <c r="E46" s="26"/>
      <c r="N46" s="42"/>
    </row>
    <row r="47" spans="2:14" s="13" customFormat="1" x14ac:dyDescent="0.35">
      <c r="B47" s="25"/>
      <c r="D47" s="42"/>
      <c r="E47" s="26"/>
      <c r="N47" s="42"/>
    </row>
    <row r="48" spans="2:14" s="13" customFormat="1" x14ac:dyDescent="0.35">
      <c r="B48" s="25"/>
      <c r="D48" s="42"/>
      <c r="E48" s="26"/>
      <c r="N48" s="42"/>
    </row>
    <row r="49" spans="2:14" s="13" customFormat="1" x14ac:dyDescent="0.35">
      <c r="B49" s="25"/>
      <c r="D49" s="42"/>
      <c r="E49" s="26"/>
      <c r="N49" s="42"/>
    </row>
    <row r="50" spans="2:14" s="13" customFormat="1" x14ac:dyDescent="0.35">
      <c r="B50" s="25"/>
      <c r="D50" s="42"/>
      <c r="E50" s="26"/>
      <c r="N50" s="42"/>
    </row>
    <row r="51" spans="2:14" s="13" customFormat="1" x14ac:dyDescent="0.35">
      <c r="B51" s="25"/>
      <c r="D51" s="42"/>
      <c r="E51" s="26"/>
      <c r="N51" s="42"/>
    </row>
    <row r="52" spans="2:14" s="13" customFormat="1" x14ac:dyDescent="0.35">
      <c r="B52" s="25"/>
      <c r="D52" s="42"/>
      <c r="E52" s="26"/>
      <c r="N52" s="42"/>
    </row>
    <row r="53" spans="2:14" s="13" customFormat="1" x14ac:dyDescent="0.35">
      <c r="B53" s="25"/>
      <c r="D53" s="42"/>
      <c r="E53" s="26"/>
      <c r="N53" s="42"/>
    </row>
    <row r="54" spans="2:14" s="13" customFormat="1" x14ac:dyDescent="0.35">
      <c r="B54" s="25"/>
      <c r="D54" s="42"/>
      <c r="E54" s="26"/>
      <c r="N54" s="42"/>
    </row>
    <row r="55" spans="2:14" s="13" customFormat="1" x14ac:dyDescent="0.35">
      <c r="B55" s="25"/>
      <c r="D55" s="42"/>
      <c r="E55" s="26"/>
      <c r="N55" s="42"/>
    </row>
    <row r="56" spans="2:14" s="13" customFormat="1" x14ac:dyDescent="0.35">
      <c r="B56" s="25"/>
      <c r="D56" s="42"/>
      <c r="E56" s="26"/>
      <c r="N56" s="42"/>
    </row>
    <row r="57" spans="2:14" s="13" customFormat="1" x14ac:dyDescent="0.35">
      <c r="B57" s="25"/>
      <c r="D57" s="42"/>
      <c r="E57" s="26"/>
      <c r="N57" s="42"/>
    </row>
    <row r="58" spans="2:14" s="13" customFormat="1" x14ac:dyDescent="0.35">
      <c r="B58" s="25"/>
      <c r="D58" s="42"/>
      <c r="E58" s="26"/>
      <c r="N58" s="42"/>
    </row>
    <row r="59" spans="2:14" s="13" customFormat="1" x14ac:dyDescent="0.35">
      <c r="B59" s="25"/>
      <c r="D59" s="42"/>
      <c r="E59" s="26"/>
      <c r="N59" s="42"/>
    </row>
    <row r="60" spans="2:14" s="13" customFormat="1" x14ac:dyDescent="0.35">
      <c r="B60" s="25"/>
      <c r="D60" s="42"/>
      <c r="E60" s="26"/>
      <c r="N60" s="42"/>
    </row>
    <row r="61" spans="2:14" s="13" customFormat="1" x14ac:dyDescent="0.35">
      <c r="B61" s="25"/>
      <c r="D61" s="42"/>
      <c r="E61" s="26"/>
      <c r="N61" s="42"/>
    </row>
    <row r="62" spans="2:14" s="13" customFormat="1" x14ac:dyDescent="0.35">
      <c r="B62" s="25"/>
      <c r="D62" s="42"/>
      <c r="E62" s="26"/>
      <c r="N62" s="42"/>
    </row>
    <row r="63" spans="2:14" s="13" customFormat="1" x14ac:dyDescent="0.35">
      <c r="B63" s="25"/>
      <c r="D63" s="42"/>
      <c r="E63" s="26"/>
      <c r="N63" s="42"/>
    </row>
    <row r="64" spans="2:14" s="13" customFormat="1" x14ac:dyDescent="0.35">
      <c r="B64" s="25"/>
      <c r="D64" s="42"/>
      <c r="E64" s="26"/>
      <c r="N64" s="42"/>
    </row>
    <row r="65" spans="2:14" s="13" customFormat="1" x14ac:dyDescent="0.35">
      <c r="B65" s="25"/>
      <c r="D65" s="42"/>
      <c r="E65" s="26"/>
      <c r="N65" s="42"/>
    </row>
    <row r="66" spans="2:14" s="13" customFormat="1" x14ac:dyDescent="0.35">
      <c r="B66" s="25"/>
      <c r="D66" s="42"/>
      <c r="E66" s="26"/>
      <c r="N66" s="42"/>
    </row>
    <row r="67" spans="2:14" s="13" customFormat="1" x14ac:dyDescent="0.35">
      <c r="B67" s="25"/>
      <c r="D67" s="42"/>
      <c r="E67" s="26"/>
      <c r="N67" s="42"/>
    </row>
    <row r="68" spans="2:14" s="13" customFormat="1" x14ac:dyDescent="0.35">
      <c r="B68" s="25"/>
      <c r="D68" s="42"/>
      <c r="E68" s="26"/>
      <c r="N68" s="42"/>
    </row>
    <row r="69" spans="2:14" s="13" customFormat="1" x14ac:dyDescent="0.35">
      <c r="B69" s="25"/>
      <c r="D69" s="42"/>
      <c r="E69" s="26"/>
      <c r="N69" s="42"/>
    </row>
    <row r="70" spans="2:14" s="13" customFormat="1" x14ac:dyDescent="0.35">
      <c r="B70" s="25"/>
      <c r="D70" s="42"/>
      <c r="E70" s="26"/>
      <c r="N70" s="42"/>
    </row>
    <row r="71" spans="2:14" s="13" customFormat="1" x14ac:dyDescent="0.35">
      <c r="B71" s="25"/>
      <c r="D71" s="42"/>
      <c r="E71" s="26"/>
      <c r="N71" s="42"/>
    </row>
    <row r="72" spans="2:14" s="13" customFormat="1" x14ac:dyDescent="0.35">
      <c r="B72" s="25"/>
      <c r="D72" s="42"/>
      <c r="E72" s="26"/>
      <c r="N72" s="42"/>
    </row>
    <row r="73" spans="2:14" s="13" customFormat="1" x14ac:dyDescent="0.35">
      <c r="B73" s="25"/>
      <c r="D73" s="42"/>
      <c r="E73" s="26"/>
      <c r="N73" s="42"/>
    </row>
    <row r="74" spans="2:14" s="13" customFormat="1" x14ac:dyDescent="0.35">
      <c r="B74" s="25"/>
      <c r="D74" s="42"/>
      <c r="E74" s="26"/>
      <c r="N74" s="42"/>
    </row>
    <row r="75" spans="2:14" s="13" customFormat="1" x14ac:dyDescent="0.35">
      <c r="B75" s="25"/>
      <c r="D75" s="42"/>
      <c r="E75" s="26"/>
      <c r="N75" s="42"/>
    </row>
    <row r="76" spans="2:14" s="13" customFormat="1" x14ac:dyDescent="0.35">
      <c r="B76" s="25"/>
      <c r="D76" s="42"/>
      <c r="E76" s="26"/>
      <c r="N76" s="42"/>
    </row>
    <row r="77" spans="2:14" s="13" customFormat="1" x14ac:dyDescent="0.35">
      <c r="B77" s="25"/>
      <c r="D77" s="42"/>
      <c r="E77" s="26"/>
      <c r="N77" s="42"/>
    </row>
    <row r="78" spans="2:14" s="13" customFormat="1" x14ac:dyDescent="0.35">
      <c r="B78" s="25"/>
      <c r="D78" s="42"/>
      <c r="E78" s="26"/>
      <c r="N78" s="42"/>
    </row>
    <row r="79" spans="2:14" s="13" customFormat="1" x14ac:dyDescent="0.35">
      <c r="B79" s="25"/>
      <c r="D79" s="42"/>
      <c r="E79" s="26"/>
      <c r="N79" s="42"/>
    </row>
    <row r="80" spans="2:14" s="13" customFormat="1" x14ac:dyDescent="0.35">
      <c r="B80" s="25"/>
      <c r="D80" s="42"/>
      <c r="E80" s="26"/>
      <c r="N80" s="42"/>
    </row>
    <row r="81" spans="2:14" s="13" customFormat="1" x14ac:dyDescent="0.35">
      <c r="B81" s="25"/>
      <c r="D81" s="42"/>
      <c r="E81" s="26"/>
      <c r="N81" s="42"/>
    </row>
    <row r="82" spans="2:14" s="13" customFormat="1" x14ac:dyDescent="0.35">
      <c r="B82" s="25"/>
      <c r="D82" s="42"/>
      <c r="E82" s="26"/>
      <c r="N82" s="42"/>
    </row>
    <row r="83" spans="2:14" s="13" customFormat="1" x14ac:dyDescent="0.35">
      <c r="B83" s="25"/>
      <c r="D83" s="42"/>
      <c r="E83" s="26"/>
      <c r="N83" s="42"/>
    </row>
    <row r="84" spans="2:14" s="13" customFormat="1" x14ac:dyDescent="0.35">
      <c r="B84" s="25"/>
      <c r="D84" s="42"/>
      <c r="E84" s="26"/>
      <c r="N84" s="42"/>
    </row>
    <row r="85" spans="2:14" s="13" customFormat="1" x14ac:dyDescent="0.35">
      <c r="B85" s="25"/>
      <c r="D85" s="42"/>
      <c r="E85" s="26"/>
      <c r="N85" s="42"/>
    </row>
    <row r="86" spans="2:14" s="13" customFormat="1" x14ac:dyDescent="0.35">
      <c r="B86" s="25"/>
      <c r="D86" s="42"/>
      <c r="E86" s="26"/>
      <c r="N86" s="42"/>
    </row>
    <row r="87" spans="2:14" s="13" customFormat="1" x14ac:dyDescent="0.35">
      <c r="B87" s="25"/>
      <c r="D87" s="42"/>
      <c r="E87" s="26"/>
      <c r="N87" s="42"/>
    </row>
    <row r="88" spans="2:14" s="13" customFormat="1" x14ac:dyDescent="0.35">
      <c r="B88" s="25"/>
      <c r="D88" s="42"/>
      <c r="E88" s="26"/>
      <c r="N88" s="42"/>
    </row>
    <row r="89" spans="2:14" s="13" customFormat="1" x14ac:dyDescent="0.35">
      <c r="B89" s="25"/>
      <c r="D89" s="42"/>
      <c r="E89" s="26"/>
      <c r="N89" s="42"/>
    </row>
    <row r="90" spans="2:14" s="13" customFormat="1" x14ac:dyDescent="0.35">
      <c r="B90" s="25"/>
      <c r="D90" s="42"/>
      <c r="E90" s="26"/>
      <c r="N90" s="42"/>
    </row>
    <row r="91" spans="2:14" s="13" customFormat="1" x14ac:dyDescent="0.35">
      <c r="B91" s="25"/>
      <c r="D91" s="42"/>
      <c r="E91" s="26"/>
      <c r="N91" s="42"/>
    </row>
    <row r="92" spans="2:14" s="13" customFormat="1" x14ac:dyDescent="0.35">
      <c r="B92" s="25"/>
      <c r="D92" s="42"/>
      <c r="E92" s="26"/>
      <c r="N92" s="42"/>
    </row>
    <row r="93" spans="2:14" s="13" customFormat="1" x14ac:dyDescent="0.35">
      <c r="B93" s="25"/>
      <c r="D93" s="42"/>
      <c r="E93" s="26"/>
      <c r="N93" s="42"/>
    </row>
    <row r="94" spans="2:14" s="13" customFormat="1" x14ac:dyDescent="0.35">
      <c r="B94" s="25"/>
      <c r="D94" s="42"/>
      <c r="E94" s="26"/>
      <c r="N94" s="42"/>
    </row>
    <row r="95" spans="2:14" s="13" customFormat="1" x14ac:dyDescent="0.35">
      <c r="B95" s="25"/>
      <c r="D95" s="42"/>
      <c r="E95" s="26"/>
      <c r="N95" s="42"/>
    </row>
    <row r="96" spans="2:14" s="13" customFormat="1" x14ac:dyDescent="0.35">
      <c r="B96" s="25"/>
      <c r="D96" s="42"/>
      <c r="E96" s="26"/>
      <c r="N96" s="42"/>
    </row>
    <row r="97" spans="2:14" s="13" customFormat="1" x14ac:dyDescent="0.35">
      <c r="B97" s="25"/>
      <c r="D97" s="42"/>
      <c r="E97" s="26"/>
      <c r="N97" s="42"/>
    </row>
    <row r="98" spans="2:14" s="13" customFormat="1" x14ac:dyDescent="0.35">
      <c r="B98" s="25"/>
      <c r="D98" s="42"/>
      <c r="E98" s="26"/>
      <c r="N98" s="42"/>
    </row>
    <row r="99" spans="2:14" s="13" customFormat="1" x14ac:dyDescent="0.35">
      <c r="B99" s="25"/>
      <c r="D99" s="42"/>
      <c r="E99" s="26"/>
      <c r="N99" s="42"/>
    </row>
    <row r="100" spans="2:14" s="13" customFormat="1" x14ac:dyDescent="0.35">
      <c r="B100" s="25"/>
      <c r="D100" s="42"/>
      <c r="E100" s="26"/>
      <c r="N100" s="42"/>
    </row>
    <row r="101" spans="2:14" s="13" customFormat="1" x14ac:dyDescent="0.35">
      <c r="B101" s="25"/>
      <c r="D101" s="42"/>
      <c r="E101" s="26"/>
      <c r="N101" s="42"/>
    </row>
    <row r="102" spans="2:14" s="13" customFormat="1" x14ac:dyDescent="0.35">
      <c r="B102" s="25"/>
      <c r="D102" s="42"/>
      <c r="E102" s="26"/>
      <c r="N102" s="42"/>
    </row>
    <row r="103" spans="2:14" s="13" customFormat="1" x14ac:dyDescent="0.35">
      <c r="B103" s="25"/>
      <c r="D103" s="42"/>
      <c r="E103" s="26"/>
      <c r="N103" s="42"/>
    </row>
    <row r="104" spans="2:14" s="13" customFormat="1" x14ac:dyDescent="0.35">
      <c r="B104" s="25"/>
      <c r="D104" s="42"/>
      <c r="E104" s="26"/>
      <c r="N104" s="42"/>
    </row>
    <row r="105" spans="2:14" s="13" customFormat="1" x14ac:dyDescent="0.35">
      <c r="B105" s="25"/>
      <c r="D105" s="42"/>
      <c r="E105" s="26"/>
      <c r="N105" s="42"/>
    </row>
    <row r="106" spans="2:14" s="13" customFormat="1" x14ac:dyDescent="0.35">
      <c r="B106" s="25"/>
      <c r="D106" s="42"/>
      <c r="E106" s="26"/>
      <c r="N106" s="42"/>
    </row>
    <row r="107" spans="2:14" s="13" customFormat="1" x14ac:dyDescent="0.35">
      <c r="B107" s="25"/>
      <c r="D107" s="42"/>
      <c r="E107" s="26"/>
      <c r="N107" s="42"/>
    </row>
    <row r="108" spans="2:14" s="13" customFormat="1" x14ac:dyDescent="0.35">
      <c r="B108" s="25"/>
      <c r="D108" s="42"/>
      <c r="E108" s="26"/>
      <c r="N108" s="42"/>
    </row>
    <row r="109" spans="2:14" s="13" customFormat="1" x14ac:dyDescent="0.35">
      <c r="B109" s="25"/>
      <c r="D109" s="42"/>
      <c r="E109" s="26"/>
      <c r="N109" s="42"/>
    </row>
    <row r="110" spans="2:14" s="13" customFormat="1" x14ac:dyDescent="0.35">
      <c r="B110" s="25"/>
      <c r="D110" s="42"/>
      <c r="E110" s="26"/>
      <c r="N110" s="42"/>
    </row>
    <row r="111" spans="2:14" s="13" customFormat="1" x14ac:dyDescent="0.35">
      <c r="B111" s="25"/>
      <c r="D111" s="42"/>
      <c r="E111" s="26"/>
      <c r="N111" s="42"/>
    </row>
    <row r="112" spans="2:14" s="13" customFormat="1" x14ac:dyDescent="0.35">
      <c r="B112" s="25"/>
      <c r="D112" s="42"/>
      <c r="E112" s="26"/>
      <c r="N112" s="42"/>
    </row>
    <row r="113" spans="2:14" s="13" customFormat="1" x14ac:dyDescent="0.35">
      <c r="B113" s="25"/>
      <c r="D113" s="42"/>
      <c r="E113" s="26"/>
      <c r="N113" s="42"/>
    </row>
    <row r="114" spans="2:14" s="13" customFormat="1" x14ac:dyDescent="0.35">
      <c r="B114" s="25"/>
      <c r="D114" s="42"/>
      <c r="E114" s="26"/>
      <c r="N114" s="42"/>
    </row>
    <row r="115" spans="2:14" s="13" customFormat="1" x14ac:dyDescent="0.35">
      <c r="B115" s="25"/>
      <c r="D115" s="42"/>
      <c r="E115" s="26"/>
      <c r="N115" s="42"/>
    </row>
    <row r="116" spans="2:14" s="13" customFormat="1" x14ac:dyDescent="0.35">
      <c r="B116" s="25"/>
      <c r="D116" s="42"/>
      <c r="E116" s="26"/>
      <c r="N116" s="42"/>
    </row>
    <row r="117" spans="2:14" s="13" customFormat="1" x14ac:dyDescent="0.35">
      <c r="B117" s="25"/>
      <c r="D117" s="42"/>
      <c r="E117" s="26"/>
      <c r="N117" s="42"/>
    </row>
    <row r="118" spans="2:14" s="13" customFormat="1" x14ac:dyDescent="0.35">
      <c r="B118" s="25"/>
      <c r="D118" s="42"/>
      <c r="E118" s="26"/>
      <c r="N118" s="42"/>
    </row>
    <row r="119" spans="2:14" s="13" customFormat="1" x14ac:dyDescent="0.35">
      <c r="B119" s="25"/>
      <c r="D119" s="42"/>
      <c r="E119" s="26"/>
      <c r="N119" s="42"/>
    </row>
    <row r="120" spans="2:14" s="13" customFormat="1" x14ac:dyDescent="0.35">
      <c r="B120" s="25"/>
      <c r="D120" s="42"/>
      <c r="E120" s="26"/>
      <c r="N120" s="42"/>
    </row>
    <row r="121" spans="2:14" s="13" customFormat="1" x14ac:dyDescent="0.35">
      <c r="B121" s="25"/>
      <c r="D121" s="42"/>
      <c r="E121" s="26"/>
      <c r="N121" s="42"/>
    </row>
    <row r="122" spans="2:14" s="13" customFormat="1" x14ac:dyDescent="0.35">
      <c r="B122" s="25"/>
      <c r="D122" s="42"/>
      <c r="E122" s="26"/>
      <c r="N122" s="42"/>
    </row>
    <row r="123" spans="2:14" s="13" customFormat="1" x14ac:dyDescent="0.35">
      <c r="B123" s="25"/>
      <c r="D123" s="42"/>
      <c r="E123" s="26"/>
      <c r="N123" s="42"/>
    </row>
    <row r="124" spans="2:14" s="13" customFormat="1" x14ac:dyDescent="0.35">
      <c r="B124" s="25"/>
      <c r="D124" s="42"/>
      <c r="E124" s="26"/>
      <c r="N124" s="42"/>
    </row>
    <row r="125" spans="2:14" s="13" customFormat="1" x14ac:dyDescent="0.35">
      <c r="B125" s="25"/>
      <c r="D125" s="42"/>
      <c r="E125" s="26"/>
      <c r="N125" s="42"/>
    </row>
    <row r="126" spans="2:14" s="13" customFormat="1" x14ac:dyDescent="0.35">
      <c r="B126" s="25"/>
      <c r="D126" s="42"/>
      <c r="E126" s="26"/>
      <c r="N126" s="42"/>
    </row>
    <row r="127" spans="2:14" s="13" customFormat="1" x14ac:dyDescent="0.35">
      <c r="B127" s="25"/>
      <c r="D127" s="42"/>
      <c r="E127" s="26"/>
      <c r="N127" s="42"/>
    </row>
    <row r="128" spans="2:14" s="13" customFormat="1" x14ac:dyDescent="0.35">
      <c r="B128" s="25"/>
      <c r="D128" s="42"/>
      <c r="E128" s="26"/>
      <c r="N128" s="42"/>
    </row>
    <row r="129" spans="2:14" s="13" customFormat="1" x14ac:dyDescent="0.35">
      <c r="B129" s="25"/>
      <c r="D129" s="42"/>
      <c r="E129" s="26"/>
      <c r="N129" s="42"/>
    </row>
    <row r="130" spans="2:14" s="13" customFormat="1" x14ac:dyDescent="0.35">
      <c r="B130" s="25"/>
      <c r="D130" s="42"/>
      <c r="E130" s="26"/>
      <c r="N130" s="42"/>
    </row>
    <row r="131" spans="2:14" s="13" customFormat="1" x14ac:dyDescent="0.35">
      <c r="B131" s="25"/>
      <c r="D131" s="42"/>
      <c r="E131" s="26"/>
      <c r="N131" s="42"/>
    </row>
    <row r="132" spans="2:14" s="13" customFormat="1" x14ac:dyDescent="0.35">
      <c r="B132" s="25"/>
      <c r="D132" s="42"/>
      <c r="E132" s="26"/>
      <c r="N132" s="42"/>
    </row>
    <row r="133" spans="2:14" s="13" customFormat="1" x14ac:dyDescent="0.35">
      <c r="B133" s="25"/>
      <c r="D133" s="42"/>
      <c r="E133" s="26"/>
      <c r="N133" s="42"/>
    </row>
    <row r="134" spans="2:14" s="13" customFormat="1" x14ac:dyDescent="0.35">
      <c r="B134" s="25"/>
      <c r="D134" s="42"/>
      <c r="E134" s="26"/>
      <c r="N134" s="42"/>
    </row>
    <row r="135" spans="2:14" s="13" customFormat="1" x14ac:dyDescent="0.35">
      <c r="B135" s="25"/>
      <c r="D135" s="42"/>
      <c r="E135" s="26"/>
      <c r="N135" s="42"/>
    </row>
    <row r="136" spans="2:14" s="13" customFormat="1" x14ac:dyDescent="0.35">
      <c r="B136" s="25"/>
      <c r="D136" s="42"/>
      <c r="E136" s="26"/>
      <c r="N136" s="42"/>
    </row>
    <row r="137" spans="2:14" s="13" customFormat="1" x14ac:dyDescent="0.35">
      <c r="B137" s="25"/>
      <c r="D137" s="42"/>
      <c r="E137" s="26"/>
      <c r="N137" s="42"/>
    </row>
    <row r="138" spans="2:14" s="13" customFormat="1" x14ac:dyDescent="0.35">
      <c r="B138" s="25"/>
      <c r="D138" s="42"/>
      <c r="E138" s="26"/>
      <c r="N138" s="42"/>
    </row>
    <row r="139" spans="2:14" s="13" customFormat="1" x14ac:dyDescent="0.35">
      <c r="B139" s="25"/>
      <c r="D139" s="42"/>
      <c r="E139" s="26"/>
      <c r="N139" s="42"/>
    </row>
    <row r="140" spans="2:14" s="13" customFormat="1" x14ac:dyDescent="0.35">
      <c r="B140" s="25"/>
      <c r="D140" s="42"/>
      <c r="E140" s="26"/>
      <c r="N140" s="42"/>
    </row>
    <row r="141" spans="2:14" s="13" customFormat="1" x14ac:dyDescent="0.35">
      <c r="B141" s="25"/>
      <c r="D141" s="42"/>
      <c r="E141" s="26"/>
      <c r="N141" s="42"/>
    </row>
    <row r="142" spans="2:14" s="13" customFormat="1" x14ac:dyDescent="0.35">
      <c r="B142" s="25"/>
      <c r="D142" s="42"/>
      <c r="E142" s="26"/>
      <c r="N142" s="42"/>
    </row>
    <row r="143" spans="2:14" s="13" customFormat="1" x14ac:dyDescent="0.35">
      <c r="B143" s="25"/>
      <c r="D143" s="42"/>
      <c r="E143" s="26"/>
      <c r="N143" s="42"/>
    </row>
    <row r="144" spans="2:14" s="13" customFormat="1" x14ac:dyDescent="0.35">
      <c r="B144" s="25"/>
      <c r="D144" s="42"/>
      <c r="E144" s="26"/>
      <c r="N144" s="42"/>
    </row>
    <row r="145" spans="2:14" s="13" customFormat="1" x14ac:dyDescent="0.35">
      <c r="B145" s="25"/>
      <c r="D145" s="42"/>
      <c r="E145" s="26"/>
      <c r="N145" s="42"/>
    </row>
    <row r="146" spans="2:14" s="13" customFormat="1" x14ac:dyDescent="0.35">
      <c r="B146" s="25"/>
      <c r="D146" s="42"/>
      <c r="E146" s="26"/>
      <c r="N146" s="42"/>
    </row>
    <row r="147" spans="2:14" s="13" customFormat="1" x14ac:dyDescent="0.35">
      <c r="B147" s="25"/>
      <c r="D147" s="42"/>
      <c r="E147" s="26"/>
      <c r="N147" s="42"/>
    </row>
    <row r="148" spans="2:14" s="13" customFormat="1" x14ac:dyDescent="0.35">
      <c r="B148" s="25"/>
      <c r="D148" s="42"/>
      <c r="E148" s="26"/>
      <c r="N148" s="42"/>
    </row>
    <row r="149" spans="2:14" s="13" customFormat="1" x14ac:dyDescent="0.35">
      <c r="B149" s="25"/>
      <c r="D149" s="42"/>
      <c r="E149" s="26"/>
      <c r="N149" s="42"/>
    </row>
    <row r="150" spans="2:14" s="13" customFormat="1" x14ac:dyDescent="0.35">
      <c r="B150" s="25"/>
      <c r="D150" s="42"/>
      <c r="E150" s="26"/>
      <c r="N150" s="42"/>
    </row>
    <row r="151" spans="2:14" s="13" customFormat="1" x14ac:dyDescent="0.35">
      <c r="B151" s="25"/>
      <c r="D151" s="42"/>
      <c r="E151" s="26"/>
      <c r="N151" s="42"/>
    </row>
    <row r="152" spans="2:14" s="13" customFormat="1" x14ac:dyDescent="0.35">
      <c r="B152" s="25"/>
      <c r="D152" s="42"/>
      <c r="E152" s="26"/>
      <c r="N152" s="42"/>
    </row>
    <row r="153" spans="2:14" s="13" customFormat="1" x14ac:dyDescent="0.35">
      <c r="B153" s="25"/>
      <c r="D153" s="42"/>
      <c r="E153" s="26"/>
      <c r="N153" s="42"/>
    </row>
    <row r="154" spans="2:14" s="13" customFormat="1" x14ac:dyDescent="0.35">
      <c r="B154" s="25"/>
      <c r="D154" s="42"/>
      <c r="E154" s="26"/>
      <c r="N154" s="42"/>
    </row>
    <row r="155" spans="2:14" s="13" customFormat="1" x14ac:dyDescent="0.35">
      <c r="B155" s="25"/>
      <c r="D155" s="42"/>
      <c r="E155" s="26"/>
      <c r="N155" s="42"/>
    </row>
    <row r="156" spans="2:14" s="13" customFormat="1" x14ac:dyDescent="0.35">
      <c r="B156" s="25"/>
      <c r="D156" s="42"/>
      <c r="E156" s="26"/>
      <c r="N156" s="42"/>
    </row>
    <row r="157" spans="2:14" s="13" customFormat="1" x14ac:dyDescent="0.35">
      <c r="B157" s="25"/>
      <c r="D157" s="42"/>
      <c r="E157" s="26"/>
      <c r="N157" s="42"/>
    </row>
    <row r="158" spans="2:14" s="13" customFormat="1" x14ac:dyDescent="0.35">
      <c r="B158" s="25"/>
      <c r="D158" s="42"/>
      <c r="E158" s="26"/>
      <c r="N158" s="42"/>
    </row>
    <row r="159" spans="2:14" s="13" customFormat="1" x14ac:dyDescent="0.35">
      <c r="B159" s="25"/>
      <c r="D159" s="42"/>
      <c r="E159" s="26"/>
      <c r="N159" s="42"/>
    </row>
    <row r="160" spans="2:14" s="13" customFormat="1" x14ac:dyDescent="0.35">
      <c r="B160" s="25"/>
      <c r="D160" s="42"/>
      <c r="E160" s="26"/>
      <c r="N160" s="42"/>
    </row>
    <row r="161" spans="2:14" s="13" customFormat="1" x14ac:dyDescent="0.35">
      <c r="B161" s="25"/>
      <c r="D161" s="42"/>
      <c r="E161" s="26"/>
      <c r="N161" s="42"/>
    </row>
    <row r="162" spans="2:14" s="13" customFormat="1" x14ac:dyDescent="0.35">
      <c r="B162" s="25"/>
      <c r="D162" s="42"/>
      <c r="E162" s="26"/>
      <c r="N162" s="42"/>
    </row>
    <row r="163" spans="2:14" s="13" customFormat="1" x14ac:dyDescent="0.35">
      <c r="B163" s="25"/>
      <c r="D163" s="42"/>
      <c r="E163" s="26"/>
      <c r="N163" s="42"/>
    </row>
    <row r="164" spans="2:14" s="13" customFormat="1" x14ac:dyDescent="0.35">
      <c r="B164" s="25"/>
      <c r="D164" s="42"/>
      <c r="E164" s="26"/>
      <c r="N164" s="42"/>
    </row>
    <row r="165" spans="2:14" s="13" customFormat="1" x14ac:dyDescent="0.35">
      <c r="B165" s="25"/>
      <c r="D165" s="42"/>
      <c r="E165" s="26"/>
      <c r="N165" s="42"/>
    </row>
    <row r="166" spans="2:14" s="13" customFormat="1" x14ac:dyDescent="0.35">
      <c r="B166" s="25"/>
      <c r="D166" s="42"/>
      <c r="E166" s="26"/>
      <c r="N166" s="42"/>
    </row>
    <row r="167" spans="2:14" s="13" customFormat="1" x14ac:dyDescent="0.35">
      <c r="B167" s="25"/>
      <c r="D167" s="42"/>
      <c r="E167" s="26"/>
      <c r="N167" s="42"/>
    </row>
    <row r="168" spans="2:14" s="13" customFormat="1" x14ac:dyDescent="0.35">
      <c r="B168" s="25"/>
      <c r="D168" s="42"/>
      <c r="E168" s="26"/>
      <c r="N168" s="42"/>
    </row>
    <row r="169" spans="2:14" s="13" customFormat="1" x14ac:dyDescent="0.35">
      <c r="B169" s="25"/>
      <c r="D169" s="42"/>
      <c r="E169" s="26"/>
      <c r="N169" s="42"/>
    </row>
    <row r="170" spans="2:14" s="13" customFormat="1" x14ac:dyDescent="0.35">
      <c r="B170" s="25"/>
      <c r="D170" s="42"/>
      <c r="E170" s="26"/>
      <c r="N170" s="42"/>
    </row>
    <row r="171" spans="2:14" s="13" customFormat="1" x14ac:dyDescent="0.35">
      <c r="B171" s="25"/>
      <c r="D171" s="42"/>
      <c r="E171" s="26"/>
      <c r="N171" s="42"/>
    </row>
    <row r="172" spans="2:14" s="13" customFormat="1" x14ac:dyDescent="0.35">
      <c r="B172" s="25"/>
      <c r="D172" s="42"/>
      <c r="E172" s="26"/>
      <c r="N172" s="42"/>
    </row>
    <row r="173" spans="2:14" s="13" customFormat="1" x14ac:dyDescent="0.35">
      <c r="B173" s="25"/>
      <c r="D173" s="42"/>
      <c r="E173" s="26"/>
      <c r="N173" s="42"/>
    </row>
    <row r="174" spans="2:14" s="13" customFormat="1" x14ac:dyDescent="0.35">
      <c r="B174" s="25"/>
      <c r="D174" s="42"/>
      <c r="E174" s="26"/>
      <c r="N174" s="42"/>
    </row>
    <row r="175" spans="2:14" s="13" customFormat="1" x14ac:dyDescent="0.35">
      <c r="B175" s="25"/>
      <c r="D175" s="42"/>
      <c r="E175" s="26"/>
      <c r="N175" s="42"/>
    </row>
    <row r="176" spans="2:14" s="13" customFormat="1" x14ac:dyDescent="0.35">
      <c r="B176" s="25"/>
      <c r="D176" s="42"/>
      <c r="E176" s="26"/>
      <c r="N176" s="42"/>
    </row>
    <row r="177" spans="2:14" s="13" customFormat="1" x14ac:dyDescent="0.35">
      <c r="B177" s="25"/>
      <c r="D177" s="42"/>
      <c r="E177" s="26"/>
      <c r="N177" s="42"/>
    </row>
    <row r="178" spans="2:14" s="13" customFormat="1" x14ac:dyDescent="0.35">
      <c r="B178" s="25"/>
      <c r="D178" s="42"/>
      <c r="E178" s="26"/>
      <c r="N178" s="42"/>
    </row>
    <row r="179" spans="2:14" s="13" customFormat="1" x14ac:dyDescent="0.35">
      <c r="B179" s="25"/>
      <c r="D179" s="42"/>
      <c r="E179" s="26"/>
      <c r="N179" s="42"/>
    </row>
    <row r="180" spans="2:14" s="13" customFormat="1" x14ac:dyDescent="0.35">
      <c r="B180" s="25"/>
      <c r="D180" s="42"/>
      <c r="E180" s="26"/>
      <c r="N180" s="42"/>
    </row>
    <row r="181" spans="2:14" s="13" customFormat="1" x14ac:dyDescent="0.35">
      <c r="B181" s="25"/>
      <c r="D181" s="42"/>
      <c r="E181" s="26"/>
      <c r="N181" s="42"/>
    </row>
    <row r="182" spans="2:14" s="13" customFormat="1" x14ac:dyDescent="0.35">
      <c r="B182" s="25"/>
      <c r="D182" s="42"/>
      <c r="E182" s="26"/>
      <c r="N182" s="42"/>
    </row>
    <row r="183" spans="2:14" s="13" customFormat="1" x14ac:dyDescent="0.35">
      <c r="B183" s="25"/>
      <c r="D183" s="42"/>
      <c r="E183" s="26"/>
      <c r="N183" s="42"/>
    </row>
    <row r="184" spans="2:14" s="13" customFormat="1" x14ac:dyDescent="0.35">
      <c r="B184" s="25"/>
      <c r="D184" s="42"/>
      <c r="E184" s="26"/>
      <c r="N184" s="42"/>
    </row>
    <row r="185" spans="2:14" s="13" customFormat="1" x14ac:dyDescent="0.35">
      <c r="B185" s="25"/>
      <c r="D185" s="42"/>
      <c r="E185" s="26"/>
      <c r="N185" s="42"/>
    </row>
    <row r="186" spans="2:14" s="13" customFormat="1" x14ac:dyDescent="0.35">
      <c r="B186" s="25"/>
      <c r="D186" s="42"/>
      <c r="E186" s="26"/>
      <c r="N186" s="42"/>
    </row>
    <row r="187" spans="2:14" s="13" customFormat="1" x14ac:dyDescent="0.35">
      <c r="B187" s="25"/>
      <c r="D187" s="42"/>
      <c r="E187" s="26"/>
      <c r="N187" s="42"/>
    </row>
    <row r="188" spans="2:14" s="13" customFormat="1" x14ac:dyDescent="0.35">
      <c r="B188" s="25"/>
      <c r="D188" s="42"/>
      <c r="E188" s="26"/>
      <c r="N188" s="42"/>
    </row>
    <row r="189" spans="2:14" s="13" customFormat="1" x14ac:dyDescent="0.35">
      <c r="B189" s="25"/>
      <c r="D189" s="42"/>
      <c r="E189" s="26"/>
      <c r="N189" s="42"/>
    </row>
    <row r="190" spans="2:14" s="13" customFormat="1" x14ac:dyDescent="0.35">
      <c r="B190" s="25"/>
      <c r="D190" s="42"/>
      <c r="E190" s="26"/>
      <c r="N190" s="42"/>
    </row>
    <row r="191" spans="2:14" s="13" customFormat="1" x14ac:dyDescent="0.35">
      <c r="B191" s="25"/>
      <c r="D191" s="42"/>
      <c r="E191" s="26"/>
      <c r="N191" s="42"/>
    </row>
    <row r="192" spans="2:14" s="13" customFormat="1" x14ac:dyDescent="0.35">
      <c r="B192" s="25"/>
      <c r="D192" s="42"/>
      <c r="E192" s="26"/>
      <c r="N192" s="42"/>
    </row>
    <row r="193" spans="2:14" s="13" customFormat="1" x14ac:dyDescent="0.35">
      <c r="B193" s="25"/>
      <c r="D193" s="42"/>
      <c r="E193" s="26"/>
      <c r="N193" s="42"/>
    </row>
    <row r="194" spans="2:14" s="13" customFormat="1" x14ac:dyDescent="0.35">
      <c r="B194" s="25"/>
      <c r="D194" s="42"/>
      <c r="E194" s="26"/>
      <c r="N194" s="42"/>
    </row>
    <row r="195" spans="2:14" s="13" customFormat="1" x14ac:dyDescent="0.35">
      <c r="B195" s="25"/>
      <c r="D195" s="42"/>
      <c r="E195" s="26"/>
      <c r="N195" s="42"/>
    </row>
    <row r="196" spans="2:14" s="13" customFormat="1" x14ac:dyDescent="0.35">
      <c r="B196" s="25"/>
      <c r="D196" s="42"/>
      <c r="E196" s="26"/>
      <c r="N196" s="42"/>
    </row>
    <row r="197" spans="2:14" s="13" customFormat="1" x14ac:dyDescent="0.35">
      <c r="B197" s="25"/>
      <c r="D197" s="42"/>
      <c r="E197" s="26"/>
      <c r="N197" s="42"/>
    </row>
    <row r="198" spans="2:14" s="13" customFormat="1" x14ac:dyDescent="0.35">
      <c r="B198" s="25"/>
      <c r="D198" s="42"/>
      <c r="E198" s="26"/>
      <c r="N198" s="42"/>
    </row>
    <row r="199" spans="2:14" s="13" customFormat="1" x14ac:dyDescent="0.35">
      <c r="B199" s="25"/>
      <c r="D199" s="42"/>
      <c r="E199" s="26"/>
      <c r="N199" s="42"/>
    </row>
    <row r="200" spans="2:14" s="13" customFormat="1" x14ac:dyDescent="0.35">
      <c r="B200" s="25"/>
      <c r="D200" s="42"/>
      <c r="E200" s="26"/>
      <c r="N200" s="42"/>
    </row>
    <row r="201" spans="2:14" s="13" customFormat="1" x14ac:dyDescent="0.35">
      <c r="B201" s="25"/>
      <c r="D201" s="42"/>
      <c r="E201" s="26"/>
      <c r="N201" s="42"/>
    </row>
    <row r="202" spans="2:14" s="13" customFormat="1" x14ac:dyDescent="0.35">
      <c r="B202" s="25"/>
      <c r="D202" s="42"/>
      <c r="E202" s="26"/>
      <c r="N202" s="42"/>
    </row>
    <row r="203" spans="2:14" s="13" customFormat="1" x14ac:dyDescent="0.35">
      <c r="B203" s="25"/>
      <c r="D203" s="42"/>
      <c r="E203" s="26"/>
      <c r="N203" s="42"/>
    </row>
    <row r="204" spans="2:14" s="13" customFormat="1" x14ac:dyDescent="0.35">
      <c r="B204" s="25"/>
      <c r="D204" s="42"/>
      <c r="E204" s="26"/>
      <c r="N204" s="42"/>
    </row>
    <row r="205" spans="2:14" s="13" customFormat="1" x14ac:dyDescent="0.35">
      <c r="B205" s="25"/>
      <c r="D205" s="42"/>
      <c r="E205" s="26"/>
      <c r="N205" s="42"/>
    </row>
    <row r="206" spans="2:14" s="13" customFormat="1" x14ac:dyDescent="0.35">
      <c r="B206" s="25"/>
      <c r="D206" s="42"/>
      <c r="E206" s="26"/>
      <c r="N206" s="42"/>
    </row>
    <row r="207" spans="2:14" s="13" customFormat="1" x14ac:dyDescent="0.35">
      <c r="B207" s="25"/>
      <c r="D207" s="42"/>
      <c r="E207" s="26"/>
      <c r="N207" s="42"/>
    </row>
    <row r="208" spans="2:14" s="13" customFormat="1" x14ac:dyDescent="0.35">
      <c r="B208" s="25"/>
      <c r="D208" s="42"/>
      <c r="E208" s="26"/>
      <c r="N208" s="42"/>
    </row>
    <row r="209" spans="2:14" s="13" customFormat="1" x14ac:dyDescent="0.35">
      <c r="B209" s="25"/>
      <c r="D209" s="42"/>
      <c r="E209" s="26"/>
      <c r="N209" s="42"/>
    </row>
    <row r="210" spans="2:14" s="13" customFormat="1" x14ac:dyDescent="0.35">
      <c r="B210" s="25"/>
      <c r="D210" s="42"/>
      <c r="E210" s="26"/>
      <c r="N210" s="42"/>
    </row>
    <row r="211" spans="2:14" s="13" customFormat="1" x14ac:dyDescent="0.35">
      <c r="B211" s="25"/>
      <c r="D211" s="42"/>
      <c r="E211" s="26"/>
      <c r="N211" s="42"/>
    </row>
    <row r="212" spans="2:14" s="13" customFormat="1" x14ac:dyDescent="0.35">
      <c r="B212" s="25"/>
      <c r="D212" s="42"/>
      <c r="E212" s="26"/>
      <c r="N212" s="42"/>
    </row>
    <row r="213" spans="2:14" s="13" customFormat="1" x14ac:dyDescent="0.35">
      <c r="B213" s="25"/>
      <c r="D213" s="42"/>
      <c r="E213" s="26"/>
      <c r="N213" s="42"/>
    </row>
    <row r="214" spans="2:14" s="13" customFormat="1" x14ac:dyDescent="0.35">
      <c r="B214" s="25"/>
      <c r="D214" s="42"/>
      <c r="E214" s="26"/>
      <c r="N214" s="42"/>
    </row>
    <row r="215" spans="2:14" s="13" customFormat="1" x14ac:dyDescent="0.35">
      <c r="B215" s="25"/>
      <c r="D215" s="42"/>
      <c r="E215" s="26"/>
      <c r="N215" s="42"/>
    </row>
    <row r="216" spans="2:14" s="13" customFormat="1" x14ac:dyDescent="0.35">
      <c r="B216" s="25"/>
      <c r="D216" s="42"/>
      <c r="E216" s="26"/>
      <c r="N216" s="42"/>
    </row>
    <row r="217" spans="2:14" s="13" customFormat="1" x14ac:dyDescent="0.35">
      <c r="B217" s="25"/>
      <c r="D217" s="42"/>
      <c r="E217" s="26"/>
      <c r="N217" s="42"/>
    </row>
    <row r="218" spans="2:14" s="13" customFormat="1" x14ac:dyDescent="0.35">
      <c r="B218" s="25"/>
      <c r="D218" s="42"/>
      <c r="E218" s="26"/>
      <c r="N218" s="42"/>
    </row>
    <row r="219" spans="2:14" s="13" customFormat="1" x14ac:dyDescent="0.35">
      <c r="B219" s="25"/>
      <c r="D219" s="42"/>
      <c r="E219" s="26"/>
      <c r="N219" s="42"/>
    </row>
    <row r="220" spans="2:14" s="13" customFormat="1" x14ac:dyDescent="0.35">
      <c r="B220" s="25"/>
      <c r="D220" s="42"/>
      <c r="E220" s="26"/>
      <c r="N220" s="42"/>
    </row>
    <row r="221" spans="2:14" s="13" customFormat="1" x14ac:dyDescent="0.35">
      <c r="B221" s="25"/>
      <c r="D221" s="42"/>
      <c r="E221" s="26"/>
      <c r="N221" s="42"/>
    </row>
    <row r="222" spans="2:14" s="13" customFormat="1" x14ac:dyDescent="0.35">
      <c r="B222" s="25"/>
      <c r="D222" s="42"/>
      <c r="E222" s="26"/>
      <c r="N222" s="42"/>
    </row>
    <row r="223" spans="2:14" s="13" customFormat="1" x14ac:dyDescent="0.35">
      <c r="B223" s="25"/>
      <c r="D223" s="42"/>
      <c r="E223" s="26"/>
      <c r="N223" s="42"/>
    </row>
    <row r="224" spans="2:14" s="13" customFormat="1" x14ac:dyDescent="0.35">
      <c r="B224" s="25"/>
      <c r="D224" s="42"/>
      <c r="E224" s="26"/>
      <c r="N224" s="42"/>
    </row>
    <row r="225" spans="2:14" s="13" customFormat="1" x14ac:dyDescent="0.35">
      <c r="B225" s="25"/>
      <c r="D225" s="42"/>
      <c r="E225" s="26"/>
      <c r="N225" s="42"/>
    </row>
    <row r="226" spans="2:14" s="13" customFormat="1" x14ac:dyDescent="0.35">
      <c r="B226" s="25"/>
      <c r="D226" s="42"/>
      <c r="E226" s="26"/>
      <c r="N226" s="42"/>
    </row>
    <row r="227" spans="2:14" s="13" customFormat="1" x14ac:dyDescent="0.35">
      <c r="B227" s="25"/>
      <c r="D227" s="42"/>
      <c r="E227" s="26"/>
      <c r="N227" s="42"/>
    </row>
    <row r="228" spans="2:14" s="13" customFormat="1" x14ac:dyDescent="0.35">
      <c r="B228" s="25"/>
      <c r="D228" s="42"/>
      <c r="E228" s="26"/>
      <c r="N228" s="42"/>
    </row>
    <row r="229" spans="2:14" s="13" customFormat="1" x14ac:dyDescent="0.35">
      <c r="B229" s="25"/>
      <c r="D229" s="42"/>
      <c r="E229" s="26"/>
      <c r="N229" s="42"/>
    </row>
    <row r="230" spans="2:14" s="13" customFormat="1" x14ac:dyDescent="0.35">
      <c r="B230" s="25"/>
      <c r="D230" s="42"/>
      <c r="E230" s="26"/>
      <c r="N230" s="42"/>
    </row>
    <row r="231" spans="2:14" s="13" customFormat="1" x14ac:dyDescent="0.35">
      <c r="B231" s="25"/>
      <c r="D231" s="42"/>
      <c r="E231" s="26"/>
      <c r="N231" s="42"/>
    </row>
    <row r="232" spans="2:14" s="13" customFormat="1" x14ac:dyDescent="0.35">
      <c r="B232" s="25"/>
      <c r="D232" s="42"/>
      <c r="E232" s="26"/>
      <c r="N232" s="42"/>
    </row>
    <row r="233" spans="2:14" s="13" customFormat="1" x14ac:dyDescent="0.35">
      <c r="B233" s="25"/>
      <c r="D233" s="42"/>
      <c r="E233" s="26"/>
      <c r="N233" s="42"/>
    </row>
    <row r="234" spans="2:14" s="13" customFormat="1" x14ac:dyDescent="0.35">
      <c r="B234" s="25"/>
      <c r="D234" s="42"/>
      <c r="E234" s="26"/>
      <c r="N234" s="42"/>
    </row>
    <row r="235" spans="2:14" s="13" customFormat="1" x14ac:dyDescent="0.35">
      <c r="B235" s="25"/>
      <c r="D235" s="42"/>
      <c r="E235" s="26"/>
      <c r="N235" s="42"/>
    </row>
    <row r="236" spans="2:14" s="13" customFormat="1" x14ac:dyDescent="0.35">
      <c r="B236" s="25"/>
      <c r="D236" s="42"/>
      <c r="E236" s="26"/>
      <c r="N236" s="42"/>
    </row>
    <row r="237" spans="2:14" s="13" customFormat="1" x14ac:dyDescent="0.35">
      <c r="B237" s="25"/>
      <c r="D237" s="42"/>
      <c r="E237" s="26"/>
      <c r="N237" s="42"/>
    </row>
    <row r="238" spans="2:14" s="13" customFormat="1" x14ac:dyDescent="0.35">
      <c r="B238" s="25"/>
      <c r="D238" s="42"/>
      <c r="E238" s="26"/>
      <c r="N238" s="42"/>
    </row>
    <row r="239" spans="2:14" s="13" customFormat="1" x14ac:dyDescent="0.35">
      <c r="B239" s="25"/>
      <c r="D239" s="42"/>
      <c r="E239" s="26"/>
      <c r="N239" s="42"/>
    </row>
    <row r="240" spans="2:14" s="13" customFormat="1" x14ac:dyDescent="0.35">
      <c r="B240" s="25"/>
      <c r="D240" s="42"/>
      <c r="E240" s="26"/>
      <c r="N240" s="42"/>
    </row>
    <row r="241" spans="2:14" s="13" customFormat="1" x14ac:dyDescent="0.35">
      <c r="B241" s="25"/>
      <c r="D241" s="42"/>
      <c r="E241" s="26"/>
      <c r="N241" s="42"/>
    </row>
    <row r="242" spans="2:14" s="13" customFormat="1" x14ac:dyDescent="0.35">
      <c r="B242" s="25"/>
      <c r="D242" s="42"/>
      <c r="E242" s="26"/>
      <c r="N242" s="42"/>
    </row>
    <row r="243" spans="2:14" s="13" customFormat="1" x14ac:dyDescent="0.35">
      <c r="B243" s="25"/>
      <c r="D243" s="42"/>
      <c r="E243" s="26"/>
      <c r="N243" s="42"/>
    </row>
    <row r="244" spans="2:14" s="13" customFormat="1" x14ac:dyDescent="0.35">
      <c r="B244" s="25"/>
      <c r="D244" s="42"/>
      <c r="E244" s="26"/>
      <c r="N244" s="42"/>
    </row>
    <row r="245" spans="2:14" s="13" customFormat="1" x14ac:dyDescent="0.35">
      <c r="B245" s="25"/>
      <c r="D245" s="42"/>
      <c r="E245" s="26"/>
      <c r="N245" s="42"/>
    </row>
    <row r="246" spans="2:14" s="13" customFormat="1" x14ac:dyDescent="0.35">
      <c r="B246" s="25"/>
      <c r="D246" s="42"/>
      <c r="E246" s="26"/>
      <c r="N246" s="42"/>
    </row>
    <row r="247" spans="2:14" s="13" customFormat="1" x14ac:dyDescent="0.35">
      <c r="B247" s="25"/>
      <c r="D247" s="42"/>
      <c r="E247" s="26"/>
      <c r="N247" s="42"/>
    </row>
    <row r="248" spans="2:14" s="13" customFormat="1" x14ac:dyDescent="0.35">
      <c r="B248" s="25"/>
      <c r="D248" s="42"/>
      <c r="E248" s="26"/>
      <c r="N248" s="42"/>
    </row>
    <row r="249" spans="2:14" s="13" customFormat="1" x14ac:dyDescent="0.35">
      <c r="B249" s="25"/>
      <c r="D249" s="42"/>
      <c r="E249" s="26"/>
      <c r="N249" s="42"/>
    </row>
    <row r="250" spans="2:14" s="13" customFormat="1" x14ac:dyDescent="0.35">
      <c r="B250" s="25"/>
      <c r="D250" s="42"/>
      <c r="E250" s="26"/>
      <c r="N250" s="42"/>
    </row>
    <row r="251" spans="2:14" s="13" customFormat="1" x14ac:dyDescent="0.35">
      <c r="B251" s="25"/>
      <c r="D251" s="42"/>
      <c r="E251" s="26"/>
      <c r="N251" s="42"/>
    </row>
    <row r="252" spans="2:14" s="13" customFormat="1" x14ac:dyDescent="0.35">
      <c r="B252" s="25"/>
      <c r="D252" s="42"/>
      <c r="E252" s="26"/>
      <c r="N252" s="42"/>
    </row>
    <row r="253" spans="2:14" s="13" customFormat="1" x14ac:dyDescent="0.35">
      <c r="B253" s="25"/>
      <c r="D253" s="42"/>
      <c r="E253" s="26"/>
      <c r="N253" s="42"/>
    </row>
    <row r="254" spans="2:14" s="13" customFormat="1" x14ac:dyDescent="0.35">
      <c r="B254" s="25"/>
      <c r="D254" s="42"/>
      <c r="E254" s="26"/>
      <c r="N254" s="42"/>
    </row>
    <row r="255" spans="2:14" s="13" customFormat="1" x14ac:dyDescent="0.35">
      <c r="B255" s="25"/>
      <c r="D255" s="42"/>
      <c r="E255" s="26"/>
      <c r="N255" s="42"/>
    </row>
    <row r="256" spans="2:14" s="13" customFormat="1" x14ac:dyDescent="0.35">
      <c r="B256" s="25"/>
      <c r="D256" s="42"/>
      <c r="E256" s="26"/>
      <c r="N256" s="42"/>
    </row>
    <row r="257" spans="2:14" s="13" customFormat="1" x14ac:dyDescent="0.35">
      <c r="B257" s="25"/>
      <c r="D257" s="42"/>
      <c r="E257" s="26"/>
      <c r="N257" s="42"/>
    </row>
    <row r="258" spans="2:14" s="13" customFormat="1" x14ac:dyDescent="0.35">
      <c r="B258" s="25"/>
      <c r="D258" s="42"/>
      <c r="E258" s="26"/>
      <c r="N258" s="42"/>
    </row>
    <row r="259" spans="2:14" s="13" customFormat="1" x14ac:dyDescent="0.35">
      <c r="B259" s="25"/>
      <c r="D259" s="42"/>
      <c r="E259" s="26"/>
      <c r="N259" s="42"/>
    </row>
    <row r="260" spans="2:14" s="13" customFormat="1" x14ac:dyDescent="0.35">
      <c r="B260" s="25"/>
      <c r="D260" s="42"/>
      <c r="E260" s="26"/>
      <c r="N260" s="42"/>
    </row>
    <row r="261" spans="2:14" s="13" customFormat="1" x14ac:dyDescent="0.35">
      <c r="B261" s="25"/>
      <c r="D261" s="42"/>
      <c r="E261" s="26"/>
      <c r="N261" s="42"/>
    </row>
    <row r="262" spans="2:14" s="13" customFormat="1" x14ac:dyDescent="0.35">
      <c r="B262" s="25"/>
      <c r="D262" s="42"/>
      <c r="E262" s="26"/>
      <c r="N262" s="42"/>
    </row>
    <row r="263" spans="2:14" s="13" customFormat="1" x14ac:dyDescent="0.35">
      <c r="B263" s="25"/>
      <c r="D263" s="42"/>
      <c r="E263" s="26"/>
      <c r="N263" s="42"/>
    </row>
    <row r="264" spans="2:14" s="13" customFormat="1" x14ac:dyDescent="0.35">
      <c r="B264" s="25"/>
      <c r="D264" s="42"/>
      <c r="E264" s="26"/>
      <c r="N264" s="42"/>
    </row>
    <row r="265" spans="2:14" s="13" customFormat="1" x14ac:dyDescent="0.35">
      <c r="B265" s="25"/>
      <c r="D265" s="42"/>
      <c r="E265" s="26"/>
      <c r="N265" s="42"/>
    </row>
    <row r="266" spans="2:14" s="13" customFormat="1" x14ac:dyDescent="0.35">
      <c r="B266" s="25"/>
      <c r="D266" s="42"/>
      <c r="E266" s="26"/>
      <c r="N266" s="42"/>
    </row>
    <row r="267" spans="2:14" s="13" customFormat="1" x14ac:dyDescent="0.35">
      <c r="B267" s="25"/>
      <c r="D267" s="42"/>
      <c r="E267" s="26"/>
      <c r="N267" s="42"/>
    </row>
    <row r="268" spans="2:14" s="13" customFormat="1" x14ac:dyDescent="0.35">
      <c r="B268" s="25"/>
      <c r="D268" s="42"/>
      <c r="E268" s="26"/>
      <c r="N268" s="42"/>
    </row>
    <row r="269" spans="2:14" s="13" customFormat="1" x14ac:dyDescent="0.35">
      <c r="B269" s="25"/>
      <c r="D269" s="42"/>
      <c r="E269" s="26"/>
      <c r="N269" s="42"/>
    </row>
    <row r="270" spans="2:14" s="13" customFormat="1" x14ac:dyDescent="0.35">
      <c r="B270" s="25"/>
      <c r="D270" s="42"/>
      <c r="E270" s="26"/>
      <c r="N270" s="42"/>
    </row>
    <row r="271" spans="2:14" s="13" customFormat="1" x14ac:dyDescent="0.35">
      <c r="B271" s="25"/>
      <c r="D271" s="42"/>
      <c r="E271" s="26"/>
      <c r="N271" s="42"/>
    </row>
    <row r="272" spans="2:14" s="13" customFormat="1" x14ac:dyDescent="0.35">
      <c r="B272" s="25"/>
      <c r="D272" s="42"/>
      <c r="E272" s="26"/>
      <c r="N272" s="42"/>
    </row>
    <row r="273" spans="2:14" s="13" customFormat="1" x14ac:dyDescent="0.35">
      <c r="B273" s="25"/>
      <c r="D273" s="42"/>
      <c r="E273" s="26"/>
      <c r="N273" s="42"/>
    </row>
    <row r="274" spans="2:14" s="13" customFormat="1" x14ac:dyDescent="0.35">
      <c r="B274" s="25"/>
      <c r="D274" s="42"/>
      <c r="E274" s="26"/>
      <c r="N274" s="42"/>
    </row>
    <row r="275" spans="2:14" s="13" customFormat="1" x14ac:dyDescent="0.35">
      <c r="B275" s="25"/>
      <c r="D275" s="42"/>
      <c r="E275" s="26"/>
      <c r="N275" s="42"/>
    </row>
    <row r="276" spans="2:14" s="13" customFormat="1" x14ac:dyDescent="0.35">
      <c r="B276" s="25"/>
      <c r="D276" s="42"/>
      <c r="E276" s="26"/>
      <c r="N276" s="42"/>
    </row>
    <row r="277" spans="2:14" s="13" customFormat="1" x14ac:dyDescent="0.35">
      <c r="B277" s="25"/>
      <c r="D277" s="42"/>
      <c r="E277" s="26"/>
      <c r="N277" s="42"/>
    </row>
    <row r="278" spans="2:14" s="13" customFormat="1" x14ac:dyDescent="0.35">
      <c r="B278" s="25"/>
      <c r="D278" s="42"/>
      <c r="E278" s="26"/>
      <c r="N278" s="42"/>
    </row>
    <row r="279" spans="2:14" s="13" customFormat="1" x14ac:dyDescent="0.35">
      <c r="B279" s="25"/>
      <c r="D279" s="42"/>
      <c r="E279" s="26"/>
      <c r="N279" s="42"/>
    </row>
    <row r="280" spans="2:14" s="13" customFormat="1" x14ac:dyDescent="0.35">
      <c r="B280" s="25"/>
      <c r="D280" s="42"/>
      <c r="E280" s="26"/>
      <c r="N280" s="42"/>
    </row>
    <row r="281" spans="2:14" s="13" customFormat="1" x14ac:dyDescent="0.35">
      <c r="B281" s="25"/>
      <c r="D281" s="42"/>
      <c r="E281" s="26"/>
      <c r="N281" s="42"/>
    </row>
    <row r="282" spans="2:14" s="13" customFormat="1" x14ac:dyDescent="0.35">
      <c r="B282" s="25"/>
      <c r="D282" s="42"/>
      <c r="E282" s="26"/>
      <c r="N282" s="42"/>
    </row>
    <row r="283" spans="2:14" s="13" customFormat="1" x14ac:dyDescent="0.35">
      <c r="B283" s="25"/>
      <c r="D283" s="42"/>
      <c r="E283" s="26"/>
      <c r="N283" s="42"/>
    </row>
    <row r="284" spans="2:14" s="13" customFormat="1" x14ac:dyDescent="0.35">
      <c r="B284" s="25"/>
      <c r="D284" s="42"/>
      <c r="E284" s="26"/>
      <c r="N284" s="42"/>
    </row>
    <row r="285" spans="2:14" s="13" customFormat="1" x14ac:dyDescent="0.35">
      <c r="B285" s="25"/>
      <c r="D285" s="42"/>
      <c r="E285" s="26"/>
      <c r="N285" s="42"/>
    </row>
    <row r="286" spans="2:14" s="13" customFormat="1" x14ac:dyDescent="0.35">
      <c r="B286" s="25"/>
      <c r="D286" s="42"/>
      <c r="E286" s="26"/>
      <c r="N286" s="42"/>
    </row>
    <row r="287" spans="2:14" s="13" customFormat="1" x14ac:dyDescent="0.35">
      <c r="B287" s="25"/>
      <c r="D287" s="42"/>
      <c r="E287" s="26"/>
      <c r="N287" s="42"/>
    </row>
    <row r="288" spans="2:14" s="13" customFormat="1" x14ac:dyDescent="0.35">
      <c r="B288" s="25"/>
      <c r="D288" s="42"/>
      <c r="E288" s="26"/>
      <c r="N288" s="42"/>
    </row>
    <row r="289" spans="2:14" s="13" customFormat="1" x14ac:dyDescent="0.35">
      <c r="B289" s="25"/>
      <c r="D289" s="42"/>
      <c r="E289" s="26"/>
      <c r="N289" s="42"/>
    </row>
    <row r="290" spans="2:14" s="13" customFormat="1" x14ac:dyDescent="0.35">
      <c r="B290" s="25"/>
      <c r="D290" s="42"/>
      <c r="E290" s="26"/>
      <c r="N290" s="42"/>
    </row>
    <row r="291" spans="2:14" s="13" customFormat="1" x14ac:dyDescent="0.35">
      <c r="B291" s="25"/>
      <c r="D291" s="42"/>
      <c r="E291" s="26"/>
      <c r="N291" s="42"/>
    </row>
    <row r="292" spans="2:14" s="13" customFormat="1" x14ac:dyDescent="0.35">
      <c r="B292" s="25"/>
      <c r="D292" s="42"/>
      <c r="E292" s="26"/>
      <c r="N292" s="42"/>
    </row>
    <row r="293" spans="2:14" s="13" customFormat="1" x14ac:dyDescent="0.35">
      <c r="B293" s="25"/>
      <c r="D293" s="42"/>
      <c r="E293" s="26"/>
      <c r="N293" s="42"/>
    </row>
    <row r="294" spans="2:14" s="13" customFormat="1" x14ac:dyDescent="0.35">
      <c r="B294" s="25"/>
      <c r="D294" s="42"/>
      <c r="E294" s="26"/>
      <c r="N294" s="42"/>
    </row>
    <row r="295" spans="2:14" s="13" customFormat="1" x14ac:dyDescent="0.35">
      <c r="B295" s="25"/>
      <c r="D295" s="42"/>
      <c r="E295" s="26"/>
      <c r="N295" s="42"/>
    </row>
    <row r="296" spans="2:14" s="13" customFormat="1" x14ac:dyDescent="0.35">
      <c r="B296" s="25"/>
      <c r="D296" s="42"/>
      <c r="E296" s="26"/>
      <c r="N296" s="42"/>
    </row>
    <row r="297" spans="2:14" s="13" customFormat="1" x14ac:dyDescent="0.35">
      <c r="B297" s="25"/>
      <c r="D297" s="42"/>
      <c r="E297" s="26"/>
      <c r="N297" s="42"/>
    </row>
    <row r="298" spans="2:14" s="13" customFormat="1" x14ac:dyDescent="0.35">
      <c r="B298" s="25"/>
      <c r="D298" s="42"/>
      <c r="E298" s="26"/>
      <c r="N298" s="42"/>
    </row>
    <row r="299" spans="2:14" s="13" customFormat="1" x14ac:dyDescent="0.35">
      <c r="B299" s="25"/>
      <c r="D299" s="42"/>
      <c r="E299" s="26"/>
      <c r="N299" s="42"/>
    </row>
    <row r="300" spans="2:14" s="13" customFormat="1" x14ac:dyDescent="0.35">
      <c r="B300" s="25"/>
      <c r="D300" s="42"/>
      <c r="E300" s="26"/>
      <c r="N300" s="42"/>
    </row>
    <row r="301" spans="2:14" s="13" customFormat="1" x14ac:dyDescent="0.35">
      <c r="B301" s="25"/>
      <c r="D301" s="42"/>
      <c r="E301" s="26"/>
      <c r="N301" s="42"/>
    </row>
    <row r="302" spans="2:14" s="13" customFormat="1" x14ac:dyDescent="0.35">
      <c r="B302" s="25"/>
      <c r="D302" s="42"/>
      <c r="E302" s="26"/>
      <c r="N302" s="42"/>
    </row>
    <row r="303" spans="2:14" s="13" customFormat="1" x14ac:dyDescent="0.35">
      <c r="B303" s="25"/>
      <c r="D303" s="42"/>
      <c r="E303" s="26"/>
      <c r="N303" s="42"/>
    </row>
    <row r="304" spans="2:14" s="13" customFormat="1" x14ac:dyDescent="0.35">
      <c r="B304" s="25"/>
      <c r="D304" s="42"/>
      <c r="E304" s="26"/>
      <c r="N304" s="42"/>
    </row>
    <row r="305" spans="2:14" s="13" customFormat="1" x14ac:dyDescent="0.35">
      <c r="B305" s="25"/>
      <c r="D305" s="42"/>
      <c r="E305" s="26"/>
      <c r="N305" s="42"/>
    </row>
    <row r="306" spans="2:14" s="13" customFormat="1" x14ac:dyDescent="0.35">
      <c r="B306" s="25"/>
      <c r="D306" s="42"/>
      <c r="E306" s="26"/>
      <c r="N306" s="42"/>
    </row>
    <row r="307" spans="2:14" s="13" customFormat="1" x14ac:dyDescent="0.35">
      <c r="B307" s="25"/>
      <c r="D307" s="42"/>
      <c r="E307" s="26"/>
      <c r="N307" s="42"/>
    </row>
    <row r="308" spans="2:14" s="13" customFormat="1" x14ac:dyDescent="0.35">
      <c r="B308" s="25"/>
      <c r="D308" s="42"/>
      <c r="E308" s="26"/>
      <c r="N308" s="42"/>
    </row>
    <row r="309" spans="2:14" s="13" customFormat="1" x14ac:dyDescent="0.35">
      <c r="B309" s="25"/>
      <c r="D309" s="42"/>
      <c r="E309" s="26"/>
      <c r="N309" s="42"/>
    </row>
    <row r="310" spans="2:14" s="13" customFormat="1" x14ac:dyDescent="0.35">
      <c r="B310" s="25"/>
      <c r="D310" s="42"/>
      <c r="E310" s="26"/>
      <c r="N310" s="42"/>
    </row>
    <row r="311" spans="2:14" s="13" customFormat="1" x14ac:dyDescent="0.35">
      <c r="B311" s="25"/>
      <c r="D311" s="42"/>
      <c r="E311" s="26"/>
      <c r="N311" s="42"/>
    </row>
    <row r="312" spans="2:14" s="13" customFormat="1" x14ac:dyDescent="0.35">
      <c r="B312" s="25"/>
      <c r="D312" s="42"/>
      <c r="E312" s="26"/>
      <c r="N312" s="42"/>
    </row>
    <row r="313" spans="2:14" s="13" customFormat="1" x14ac:dyDescent="0.35">
      <c r="B313" s="25"/>
      <c r="D313" s="42"/>
      <c r="E313" s="26"/>
      <c r="N313" s="42"/>
    </row>
    <row r="314" spans="2:14" s="13" customFormat="1" x14ac:dyDescent="0.35">
      <c r="B314" s="25"/>
      <c r="D314" s="42"/>
      <c r="E314" s="26"/>
      <c r="N314" s="42"/>
    </row>
    <row r="315" spans="2:14" s="13" customFormat="1" x14ac:dyDescent="0.35">
      <c r="B315" s="25"/>
      <c r="D315" s="42"/>
      <c r="E315" s="26"/>
      <c r="N315" s="42"/>
    </row>
    <row r="316" spans="2:14" s="13" customFormat="1" x14ac:dyDescent="0.35">
      <c r="B316" s="25"/>
      <c r="D316" s="42"/>
      <c r="E316" s="26"/>
      <c r="N316" s="42"/>
    </row>
    <row r="317" spans="2:14" s="13" customFormat="1" x14ac:dyDescent="0.35">
      <c r="B317" s="25"/>
      <c r="D317" s="42"/>
      <c r="E317" s="26"/>
      <c r="N317" s="42"/>
    </row>
    <row r="318" spans="2:14" s="13" customFormat="1" x14ac:dyDescent="0.35">
      <c r="B318" s="25"/>
      <c r="D318" s="42"/>
      <c r="E318" s="26"/>
      <c r="N318" s="42"/>
    </row>
    <row r="319" spans="2:14" s="13" customFormat="1" x14ac:dyDescent="0.35">
      <c r="B319" s="25"/>
      <c r="D319" s="42"/>
      <c r="E319" s="26"/>
      <c r="N319" s="42"/>
    </row>
    <row r="320" spans="2:14" s="13" customFormat="1" x14ac:dyDescent="0.35">
      <c r="B320" s="25"/>
      <c r="D320" s="42"/>
      <c r="E320" s="26"/>
      <c r="N320" s="42"/>
    </row>
    <row r="321" spans="2:14" s="13" customFormat="1" x14ac:dyDescent="0.35">
      <c r="B321" s="25"/>
      <c r="D321" s="42"/>
      <c r="E321" s="26"/>
      <c r="N321" s="42"/>
    </row>
    <row r="322" spans="2:14" s="13" customFormat="1" x14ac:dyDescent="0.35">
      <c r="B322" s="25"/>
      <c r="D322" s="42"/>
      <c r="E322" s="26"/>
      <c r="N322" s="42"/>
    </row>
    <row r="323" spans="2:14" s="13" customFormat="1" x14ac:dyDescent="0.35">
      <c r="B323" s="25"/>
      <c r="D323" s="42"/>
      <c r="E323" s="26"/>
      <c r="N323" s="42"/>
    </row>
    <row r="324" spans="2:14" s="13" customFormat="1" x14ac:dyDescent="0.35">
      <c r="B324" s="25"/>
      <c r="D324" s="42"/>
      <c r="E324" s="26"/>
      <c r="N324" s="42"/>
    </row>
    <row r="325" spans="2:14" s="13" customFormat="1" x14ac:dyDescent="0.35">
      <c r="B325" s="25"/>
      <c r="D325" s="42"/>
      <c r="E325" s="26"/>
      <c r="N325" s="42"/>
    </row>
    <row r="326" spans="2:14" s="13" customFormat="1" x14ac:dyDescent="0.35">
      <c r="B326" s="25"/>
      <c r="D326" s="42"/>
      <c r="E326" s="26"/>
      <c r="N326" s="42"/>
    </row>
    <row r="327" spans="2:14" s="13" customFormat="1" x14ac:dyDescent="0.35">
      <c r="B327" s="25"/>
      <c r="D327" s="42"/>
      <c r="E327" s="26"/>
      <c r="N327" s="42"/>
    </row>
    <row r="328" spans="2:14" s="13" customFormat="1" x14ac:dyDescent="0.35">
      <c r="B328" s="25"/>
      <c r="D328" s="42"/>
      <c r="E328" s="26"/>
      <c r="N328" s="42"/>
    </row>
    <row r="329" spans="2:14" s="13" customFormat="1" x14ac:dyDescent="0.35">
      <c r="B329" s="25"/>
      <c r="D329" s="42"/>
      <c r="E329" s="26"/>
      <c r="N329" s="42"/>
    </row>
    <row r="330" spans="2:14" s="13" customFormat="1" x14ac:dyDescent="0.35">
      <c r="B330" s="25"/>
      <c r="D330" s="42"/>
      <c r="E330" s="26"/>
      <c r="N330" s="42"/>
    </row>
    <row r="331" spans="2:14" s="13" customFormat="1" x14ac:dyDescent="0.35">
      <c r="B331" s="25"/>
      <c r="D331" s="42"/>
      <c r="E331" s="26"/>
      <c r="N331" s="42"/>
    </row>
    <row r="332" spans="2:14" s="13" customFormat="1" x14ac:dyDescent="0.35">
      <c r="B332" s="25"/>
      <c r="D332" s="42"/>
      <c r="E332" s="26"/>
      <c r="N332" s="42"/>
    </row>
    <row r="333" spans="2:14" s="13" customFormat="1" x14ac:dyDescent="0.35">
      <c r="B333" s="25"/>
      <c r="D333" s="42"/>
      <c r="E333" s="26"/>
      <c r="N333" s="42"/>
    </row>
    <row r="334" spans="2:14" s="13" customFormat="1" x14ac:dyDescent="0.35">
      <c r="B334" s="25"/>
      <c r="D334" s="42"/>
      <c r="E334" s="26"/>
      <c r="N334" s="42"/>
    </row>
    <row r="335" spans="2:14" s="13" customFormat="1" x14ac:dyDescent="0.35">
      <c r="B335" s="25"/>
      <c r="D335" s="42"/>
      <c r="E335" s="26"/>
      <c r="N335" s="42"/>
    </row>
    <row r="336" spans="2:14" s="13" customFormat="1" x14ac:dyDescent="0.35">
      <c r="B336" s="25"/>
      <c r="D336" s="42"/>
      <c r="E336" s="26"/>
      <c r="N336" s="42"/>
    </row>
    <row r="337" spans="2:14" s="13" customFormat="1" x14ac:dyDescent="0.35">
      <c r="B337" s="25"/>
      <c r="D337" s="42"/>
      <c r="E337" s="26"/>
      <c r="N337" s="42"/>
    </row>
    <row r="338" spans="2:14" s="13" customFormat="1" x14ac:dyDescent="0.35">
      <c r="B338" s="25"/>
      <c r="D338" s="42"/>
      <c r="E338" s="26"/>
      <c r="N338" s="42"/>
    </row>
    <row r="339" spans="2:14" s="13" customFormat="1" x14ac:dyDescent="0.35">
      <c r="B339" s="25"/>
      <c r="D339" s="42"/>
      <c r="E339" s="26"/>
      <c r="N339" s="42"/>
    </row>
    <row r="340" spans="2:14" s="13" customFormat="1" x14ac:dyDescent="0.35">
      <c r="B340" s="25"/>
      <c r="D340" s="42"/>
      <c r="E340" s="26"/>
      <c r="N340" s="42"/>
    </row>
    <row r="341" spans="2:14" s="13" customFormat="1" x14ac:dyDescent="0.35">
      <c r="B341" s="25"/>
      <c r="D341" s="42"/>
      <c r="E341" s="26"/>
      <c r="N341" s="42"/>
    </row>
    <row r="342" spans="2:14" s="13" customFormat="1" x14ac:dyDescent="0.35">
      <c r="B342" s="25"/>
      <c r="D342" s="42"/>
      <c r="E342" s="26"/>
      <c r="N342" s="42"/>
    </row>
    <row r="343" spans="2:14" s="13" customFormat="1" x14ac:dyDescent="0.35">
      <c r="B343" s="25"/>
      <c r="D343" s="42"/>
      <c r="E343" s="26"/>
      <c r="N343" s="42"/>
    </row>
    <row r="344" spans="2:14" s="13" customFormat="1" x14ac:dyDescent="0.35">
      <c r="B344" s="25"/>
      <c r="D344" s="42"/>
      <c r="E344" s="26"/>
      <c r="N344" s="42"/>
    </row>
    <row r="345" spans="2:14" s="13" customFormat="1" x14ac:dyDescent="0.35">
      <c r="B345" s="25"/>
      <c r="D345" s="42"/>
      <c r="E345" s="26"/>
      <c r="N345" s="42"/>
    </row>
    <row r="346" spans="2:14" s="13" customFormat="1" x14ac:dyDescent="0.35">
      <c r="B346" s="25"/>
      <c r="D346" s="42"/>
      <c r="E346" s="26"/>
      <c r="N346" s="42"/>
    </row>
    <row r="347" spans="2:14" s="13" customFormat="1" x14ac:dyDescent="0.35">
      <c r="B347" s="25"/>
      <c r="D347" s="42"/>
      <c r="E347" s="26"/>
      <c r="N347" s="42"/>
    </row>
    <row r="348" spans="2:14" s="13" customFormat="1" x14ac:dyDescent="0.35">
      <c r="B348" s="25"/>
      <c r="D348" s="42"/>
      <c r="E348" s="26"/>
      <c r="N348" s="42"/>
    </row>
    <row r="349" spans="2:14" s="13" customFormat="1" x14ac:dyDescent="0.35">
      <c r="B349" s="25"/>
      <c r="D349" s="42"/>
      <c r="E349" s="26"/>
      <c r="N349" s="42"/>
    </row>
    <row r="350" spans="2:14" s="13" customFormat="1" x14ac:dyDescent="0.35">
      <c r="B350" s="25"/>
      <c r="D350" s="42"/>
      <c r="E350" s="26"/>
      <c r="N350" s="42"/>
    </row>
    <row r="351" spans="2:14" s="13" customFormat="1" x14ac:dyDescent="0.35">
      <c r="B351" s="25"/>
      <c r="D351" s="42"/>
      <c r="E351" s="26"/>
      <c r="N351" s="42"/>
    </row>
    <row r="352" spans="2:14" s="13" customFormat="1" x14ac:dyDescent="0.35">
      <c r="B352" s="25"/>
      <c r="D352" s="42"/>
      <c r="E352" s="26"/>
      <c r="N352" s="42"/>
    </row>
    <row r="353" spans="2:14" s="13" customFormat="1" x14ac:dyDescent="0.35">
      <c r="B353" s="25"/>
      <c r="D353" s="42"/>
      <c r="E353" s="26"/>
      <c r="N353" s="42"/>
    </row>
    <row r="354" spans="2:14" s="13" customFormat="1" x14ac:dyDescent="0.35">
      <c r="B354" s="25"/>
      <c r="D354" s="42"/>
      <c r="E354" s="26"/>
      <c r="N354" s="42"/>
    </row>
    <row r="355" spans="2:14" s="13" customFormat="1" x14ac:dyDescent="0.35">
      <c r="B355" s="25"/>
      <c r="D355" s="42"/>
      <c r="E355" s="26"/>
      <c r="N355" s="42"/>
    </row>
    <row r="356" spans="2:14" s="13" customFormat="1" x14ac:dyDescent="0.35">
      <c r="B356" s="25"/>
      <c r="D356" s="42"/>
      <c r="E356" s="26"/>
      <c r="N356" s="42"/>
    </row>
    <row r="357" spans="2:14" s="13" customFormat="1" x14ac:dyDescent="0.35">
      <c r="B357" s="25"/>
      <c r="D357" s="42"/>
      <c r="E357" s="26"/>
      <c r="N357" s="42"/>
    </row>
    <row r="358" spans="2:14" s="13" customFormat="1" x14ac:dyDescent="0.35">
      <c r="B358" s="25"/>
      <c r="D358" s="42"/>
      <c r="E358" s="26"/>
      <c r="N358" s="42"/>
    </row>
    <row r="359" spans="2:14" s="13" customFormat="1" x14ac:dyDescent="0.35">
      <c r="B359" s="25"/>
      <c r="D359" s="42"/>
      <c r="E359" s="26"/>
      <c r="N359" s="42"/>
    </row>
    <row r="360" spans="2:14" s="13" customFormat="1" x14ac:dyDescent="0.35">
      <c r="B360" s="25"/>
      <c r="D360" s="42"/>
      <c r="E360" s="26"/>
      <c r="N360" s="42"/>
    </row>
    <row r="361" spans="2:14" s="13" customFormat="1" x14ac:dyDescent="0.35">
      <c r="B361" s="25"/>
      <c r="D361" s="42"/>
      <c r="E361" s="26"/>
      <c r="N361" s="42"/>
    </row>
    <row r="362" spans="2:14" s="13" customFormat="1" x14ac:dyDescent="0.35">
      <c r="B362" s="25"/>
      <c r="D362" s="42"/>
      <c r="E362" s="26"/>
      <c r="N362" s="42"/>
    </row>
    <row r="363" spans="2:14" s="13" customFormat="1" x14ac:dyDescent="0.35">
      <c r="B363" s="25"/>
      <c r="D363" s="42"/>
      <c r="E363" s="26"/>
      <c r="N363" s="42"/>
    </row>
    <row r="364" spans="2:14" s="13" customFormat="1" x14ac:dyDescent="0.35">
      <c r="B364" s="25"/>
      <c r="D364" s="42"/>
      <c r="E364" s="26"/>
      <c r="N364" s="42"/>
    </row>
    <row r="365" spans="2:14" s="13" customFormat="1" x14ac:dyDescent="0.35">
      <c r="B365" s="25"/>
      <c r="D365" s="42"/>
      <c r="E365" s="26"/>
      <c r="N365" s="42"/>
    </row>
    <row r="366" spans="2:14" s="13" customFormat="1" x14ac:dyDescent="0.35">
      <c r="B366" s="25"/>
      <c r="D366" s="42"/>
      <c r="E366" s="26"/>
      <c r="N366" s="42"/>
    </row>
    <row r="367" spans="2:14" s="13" customFormat="1" x14ac:dyDescent="0.35">
      <c r="B367" s="25"/>
      <c r="D367" s="42"/>
      <c r="E367" s="26"/>
      <c r="N367" s="42"/>
    </row>
    <row r="368" spans="2:14" s="13" customFormat="1" x14ac:dyDescent="0.35">
      <c r="B368" s="25"/>
      <c r="D368" s="42"/>
      <c r="E368" s="26"/>
      <c r="N368" s="42"/>
    </row>
    <row r="369" spans="2:14" s="13" customFormat="1" x14ac:dyDescent="0.35">
      <c r="B369" s="25"/>
      <c r="D369" s="42"/>
      <c r="E369" s="26"/>
      <c r="N369" s="42"/>
    </row>
    <row r="370" spans="2:14" s="13" customFormat="1" x14ac:dyDescent="0.35">
      <c r="B370" s="25"/>
      <c r="D370" s="42"/>
      <c r="E370" s="26"/>
      <c r="N370" s="42"/>
    </row>
    <row r="371" spans="2:14" s="13" customFormat="1" x14ac:dyDescent="0.35">
      <c r="B371" s="25"/>
      <c r="D371" s="42"/>
      <c r="E371" s="26"/>
      <c r="N371" s="42"/>
    </row>
    <row r="372" spans="2:14" s="13" customFormat="1" x14ac:dyDescent="0.35">
      <c r="B372" s="25"/>
      <c r="D372" s="42"/>
      <c r="E372" s="26"/>
      <c r="N372" s="42"/>
    </row>
    <row r="373" spans="2:14" s="13" customFormat="1" x14ac:dyDescent="0.35">
      <c r="B373" s="25"/>
      <c r="D373" s="42"/>
      <c r="E373" s="26"/>
      <c r="N373" s="42"/>
    </row>
    <row r="374" spans="2:14" s="13" customFormat="1" x14ac:dyDescent="0.35">
      <c r="B374" s="25"/>
      <c r="D374" s="42"/>
      <c r="E374" s="26"/>
      <c r="N374" s="42"/>
    </row>
    <row r="375" spans="2:14" s="13" customFormat="1" x14ac:dyDescent="0.35">
      <c r="B375" s="25"/>
      <c r="D375" s="42"/>
      <c r="E375" s="26"/>
      <c r="N375" s="42"/>
    </row>
    <row r="376" spans="2:14" s="13" customFormat="1" x14ac:dyDescent="0.35">
      <c r="B376" s="25"/>
      <c r="D376" s="42"/>
      <c r="E376" s="26"/>
      <c r="N376" s="42"/>
    </row>
    <row r="377" spans="2:14" s="13" customFormat="1" x14ac:dyDescent="0.35">
      <c r="B377" s="25"/>
      <c r="D377" s="42"/>
      <c r="E377" s="26"/>
      <c r="N377" s="42"/>
    </row>
    <row r="378" spans="2:14" s="13" customFormat="1" x14ac:dyDescent="0.35">
      <c r="B378" s="25"/>
      <c r="D378" s="42"/>
      <c r="E378" s="26"/>
      <c r="N378" s="42"/>
    </row>
    <row r="379" spans="2:14" s="13" customFormat="1" x14ac:dyDescent="0.35">
      <c r="B379" s="25"/>
      <c r="D379" s="42"/>
      <c r="E379" s="26"/>
      <c r="N379" s="42"/>
    </row>
    <row r="380" spans="2:14" s="13" customFormat="1" x14ac:dyDescent="0.35">
      <c r="B380" s="25"/>
      <c r="D380" s="42"/>
      <c r="E380" s="26"/>
      <c r="N380" s="42"/>
    </row>
    <row r="381" spans="2:14" s="13" customFormat="1" x14ac:dyDescent="0.35">
      <c r="B381" s="25"/>
      <c r="D381" s="42"/>
      <c r="E381" s="26"/>
      <c r="N381" s="42"/>
    </row>
    <row r="382" spans="2:14" s="13" customFormat="1" x14ac:dyDescent="0.35">
      <c r="B382" s="25"/>
      <c r="D382" s="42"/>
      <c r="E382" s="26"/>
      <c r="N382" s="42"/>
    </row>
    <row r="383" spans="2:14" s="13" customFormat="1" x14ac:dyDescent="0.35">
      <c r="B383" s="25"/>
      <c r="D383" s="42"/>
      <c r="E383" s="26"/>
      <c r="N383" s="42"/>
    </row>
    <row r="384" spans="2:14" s="13" customFormat="1" x14ac:dyDescent="0.35">
      <c r="B384" s="25"/>
      <c r="D384" s="42"/>
      <c r="E384" s="26"/>
      <c r="N384" s="42"/>
    </row>
    <row r="385" spans="2:14" s="13" customFormat="1" x14ac:dyDescent="0.35">
      <c r="B385" s="25"/>
      <c r="D385" s="42"/>
      <c r="E385" s="26"/>
      <c r="N385" s="42"/>
    </row>
    <row r="386" spans="2:14" s="13" customFormat="1" x14ac:dyDescent="0.35">
      <c r="B386" s="25"/>
      <c r="D386" s="42"/>
      <c r="E386" s="26"/>
      <c r="N386" s="42"/>
    </row>
    <row r="387" spans="2:14" s="13" customFormat="1" x14ac:dyDescent="0.35">
      <c r="B387" s="25"/>
      <c r="D387" s="42"/>
      <c r="E387" s="26"/>
      <c r="N387" s="42"/>
    </row>
    <row r="388" spans="2:14" s="13" customFormat="1" x14ac:dyDescent="0.35">
      <c r="B388" s="25"/>
      <c r="D388" s="42"/>
      <c r="E388" s="26"/>
      <c r="N388" s="42"/>
    </row>
    <row r="389" spans="2:14" s="13" customFormat="1" x14ac:dyDescent="0.35">
      <c r="B389" s="25"/>
      <c r="D389" s="42"/>
      <c r="E389" s="26"/>
      <c r="N389" s="42"/>
    </row>
    <row r="390" spans="2:14" s="13" customFormat="1" x14ac:dyDescent="0.35">
      <c r="B390" s="25"/>
      <c r="D390" s="42"/>
      <c r="E390" s="26"/>
      <c r="N390" s="42"/>
    </row>
    <row r="391" spans="2:14" s="13" customFormat="1" x14ac:dyDescent="0.35">
      <c r="B391" s="25"/>
      <c r="D391" s="42"/>
      <c r="E391" s="26"/>
      <c r="N391" s="42"/>
    </row>
    <row r="392" spans="2:14" s="13" customFormat="1" x14ac:dyDescent="0.35">
      <c r="B392" s="25"/>
      <c r="D392" s="42"/>
      <c r="E392" s="26"/>
      <c r="N392" s="42"/>
    </row>
    <row r="393" spans="2:14" s="13" customFormat="1" x14ac:dyDescent="0.35">
      <c r="B393" s="25"/>
      <c r="D393" s="42"/>
      <c r="E393" s="26"/>
      <c r="N393" s="42"/>
    </row>
    <row r="394" spans="2:14" s="13" customFormat="1" x14ac:dyDescent="0.35">
      <c r="B394" s="25"/>
      <c r="D394" s="42"/>
      <c r="E394" s="26"/>
      <c r="N394" s="42"/>
    </row>
    <row r="395" spans="2:14" s="13" customFormat="1" x14ac:dyDescent="0.35">
      <c r="B395" s="25"/>
      <c r="D395" s="42"/>
      <c r="E395" s="26"/>
      <c r="N395" s="42"/>
    </row>
    <row r="396" spans="2:14" s="13" customFormat="1" x14ac:dyDescent="0.35">
      <c r="B396" s="25"/>
      <c r="D396" s="42"/>
      <c r="E396" s="26"/>
      <c r="N396" s="42"/>
    </row>
    <row r="397" spans="2:14" s="13" customFormat="1" x14ac:dyDescent="0.35">
      <c r="B397" s="25"/>
      <c r="D397" s="42"/>
      <c r="E397" s="26"/>
      <c r="N397" s="42"/>
    </row>
    <row r="398" spans="2:14" s="13" customFormat="1" x14ac:dyDescent="0.35">
      <c r="B398" s="25"/>
      <c r="D398" s="42"/>
      <c r="E398" s="26"/>
      <c r="N398" s="42"/>
    </row>
    <row r="399" spans="2:14" s="13" customFormat="1" x14ac:dyDescent="0.35">
      <c r="B399" s="25"/>
      <c r="D399" s="42"/>
      <c r="E399" s="26"/>
      <c r="N399" s="42"/>
    </row>
    <row r="400" spans="2:14" s="13" customFormat="1" x14ac:dyDescent="0.35">
      <c r="B400" s="25"/>
      <c r="D400" s="42"/>
      <c r="E400" s="26"/>
      <c r="N400" s="42"/>
    </row>
    <row r="401" spans="2:14" s="13" customFormat="1" x14ac:dyDescent="0.35">
      <c r="B401" s="25"/>
      <c r="D401" s="42"/>
      <c r="E401" s="26"/>
      <c r="N401" s="42"/>
    </row>
    <row r="402" spans="2:14" s="13" customFormat="1" x14ac:dyDescent="0.35">
      <c r="B402" s="25"/>
      <c r="D402" s="42"/>
      <c r="E402" s="26"/>
      <c r="N402" s="42"/>
    </row>
    <row r="403" spans="2:14" s="13" customFormat="1" x14ac:dyDescent="0.35">
      <c r="B403" s="25"/>
      <c r="D403" s="42"/>
      <c r="E403" s="26"/>
      <c r="N403" s="42"/>
    </row>
    <row r="404" spans="2:14" s="13" customFormat="1" x14ac:dyDescent="0.35">
      <c r="B404" s="25"/>
      <c r="D404" s="42"/>
      <c r="E404" s="26"/>
      <c r="N404" s="42"/>
    </row>
    <row r="405" spans="2:14" s="13" customFormat="1" x14ac:dyDescent="0.35">
      <c r="B405" s="25"/>
      <c r="D405" s="42"/>
      <c r="E405" s="26"/>
      <c r="N405" s="42"/>
    </row>
    <row r="406" spans="2:14" s="13" customFormat="1" x14ac:dyDescent="0.35">
      <c r="B406" s="25"/>
      <c r="D406" s="42"/>
      <c r="E406" s="26"/>
      <c r="N406" s="42"/>
    </row>
    <row r="407" spans="2:14" s="13" customFormat="1" x14ac:dyDescent="0.35">
      <c r="B407" s="25"/>
      <c r="D407" s="42"/>
      <c r="E407" s="26"/>
      <c r="N407" s="42"/>
    </row>
    <row r="408" spans="2:14" s="13" customFormat="1" x14ac:dyDescent="0.35">
      <c r="B408" s="25"/>
      <c r="D408" s="42"/>
      <c r="E408" s="26"/>
      <c r="N408" s="42"/>
    </row>
    <row r="409" spans="2:14" s="13" customFormat="1" x14ac:dyDescent="0.35">
      <c r="B409" s="25"/>
      <c r="D409" s="42"/>
      <c r="E409" s="26"/>
      <c r="N409" s="42"/>
    </row>
    <row r="410" spans="2:14" s="13" customFormat="1" x14ac:dyDescent="0.35">
      <c r="B410" s="25"/>
      <c r="D410" s="42"/>
      <c r="E410" s="26"/>
      <c r="N410" s="42"/>
    </row>
    <row r="411" spans="2:14" s="13" customFormat="1" x14ac:dyDescent="0.35">
      <c r="B411" s="25"/>
      <c r="D411" s="42"/>
      <c r="E411" s="26"/>
      <c r="N411" s="42"/>
    </row>
    <row r="412" spans="2:14" s="13" customFormat="1" x14ac:dyDescent="0.35">
      <c r="B412" s="25"/>
      <c r="D412" s="42"/>
      <c r="E412" s="26"/>
      <c r="N412" s="42"/>
    </row>
    <row r="413" spans="2:14" s="13" customFormat="1" x14ac:dyDescent="0.35">
      <c r="B413" s="25"/>
      <c r="D413" s="42"/>
      <c r="E413" s="26"/>
      <c r="N413" s="42"/>
    </row>
    <row r="414" spans="2:14" s="13" customFormat="1" x14ac:dyDescent="0.35">
      <c r="B414" s="25"/>
      <c r="D414" s="42"/>
      <c r="E414" s="26"/>
      <c r="N414" s="42"/>
    </row>
    <row r="415" spans="2:14" s="13" customFormat="1" x14ac:dyDescent="0.35">
      <c r="B415" s="25"/>
      <c r="D415" s="42"/>
      <c r="E415" s="26"/>
      <c r="N415" s="42"/>
    </row>
    <row r="416" spans="2:14" s="13" customFormat="1" x14ac:dyDescent="0.35">
      <c r="B416" s="25"/>
      <c r="D416" s="42"/>
      <c r="E416" s="26"/>
      <c r="N416" s="42"/>
    </row>
    <row r="417" spans="2:14" s="13" customFormat="1" x14ac:dyDescent="0.35">
      <c r="B417" s="25"/>
      <c r="D417" s="42"/>
      <c r="E417" s="26"/>
      <c r="N417" s="42"/>
    </row>
    <row r="418" spans="2:14" s="13" customFormat="1" x14ac:dyDescent="0.35">
      <c r="B418" s="25"/>
      <c r="D418" s="42"/>
      <c r="E418" s="26"/>
      <c r="N418" s="42"/>
    </row>
    <row r="419" spans="2:14" s="13" customFormat="1" x14ac:dyDescent="0.35">
      <c r="B419" s="25"/>
      <c r="D419" s="42"/>
      <c r="E419" s="26"/>
      <c r="N419" s="42"/>
    </row>
    <row r="420" spans="2:14" s="13" customFormat="1" x14ac:dyDescent="0.35">
      <c r="B420" s="25"/>
      <c r="D420" s="42"/>
      <c r="E420" s="26"/>
      <c r="N420" s="42"/>
    </row>
    <row r="421" spans="2:14" s="13" customFormat="1" x14ac:dyDescent="0.35">
      <c r="B421" s="25"/>
      <c r="D421" s="42"/>
      <c r="E421" s="26"/>
      <c r="N421" s="42"/>
    </row>
    <row r="422" spans="2:14" s="13" customFormat="1" x14ac:dyDescent="0.35">
      <c r="B422" s="25"/>
      <c r="D422" s="42"/>
      <c r="E422" s="26"/>
      <c r="N422" s="42"/>
    </row>
    <row r="423" spans="2:14" s="13" customFormat="1" x14ac:dyDescent="0.35">
      <c r="B423" s="25"/>
      <c r="D423" s="42"/>
      <c r="E423" s="26"/>
      <c r="N423" s="42"/>
    </row>
    <row r="424" spans="2:14" s="13" customFormat="1" x14ac:dyDescent="0.35">
      <c r="B424" s="25"/>
      <c r="D424" s="42"/>
      <c r="E424" s="26"/>
      <c r="N424" s="42"/>
    </row>
    <row r="425" spans="2:14" s="13" customFormat="1" x14ac:dyDescent="0.35">
      <c r="B425" s="25"/>
      <c r="D425" s="42"/>
      <c r="E425" s="26"/>
      <c r="N425" s="42"/>
    </row>
    <row r="426" spans="2:14" s="13" customFormat="1" x14ac:dyDescent="0.35">
      <c r="B426" s="25"/>
      <c r="D426" s="42"/>
      <c r="E426" s="26"/>
      <c r="N426" s="42"/>
    </row>
    <row r="427" spans="2:14" s="13" customFormat="1" x14ac:dyDescent="0.35">
      <c r="B427" s="25"/>
      <c r="D427" s="42"/>
      <c r="E427" s="26"/>
      <c r="N427" s="42"/>
    </row>
    <row r="428" spans="2:14" s="13" customFormat="1" x14ac:dyDescent="0.35">
      <c r="B428" s="25"/>
      <c r="D428" s="42"/>
      <c r="E428" s="26"/>
      <c r="N428" s="42"/>
    </row>
    <row r="429" spans="2:14" s="13" customFormat="1" x14ac:dyDescent="0.35">
      <c r="B429" s="25"/>
      <c r="D429" s="42"/>
      <c r="E429" s="26"/>
      <c r="N429" s="42"/>
    </row>
    <row r="430" spans="2:14" s="13" customFormat="1" x14ac:dyDescent="0.35">
      <c r="B430" s="25"/>
      <c r="D430" s="42"/>
      <c r="E430" s="26"/>
      <c r="N430" s="42"/>
    </row>
    <row r="431" spans="2:14" s="13" customFormat="1" x14ac:dyDescent="0.35">
      <c r="B431" s="25"/>
      <c r="D431" s="42"/>
      <c r="E431" s="26"/>
      <c r="N431" s="42"/>
    </row>
    <row r="432" spans="2:14" s="13" customFormat="1" x14ac:dyDescent="0.35">
      <c r="B432" s="25"/>
      <c r="D432" s="42"/>
      <c r="E432" s="26"/>
      <c r="N432" s="42"/>
    </row>
    <row r="433" spans="2:14" s="13" customFormat="1" x14ac:dyDescent="0.35">
      <c r="B433" s="25"/>
      <c r="D433" s="42"/>
      <c r="E433" s="26"/>
      <c r="N433" s="42"/>
    </row>
    <row r="434" spans="2:14" s="13" customFormat="1" x14ac:dyDescent="0.35">
      <c r="B434" s="25"/>
      <c r="D434" s="42"/>
      <c r="E434" s="26"/>
      <c r="N434" s="42"/>
    </row>
    <row r="435" spans="2:14" s="13" customFormat="1" x14ac:dyDescent="0.35">
      <c r="B435" s="25"/>
      <c r="D435" s="42"/>
      <c r="E435" s="26"/>
      <c r="N435" s="42"/>
    </row>
    <row r="436" spans="2:14" s="13" customFormat="1" x14ac:dyDescent="0.35">
      <c r="B436" s="25"/>
      <c r="D436" s="42"/>
      <c r="E436" s="26"/>
      <c r="N436" s="42"/>
    </row>
    <row r="437" spans="2:14" s="13" customFormat="1" x14ac:dyDescent="0.35">
      <c r="B437" s="25"/>
      <c r="D437" s="42"/>
      <c r="E437" s="26"/>
      <c r="N437" s="42"/>
    </row>
    <row r="438" spans="2:14" s="13" customFormat="1" x14ac:dyDescent="0.35">
      <c r="B438" s="25"/>
      <c r="D438" s="42"/>
      <c r="E438" s="26"/>
      <c r="N438" s="42"/>
    </row>
    <row r="439" spans="2:14" s="13" customFormat="1" x14ac:dyDescent="0.35">
      <c r="B439" s="25"/>
      <c r="D439" s="42"/>
      <c r="E439" s="26"/>
      <c r="N439" s="42"/>
    </row>
    <row r="440" spans="2:14" s="13" customFormat="1" x14ac:dyDescent="0.35">
      <c r="B440" s="25"/>
      <c r="D440" s="42"/>
      <c r="E440" s="26"/>
      <c r="N440" s="42"/>
    </row>
    <row r="441" spans="2:14" s="13" customFormat="1" x14ac:dyDescent="0.35">
      <c r="B441" s="25"/>
      <c r="D441" s="42"/>
      <c r="E441" s="26"/>
      <c r="N441" s="42"/>
    </row>
    <row r="442" spans="2:14" s="13" customFormat="1" x14ac:dyDescent="0.35">
      <c r="B442" s="25"/>
      <c r="D442" s="42"/>
      <c r="E442" s="26"/>
      <c r="N442" s="42"/>
    </row>
    <row r="443" spans="2:14" s="13" customFormat="1" x14ac:dyDescent="0.35">
      <c r="B443" s="25"/>
      <c r="D443" s="42"/>
      <c r="E443" s="26"/>
      <c r="N443" s="42"/>
    </row>
    <row r="444" spans="2:14" s="13" customFormat="1" x14ac:dyDescent="0.35">
      <c r="B444" s="25"/>
      <c r="D444" s="42"/>
      <c r="E444" s="26"/>
      <c r="N444" s="42"/>
    </row>
    <row r="445" spans="2:14" s="13" customFormat="1" x14ac:dyDescent="0.35">
      <c r="B445" s="25"/>
      <c r="D445" s="42"/>
      <c r="E445" s="26"/>
      <c r="N445" s="42"/>
    </row>
    <row r="446" spans="2:14" s="13" customFormat="1" x14ac:dyDescent="0.35">
      <c r="B446" s="25"/>
      <c r="D446" s="42"/>
      <c r="E446" s="26"/>
      <c r="N446" s="42"/>
    </row>
    <row r="447" spans="2:14" s="13" customFormat="1" x14ac:dyDescent="0.35">
      <c r="B447" s="25"/>
      <c r="D447" s="42"/>
      <c r="E447" s="26"/>
      <c r="N447" s="42"/>
    </row>
    <row r="448" spans="2:14" s="13" customFormat="1" x14ac:dyDescent="0.35">
      <c r="B448" s="25"/>
      <c r="D448" s="42"/>
      <c r="E448" s="26"/>
      <c r="N448" s="42"/>
    </row>
    <row r="449" spans="2:14" s="13" customFormat="1" x14ac:dyDescent="0.35">
      <c r="B449" s="25"/>
      <c r="D449" s="42"/>
      <c r="E449" s="26"/>
      <c r="N449" s="42"/>
    </row>
    <row r="450" spans="2:14" s="13" customFormat="1" x14ac:dyDescent="0.35">
      <c r="B450" s="25"/>
      <c r="D450" s="42"/>
      <c r="E450" s="26"/>
      <c r="N450" s="42"/>
    </row>
    <row r="451" spans="2:14" s="13" customFormat="1" x14ac:dyDescent="0.35">
      <c r="B451" s="25"/>
      <c r="D451" s="42"/>
      <c r="E451" s="26"/>
      <c r="N451" s="42"/>
    </row>
    <row r="452" spans="2:14" s="13" customFormat="1" x14ac:dyDescent="0.35">
      <c r="B452" s="25"/>
      <c r="D452" s="42"/>
      <c r="E452" s="26"/>
      <c r="N452" s="42"/>
    </row>
    <row r="453" spans="2:14" s="13" customFormat="1" x14ac:dyDescent="0.35">
      <c r="B453" s="25"/>
      <c r="D453" s="42"/>
      <c r="E453" s="26"/>
      <c r="N453" s="42"/>
    </row>
    <row r="454" spans="2:14" s="13" customFormat="1" x14ac:dyDescent="0.35">
      <c r="B454" s="25"/>
      <c r="D454" s="42"/>
      <c r="E454" s="26"/>
      <c r="N454" s="42"/>
    </row>
    <row r="455" spans="2:14" s="13" customFormat="1" x14ac:dyDescent="0.35">
      <c r="B455" s="25"/>
      <c r="D455" s="42"/>
      <c r="E455" s="26"/>
      <c r="N455" s="42"/>
    </row>
    <row r="456" spans="2:14" s="13" customFormat="1" x14ac:dyDescent="0.35">
      <c r="B456" s="25"/>
      <c r="D456" s="42"/>
      <c r="E456" s="26"/>
      <c r="N456" s="42"/>
    </row>
    <row r="457" spans="2:14" s="13" customFormat="1" x14ac:dyDescent="0.35">
      <c r="B457" s="25"/>
      <c r="D457" s="42"/>
      <c r="E457" s="26"/>
      <c r="N457" s="42"/>
    </row>
    <row r="458" spans="2:14" s="13" customFormat="1" x14ac:dyDescent="0.35">
      <c r="B458" s="25"/>
      <c r="D458" s="42"/>
      <c r="E458" s="26"/>
      <c r="N458" s="42"/>
    </row>
    <row r="459" spans="2:14" s="13" customFormat="1" x14ac:dyDescent="0.35">
      <c r="B459" s="25"/>
      <c r="D459" s="42"/>
      <c r="E459" s="26"/>
      <c r="N459" s="42"/>
    </row>
    <row r="460" spans="2:14" s="13" customFormat="1" x14ac:dyDescent="0.35">
      <c r="B460" s="25"/>
      <c r="D460" s="42"/>
      <c r="E460" s="26"/>
      <c r="N460" s="42"/>
    </row>
    <row r="461" spans="2:14" s="13" customFormat="1" x14ac:dyDescent="0.35">
      <c r="B461" s="25"/>
      <c r="D461" s="42"/>
      <c r="E461" s="26"/>
      <c r="N461" s="42"/>
    </row>
    <row r="462" spans="2:14" s="13" customFormat="1" x14ac:dyDescent="0.35">
      <c r="B462" s="25"/>
      <c r="D462" s="42"/>
      <c r="E462" s="26"/>
      <c r="N462" s="42"/>
    </row>
    <row r="463" spans="2:14" s="13" customFormat="1" x14ac:dyDescent="0.35">
      <c r="B463" s="25"/>
      <c r="D463" s="42"/>
      <c r="E463" s="26"/>
      <c r="N463" s="42"/>
    </row>
    <row r="464" spans="2:14" s="13" customFormat="1" x14ac:dyDescent="0.35">
      <c r="B464" s="25"/>
      <c r="D464" s="42"/>
      <c r="E464" s="26"/>
      <c r="N464" s="42"/>
    </row>
    <row r="465" spans="2:14" s="13" customFormat="1" x14ac:dyDescent="0.35">
      <c r="B465" s="25"/>
      <c r="D465" s="42"/>
      <c r="E465" s="26"/>
      <c r="N465" s="42"/>
    </row>
    <row r="466" spans="2:14" s="13" customFormat="1" x14ac:dyDescent="0.35">
      <c r="B466" s="25"/>
      <c r="D466" s="42"/>
      <c r="E466" s="26"/>
      <c r="N466" s="42"/>
    </row>
    <row r="467" spans="2:14" s="13" customFormat="1" x14ac:dyDescent="0.35">
      <c r="B467" s="25"/>
      <c r="D467" s="42"/>
      <c r="E467" s="26"/>
      <c r="N467" s="42"/>
    </row>
    <row r="468" spans="2:14" s="13" customFormat="1" x14ac:dyDescent="0.35">
      <c r="B468" s="25"/>
      <c r="D468" s="42"/>
      <c r="E468" s="26"/>
      <c r="N468" s="42"/>
    </row>
    <row r="469" spans="2:14" s="13" customFormat="1" x14ac:dyDescent="0.35">
      <c r="B469" s="25"/>
      <c r="D469" s="42"/>
      <c r="E469" s="26"/>
      <c r="N469" s="42"/>
    </row>
    <row r="470" spans="2:14" s="13" customFormat="1" x14ac:dyDescent="0.35">
      <c r="B470" s="25"/>
      <c r="D470" s="42"/>
      <c r="E470" s="26"/>
      <c r="N470" s="42"/>
    </row>
    <row r="471" spans="2:14" s="13" customFormat="1" x14ac:dyDescent="0.35">
      <c r="B471" s="25"/>
      <c r="D471" s="42"/>
      <c r="E471" s="26"/>
      <c r="N471" s="42"/>
    </row>
    <row r="472" spans="2:14" s="13" customFormat="1" x14ac:dyDescent="0.35">
      <c r="B472" s="25"/>
      <c r="D472" s="42"/>
      <c r="E472" s="26"/>
      <c r="N472" s="42"/>
    </row>
    <row r="473" spans="2:14" s="13" customFormat="1" x14ac:dyDescent="0.35">
      <c r="B473" s="25"/>
      <c r="D473" s="42"/>
      <c r="E473" s="26"/>
      <c r="N473" s="42"/>
    </row>
    <row r="474" spans="2:14" s="13" customFormat="1" x14ac:dyDescent="0.35">
      <c r="B474" s="25"/>
      <c r="D474" s="42"/>
      <c r="E474" s="26"/>
      <c r="N474" s="42"/>
    </row>
    <row r="475" spans="2:14" s="13" customFormat="1" x14ac:dyDescent="0.35">
      <c r="B475" s="25"/>
      <c r="D475" s="42"/>
      <c r="E475" s="26"/>
      <c r="N475" s="42"/>
    </row>
    <row r="476" spans="2:14" s="13" customFormat="1" x14ac:dyDescent="0.35">
      <c r="B476" s="25"/>
      <c r="D476" s="42"/>
      <c r="E476" s="26"/>
      <c r="N476" s="42"/>
    </row>
    <row r="477" spans="2:14" s="13" customFormat="1" x14ac:dyDescent="0.35">
      <c r="B477" s="25"/>
      <c r="D477" s="42"/>
      <c r="E477" s="26"/>
      <c r="N477" s="42"/>
    </row>
    <row r="478" spans="2:14" s="13" customFormat="1" x14ac:dyDescent="0.35">
      <c r="B478" s="25"/>
      <c r="D478" s="42"/>
      <c r="E478" s="26"/>
      <c r="N478" s="42"/>
    </row>
    <row r="479" spans="2:14" s="13" customFormat="1" x14ac:dyDescent="0.35">
      <c r="B479" s="25"/>
      <c r="D479" s="42"/>
      <c r="E479" s="26"/>
      <c r="N479" s="42"/>
    </row>
    <row r="480" spans="2:14" s="13" customFormat="1" x14ac:dyDescent="0.35">
      <c r="B480" s="25"/>
      <c r="D480" s="42"/>
      <c r="E480" s="26"/>
      <c r="N480" s="42"/>
    </row>
    <row r="481" spans="2:14" s="13" customFormat="1" x14ac:dyDescent="0.35">
      <c r="B481" s="25"/>
      <c r="D481" s="42"/>
      <c r="E481" s="26"/>
      <c r="N481" s="42"/>
    </row>
    <row r="482" spans="2:14" s="13" customFormat="1" x14ac:dyDescent="0.35">
      <c r="B482" s="25"/>
      <c r="D482" s="42"/>
      <c r="E482" s="26"/>
      <c r="N482" s="42"/>
    </row>
    <row r="483" spans="2:14" s="13" customFormat="1" x14ac:dyDescent="0.35">
      <c r="B483" s="25"/>
      <c r="D483" s="42"/>
      <c r="E483" s="26"/>
      <c r="N483" s="42"/>
    </row>
    <row r="484" spans="2:14" s="13" customFormat="1" x14ac:dyDescent="0.35">
      <c r="B484" s="25"/>
      <c r="D484" s="42"/>
      <c r="E484" s="26"/>
      <c r="N484" s="42"/>
    </row>
    <row r="485" spans="2:14" s="13" customFormat="1" x14ac:dyDescent="0.35">
      <c r="B485" s="25"/>
      <c r="D485" s="42"/>
      <c r="E485" s="26"/>
      <c r="N485" s="42"/>
    </row>
    <row r="486" spans="2:14" s="13" customFormat="1" x14ac:dyDescent="0.35">
      <c r="B486" s="25"/>
      <c r="D486" s="42"/>
      <c r="E486" s="26"/>
      <c r="N486" s="42"/>
    </row>
    <row r="487" spans="2:14" s="13" customFormat="1" x14ac:dyDescent="0.35">
      <c r="B487" s="25"/>
      <c r="D487" s="42"/>
      <c r="E487" s="26"/>
      <c r="N487" s="42"/>
    </row>
    <row r="488" spans="2:14" s="13" customFormat="1" x14ac:dyDescent="0.35">
      <c r="B488" s="25"/>
      <c r="D488" s="42"/>
      <c r="E488" s="26"/>
      <c r="N488" s="42"/>
    </row>
    <row r="489" spans="2:14" s="13" customFormat="1" x14ac:dyDescent="0.35">
      <c r="B489" s="25"/>
      <c r="D489" s="42"/>
      <c r="E489" s="26"/>
      <c r="N489" s="42"/>
    </row>
    <row r="490" spans="2:14" s="13" customFormat="1" x14ac:dyDescent="0.35">
      <c r="B490" s="25"/>
      <c r="D490" s="42"/>
      <c r="E490" s="26"/>
      <c r="N490" s="42"/>
    </row>
    <row r="491" spans="2:14" s="13" customFormat="1" x14ac:dyDescent="0.35">
      <c r="B491" s="25"/>
      <c r="D491" s="42"/>
      <c r="E491" s="26"/>
      <c r="N491" s="42"/>
    </row>
    <row r="492" spans="2:14" s="13" customFormat="1" x14ac:dyDescent="0.35">
      <c r="B492" s="25"/>
      <c r="D492" s="42"/>
      <c r="E492" s="26"/>
      <c r="N492" s="42"/>
    </row>
    <row r="493" spans="2:14" s="13" customFormat="1" x14ac:dyDescent="0.35">
      <c r="B493" s="25"/>
      <c r="D493" s="42"/>
      <c r="E493" s="26"/>
      <c r="N493" s="42"/>
    </row>
    <row r="494" spans="2:14" s="13" customFormat="1" x14ac:dyDescent="0.35">
      <c r="B494" s="25"/>
      <c r="D494" s="42"/>
      <c r="E494" s="26"/>
      <c r="N494" s="42"/>
    </row>
    <row r="495" spans="2:14" s="13" customFormat="1" x14ac:dyDescent="0.35">
      <c r="B495" s="25"/>
      <c r="D495" s="42"/>
      <c r="E495" s="26"/>
      <c r="N495" s="42"/>
    </row>
    <row r="496" spans="2:14" s="13" customFormat="1" x14ac:dyDescent="0.35">
      <c r="B496" s="25"/>
      <c r="D496" s="42"/>
      <c r="E496" s="26"/>
      <c r="N496" s="42"/>
    </row>
    <row r="497" spans="2:14" s="13" customFormat="1" x14ac:dyDescent="0.35">
      <c r="B497" s="25"/>
      <c r="D497" s="42"/>
      <c r="E497" s="26"/>
      <c r="N497" s="42"/>
    </row>
    <row r="498" spans="2:14" s="13" customFormat="1" x14ac:dyDescent="0.35">
      <c r="B498" s="25"/>
      <c r="D498" s="42"/>
      <c r="E498" s="26"/>
      <c r="N498" s="42"/>
    </row>
    <row r="499" spans="2:14" s="13" customFormat="1" x14ac:dyDescent="0.35">
      <c r="B499" s="25"/>
      <c r="D499" s="42"/>
      <c r="E499" s="26"/>
      <c r="N499" s="42"/>
    </row>
    <row r="500" spans="2:14" s="13" customFormat="1" x14ac:dyDescent="0.35">
      <c r="B500" s="25"/>
      <c r="D500" s="42"/>
      <c r="E500" s="26"/>
      <c r="N500" s="42"/>
    </row>
    <row r="501" spans="2:14" s="13" customFormat="1" x14ac:dyDescent="0.35">
      <c r="B501" s="25"/>
      <c r="D501" s="42"/>
      <c r="E501" s="26"/>
      <c r="N501" s="42"/>
    </row>
    <row r="502" spans="2:14" s="13" customFormat="1" x14ac:dyDescent="0.35">
      <c r="B502" s="25"/>
      <c r="D502" s="42"/>
      <c r="E502" s="26"/>
      <c r="N502" s="42"/>
    </row>
    <row r="503" spans="2:14" s="13" customFormat="1" x14ac:dyDescent="0.35">
      <c r="B503" s="25"/>
      <c r="D503" s="42"/>
      <c r="E503" s="26"/>
      <c r="N503" s="42"/>
    </row>
    <row r="504" spans="2:14" s="13" customFormat="1" x14ac:dyDescent="0.35">
      <c r="B504" s="25"/>
      <c r="D504" s="42"/>
      <c r="E504" s="26"/>
      <c r="N504" s="42"/>
    </row>
    <row r="505" spans="2:14" s="13" customFormat="1" x14ac:dyDescent="0.35">
      <c r="B505" s="25"/>
      <c r="D505" s="42"/>
      <c r="E505" s="26"/>
      <c r="N505" s="42"/>
    </row>
    <row r="506" spans="2:14" s="13" customFormat="1" x14ac:dyDescent="0.35">
      <c r="B506" s="25"/>
      <c r="D506" s="42"/>
      <c r="E506" s="26"/>
      <c r="N506" s="42"/>
    </row>
    <row r="507" spans="2:14" s="13" customFormat="1" x14ac:dyDescent="0.35">
      <c r="B507" s="25"/>
      <c r="D507" s="42"/>
      <c r="E507" s="26"/>
      <c r="N507" s="42"/>
    </row>
    <row r="508" spans="2:14" s="13" customFormat="1" x14ac:dyDescent="0.35">
      <c r="B508" s="25"/>
      <c r="D508" s="42"/>
      <c r="E508" s="26"/>
      <c r="N508" s="42"/>
    </row>
    <row r="509" spans="2:14" s="13" customFormat="1" x14ac:dyDescent="0.35">
      <c r="B509" s="25"/>
      <c r="D509" s="42"/>
      <c r="E509" s="26"/>
      <c r="N509" s="42"/>
    </row>
    <row r="510" spans="2:14" s="13" customFormat="1" x14ac:dyDescent="0.35">
      <c r="B510" s="25"/>
      <c r="D510" s="42"/>
      <c r="E510" s="26"/>
      <c r="N510" s="42"/>
    </row>
    <row r="511" spans="2:14" s="13" customFormat="1" x14ac:dyDescent="0.35">
      <c r="B511" s="25"/>
      <c r="D511" s="42"/>
      <c r="E511" s="26"/>
      <c r="N511" s="42"/>
    </row>
    <row r="512" spans="2:14" s="13" customFormat="1" x14ac:dyDescent="0.35">
      <c r="B512" s="25"/>
      <c r="D512" s="42"/>
      <c r="E512" s="26"/>
      <c r="N512" s="42"/>
    </row>
    <row r="513" spans="2:14" s="13" customFormat="1" x14ac:dyDescent="0.35">
      <c r="B513" s="25"/>
      <c r="D513" s="42"/>
      <c r="E513" s="26"/>
      <c r="N513" s="42"/>
    </row>
    <row r="514" spans="2:14" s="13" customFormat="1" x14ac:dyDescent="0.35">
      <c r="B514" s="25"/>
      <c r="D514" s="42"/>
      <c r="E514" s="26"/>
      <c r="N514" s="42"/>
    </row>
    <row r="515" spans="2:14" s="13" customFormat="1" x14ac:dyDescent="0.35">
      <c r="B515" s="25"/>
      <c r="D515" s="42"/>
      <c r="E515" s="26"/>
      <c r="N515" s="42"/>
    </row>
    <row r="516" spans="2:14" s="13" customFormat="1" x14ac:dyDescent="0.35">
      <c r="B516" s="25"/>
      <c r="D516" s="42"/>
      <c r="E516" s="26"/>
      <c r="N516" s="42"/>
    </row>
    <row r="517" spans="2:14" s="13" customFormat="1" x14ac:dyDescent="0.35">
      <c r="B517" s="25"/>
      <c r="D517" s="42"/>
      <c r="E517" s="26"/>
      <c r="N517" s="42"/>
    </row>
    <row r="518" spans="2:14" s="13" customFormat="1" x14ac:dyDescent="0.35">
      <c r="B518" s="25"/>
      <c r="D518" s="42"/>
      <c r="E518" s="26"/>
      <c r="N518" s="42"/>
    </row>
    <row r="519" spans="2:14" s="13" customFormat="1" x14ac:dyDescent="0.35">
      <c r="B519" s="25"/>
      <c r="D519" s="42"/>
      <c r="E519" s="26"/>
      <c r="N519" s="42"/>
    </row>
    <row r="520" spans="2:14" s="13" customFormat="1" x14ac:dyDescent="0.35">
      <c r="B520" s="25"/>
      <c r="D520" s="42"/>
      <c r="E520" s="26"/>
      <c r="N520" s="42"/>
    </row>
    <row r="521" spans="2:14" s="13" customFormat="1" x14ac:dyDescent="0.35">
      <c r="B521" s="25"/>
      <c r="D521" s="42"/>
      <c r="E521" s="26"/>
      <c r="N521" s="42"/>
    </row>
    <row r="522" spans="2:14" s="13" customFormat="1" x14ac:dyDescent="0.35">
      <c r="B522" s="25"/>
      <c r="D522" s="42"/>
      <c r="E522" s="26"/>
      <c r="N522" s="42"/>
    </row>
    <row r="523" spans="2:14" s="13" customFormat="1" x14ac:dyDescent="0.35">
      <c r="B523" s="25"/>
      <c r="D523" s="42"/>
      <c r="E523" s="26"/>
      <c r="N523" s="42"/>
    </row>
    <row r="524" spans="2:14" s="13" customFormat="1" x14ac:dyDescent="0.35">
      <c r="B524" s="25"/>
      <c r="D524" s="42"/>
      <c r="E524" s="26"/>
      <c r="N524" s="42"/>
    </row>
    <row r="525" spans="2:14" s="13" customFormat="1" x14ac:dyDescent="0.35">
      <c r="B525" s="25"/>
      <c r="D525" s="42"/>
      <c r="E525" s="26"/>
      <c r="N525" s="42"/>
    </row>
    <row r="526" spans="2:14" s="13" customFormat="1" x14ac:dyDescent="0.35">
      <c r="B526" s="25"/>
      <c r="D526" s="42"/>
      <c r="E526" s="26"/>
      <c r="N526" s="42"/>
    </row>
    <row r="527" spans="2:14" s="13" customFormat="1" x14ac:dyDescent="0.35">
      <c r="B527" s="25"/>
      <c r="D527" s="42"/>
      <c r="E527" s="26"/>
      <c r="N527" s="42"/>
    </row>
    <row r="528" spans="2:14" s="13" customFormat="1" x14ac:dyDescent="0.35">
      <c r="B528" s="25"/>
      <c r="D528" s="42"/>
      <c r="E528" s="26"/>
      <c r="N528" s="42"/>
    </row>
    <row r="529" spans="2:14" s="13" customFormat="1" x14ac:dyDescent="0.35">
      <c r="B529" s="25"/>
      <c r="D529" s="42"/>
      <c r="E529" s="26"/>
      <c r="N529" s="42"/>
    </row>
    <row r="530" spans="2:14" s="13" customFormat="1" x14ac:dyDescent="0.35">
      <c r="B530" s="25"/>
      <c r="D530" s="42"/>
      <c r="E530" s="26"/>
      <c r="N530" s="42"/>
    </row>
    <row r="531" spans="2:14" s="13" customFormat="1" x14ac:dyDescent="0.35">
      <c r="B531" s="25"/>
      <c r="D531" s="42"/>
      <c r="E531" s="26"/>
      <c r="N531" s="42"/>
    </row>
    <row r="532" spans="2:14" s="13" customFormat="1" x14ac:dyDescent="0.35">
      <c r="B532" s="25"/>
      <c r="D532" s="42"/>
      <c r="E532" s="26"/>
      <c r="N532" s="42"/>
    </row>
    <row r="533" spans="2:14" s="13" customFormat="1" x14ac:dyDescent="0.35">
      <c r="B533" s="25"/>
      <c r="D533" s="42"/>
      <c r="E533" s="26"/>
      <c r="N533" s="42"/>
    </row>
    <row r="534" spans="2:14" s="13" customFormat="1" x14ac:dyDescent="0.35">
      <c r="B534" s="25"/>
      <c r="D534" s="42"/>
      <c r="E534" s="26"/>
      <c r="N534" s="42"/>
    </row>
    <row r="535" spans="2:14" s="13" customFormat="1" x14ac:dyDescent="0.35">
      <c r="B535" s="25"/>
      <c r="D535" s="42"/>
      <c r="E535" s="26"/>
      <c r="N535" s="42"/>
    </row>
    <row r="536" spans="2:14" s="13" customFormat="1" x14ac:dyDescent="0.35">
      <c r="B536" s="25"/>
      <c r="D536" s="42"/>
      <c r="E536" s="26"/>
      <c r="N536" s="42"/>
    </row>
    <row r="537" spans="2:14" s="13" customFormat="1" x14ac:dyDescent="0.35">
      <c r="B537" s="25"/>
      <c r="D537" s="42"/>
      <c r="E537" s="26"/>
      <c r="N537" s="42"/>
    </row>
    <row r="538" spans="2:14" s="13" customFormat="1" x14ac:dyDescent="0.35">
      <c r="B538" s="25"/>
      <c r="D538" s="42"/>
      <c r="E538" s="26"/>
      <c r="N538" s="42"/>
    </row>
    <row r="539" spans="2:14" s="13" customFormat="1" x14ac:dyDescent="0.35">
      <c r="B539" s="25"/>
      <c r="D539" s="42"/>
      <c r="E539" s="26"/>
      <c r="N539" s="42"/>
    </row>
    <row r="540" spans="2:14" s="13" customFormat="1" x14ac:dyDescent="0.35">
      <c r="B540" s="25"/>
      <c r="D540" s="42"/>
      <c r="E540" s="26"/>
      <c r="N540" s="42"/>
    </row>
    <row r="541" spans="2:14" s="13" customFormat="1" x14ac:dyDescent="0.35">
      <c r="B541" s="25"/>
      <c r="D541" s="42"/>
      <c r="E541" s="26"/>
      <c r="N541" s="42"/>
    </row>
    <row r="542" spans="2:14" s="13" customFormat="1" x14ac:dyDescent="0.35">
      <c r="B542" s="25"/>
      <c r="D542" s="42"/>
      <c r="E542" s="26"/>
      <c r="N542" s="42"/>
    </row>
    <row r="543" spans="2:14" s="13" customFormat="1" x14ac:dyDescent="0.35">
      <c r="B543" s="25"/>
      <c r="D543" s="42"/>
      <c r="E543" s="26"/>
      <c r="N543" s="42"/>
    </row>
    <row r="544" spans="2:14" s="13" customFormat="1" x14ac:dyDescent="0.35">
      <c r="B544" s="25"/>
      <c r="D544" s="42"/>
      <c r="E544" s="26"/>
      <c r="N544" s="42"/>
    </row>
    <row r="545" spans="2:14" s="13" customFormat="1" x14ac:dyDescent="0.35">
      <c r="B545" s="25"/>
      <c r="D545" s="42"/>
      <c r="E545" s="26"/>
      <c r="N545" s="42"/>
    </row>
    <row r="546" spans="2:14" s="13" customFormat="1" x14ac:dyDescent="0.35">
      <c r="B546" s="25"/>
      <c r="D546" s="42"/>
      <c r="E546" s="26"/>
      <c r="N546" s="42"/>
    </row>
    <row r="547" spans="2:14" s="13" customFormat="1" x14ac:dyDescent="0.35">
      <c r="B547" s="25"/>
      <c r="D547" s="42"/>
      <c r="E547" s="26"/>
      <c r="N547" s="42"/>
    </row>
    <row r="548" spans="2:14" s="13" customFormat="1" x14ac:dyDescent="0.35">
      <c r="B548" s="25"/>
      <c r="D548" s="42"/>
      <c r="E548" s="26"/>
      <c r="N548" s="42"/>
    </row>
    <row r="549" spans="2:14" s="13" customFormat="1" x14ac:dyDescent="0.35">
      <c r="B549" s="25"/>
      <c r="D549" s="42"/>
      <c r="E549" s="26"/>
      <c r="N549" s="42"/>
    </row>
    <row r="550" spans="2:14" s="13" customFormat="1" x14ac:dyDescent="0.35">
      <c r="B550" s="25"/>
      <c r="D550" s="42"/>
      <c r="E550" s="26"/>
      <c r="N550" s="42"/>
    </row>
    <row r="551" spans="2:14" s="13" customFormat="1" x14ac:dyDescent="0.35">
      <c r="B551" s="25"/>
      <c r="D551" s="42"/>
      <c r="E551" s="26"/>
      <c r="N551" s="42"/>
    </row>
    <row r="552" spans="2:14" s="13" customFormat="1" x14ac:dyDescent="0.35">
      <c r="B552" s="25"/>
      <c r="D552" s="42"/>
      <c r="E552" s="26"/>
      <c r="N552" s="42"/>
    </row>
    <row r="553" spans="2:14" s="13" customFormat="1" x14ac:dyDescent="0.35">
      <c r="B553" s="25"/>
      <c r="D553" s="42"/>
      <c r="E553" s="26"/>
      <c r="N553" s="42"/>
    </row>
    <row r="554" spans="2:14" s="13" customFormat="1" x14ac:dyDescent="0.35">
      <c r="B554" s="25"/>
      <c r="D554" s="42"/>
      <c r="E554" s="26"/>
      <c r="N554" s="42"/>
    </row>
    <row r="555" spans="2:14" s="13" customFormat="1" x14ac:dyDescent="0.35">
      <c r="B555" s="25"/>
      <c r="D555" s="42"/>
      <c r="E555" s="26"/>
      <c r="N555" s="42"/>
    </row>
    <row r="556" spans="2:14" s="13" customFormat="1" x14ac:dyDescent="0.35">
      <c r="B556" s="25"/>
      <c r="D556" s="42"/>
      <c r="E556" s="26"/>
      <c r="N556" s="42"/>
    </row>
    <row r="557" spans="2:14" s="13" customFormat="1" x14ac:dyDescent="0.35">
      <c r="B557" s="25"/>
      <c r="D557" s="42"/>
      <c r="E557" s="26"/>
      <c r="N557" s="42"/>
    </row>
    <row r="558" spans="2:14" s="13" customFormat="1" x14ac:dyDescent="0.35">
      <c r="B558" s="25"/>
      <c r="D558" s="42"/>
      <c r="E558" s="26"/>
      <c r="N558" s="42"/>
    </row>
    <row r="559" spans="2:14" s="13" customFormat="1" x14ac:dyDescent="0.35">
      <c r="B559" s="25"/>
      <c r="D559" s="42"/>
      <c r="E559" s="26"/>
      <c r="N559" s="42"/>
    </row>
    <row r="560" spans="2:14" s="13" customFormat="1" x14ac:dyDescent="0.35">
      <c r="B560" s="25"/>
      <c r="D560" s="42"/>
      <c r="E560" s="26"/>
      <c r="N560" s="42"/>
    </row>
    <row r="561" spans="2:14" s="13" customFormat="1" x14ac:dyDescent="0.35">
      <c r="B561" s="25"/>
      <c r="D561" s="42"/>
      <c r="E561" s="26"/>
      <c r="N561" s="42"/>
    </row>
    <row r="562" spans="2:14" s="13" customFormat="1" x14ac:dyDescent="0.35">
      <c r="B562" s="25"/>
      <c r="D562" s="42"/>
      <c r="E562" s="26"/>
      <c r="N562" s="42"/>
    </row>
    <row r="563" spans="2:14" s="13" customFormat="1" x14ac:dyDescent="0.35">
      <c r="B563" s="25"/>
      <c r="D563" s="42"/>
      <c r="E563" s="26"/>
      <c r="N563" s="42"/>
    </row>
    <row r="564" spans="2:14" s="13" customFormat="1" x14ac:dyDescent="0.35">
      <c r="B564" s="25"/>
      <c r="D564" s="42"/>
      <c r="E564" s="26"/>
      <c r="N564" s="42"/>
    </row>
    <row r="565" spans="2:14" s="13" customFormat="1" x14ac:dyDescent="0.35">
      <c r="B565" s="25"/>
      <c r="D565" s="42"/>
      <c r="E565" s="26"/>
      <c r="N565" s="42"/>
    </row>
    <row r="566" spans="2:14" s="13" customFormat="1" x14ac:dyDescent="0.35">
      <c r="B566" s="25"/>
      <c r="D566" s="42"/>
      <c r="E566" s="26"/>
      <c r="N566" s="42"/>
    </row>
    <row r="567" spans="2:14" s="13" customFormat="1" x14ac:dyDescent="0.35">
      <c r="B567" s="25"/>
      <c r="D567" s="42"/>
      <c r="E567" s="26"/>
      <c r="N567" s="42"/>
    </row>
    <row r="568" spans="2:14" s="13" customFormat="1" x14ac:dyDescent="0.35">
      <c r="B568" s="25"/>
      <c r="D568" s="42"/>
      <c r="E568" s="26"/>
      <c r="N568" s="42"/>
    </row>
    <row r="569" spans="2:14" s="13" customFormat="1" x14ac:dyDescent="0.35">
      <c r="B569" s="25"/>
      <c r="D569" s="42"/>
      <c r="E569" s="26"/>
      <c r="N569" s="42"/>
    </row>
    <row r="570" spans="2:14" s="13" customFormat="1" x14ac:dyDescent="0.35">
      <c r="B570" s="25"/>
      <c r="D570" s="42"/>
      <c r="E570" s="26"/>
      <c r="N570" s="42"/>
    </row>
    <row r="571" spans="2:14" s="13" customFormat="1" x14ac:dyDescent="0.35">
      <c r="B571" s="25"/>
      <c r="D571" s="42"/>
      <c r="E571" s="26"/>
      <c r="N571" s="42"/>
    </row>
    <row r="572" spans="2:14" s="13" customFormat="1" x14ac:dyDescent="0.35">
      <c r="B572" s="25"/>
      <c r="D572" s="42"/>
      <c r="E572" s="26"/>
      <c r="N572" s="42"/>
    </row>
    <row r="573" spans="2:14" s="13" customFormat="1" x14ac:dyDescent="0.35">
      <c r="B573" s="25"/>
      <c r="D573" s="42"/>
      <c r="E573" s="26"/>
      <c r="N573" s="42"/>
    </row>
    <row r="574" spans="2:14" s="13" customFormat="1" x14ac:dyDescent="0.35">
      <c r="B574" s="25"/>
      <c r="D574" s="42"/>
      <c r="E574" s="26"/>
      <c r="N574" s="42"/>
    </row>
    <row r="575" spans="2:14" s="13" customFormat="1" x14ac:dyDescent="0.35">
      <c r="B575" s="25"/>
      <c r="D575" s="42"/>
      <c r="E575" s="26"/>
      <c r="N575" s="42"/>
    </row>
    <row r="576" spans="2:14" s="13" customFormat="1" x14ac:dyDescent="0.35">
      <c r="B576" s="25"/>
      <c r="D576" s="42"/>
      <c r="E576" s="26"/>
      <c r="N576" s="42"/>
    </row>
    <row r="577" spans="2:14" s="13" customFormat="1" x14ac:dyDescent="0.35">
      <c r="B577" s="25"/>
      <c r="D577" s="42"/>
      <c r="E577" s="26"/>
      <c r="N577" s="42"/>
    </row>
    <row r="578" spans="2:14" s="13" customFormat="1" x14ac:dyDescent="0.35">
      <c r="B578" s="25"/>
      <c r="D578" s="42"/>
      <c r="E578" s="26"/>
      <c r="N578" s="42"/>
    </row>
    <row r="579" spans="2:14" s="13" customFormat="1" x14ac:dyDescent="0.35">
      <c r="B579" s="25"/>
      <c r="D579" s="42"/>
      <c r="E579" s="26"/>
      <c r="N579" s="42"/>
    </row>
    <row r="580" spans="2:14" s="13" customFormat="1" x14ac:dyDescent="0.35">
      <c r="B580" s="25"/>
      <c r="D580" s="42"/>
      <c r="E580" s="26"/>
      <c r="N580" s="42"/>
    </row>
    <row r="581" spans="2:14" s="13" customFormat="1" x14ac:dyDescent="0.35">
      <c r="B581" s="25"/>
      <c r="D581" s="42"/>
      <c r="E581" s="26"/>
      <c r="N581" s="42"/>
    </row>
    <row r="582" spans="2:14" s="13" customFormat="1" x14ac:dyDescent="0.35">
      <c r="B582" s="25"/>
      <c r="D582" s="42"/>
      <c r="E582" s="26"/>
      <c r="N582" s="42"/>
    </row>
    <row r="583" spans="2:14" s="13" customFormat="1" x14ac:dyDescent="0.35">
      <c r="B583" s="25"/>
      <c r="D583" s="42"/>
      <c r="E583" s="26"/>
      <c r="N583" s="42"/>
    </row>
    <row r="584" spans="2:14" s="13" customFormat="1" x14ac:dyDescent="0.35">
      <c r="B584" s="25"/>
      <c r="D584" s="42"/>
      <c r="E584" s="26"/>
      <c r="N584" s="42"/>
    </row>
    <row r="585" spans="2:14" s="13" customFormat="1" x14ac:dyDescent="0.35">
      <c r="B585" s="25"/>
      <c r="D585" s="42"/>
      <c r="E585" s="26"/>
      <c r="N585" s="42"/>
    </row>
    <row r="586" spans="2:14" s="13" customFormat="1" x14ac:dyDescent="0.35">
      <c r="B586" s="25"/>
      <c r="D586" s="42"/>
      <c r="E586" s="26"/>
      <c r="N586" s="42"/>
    </row>
    <row r="587" spans="2:14" s="13" customFormat="1" x14ac:dyDescent="0.35">
      <c r="B587" s="25"/>
      <c r="D587" s="42"/>
      <c r="E587" s="26"/>
      <c r="N587" s="42"/>
    </row>
    <row r="588" spans="2:14" s="13" customFormat="1" x14ac:dyDescent="0.35">
      <c r="B588" s="25"/>
      <c r="D588" s="42"/>
      <c r="E588" s="26"/>
      <c r="N588" s="42"/>
    </row>
    <row r="589" spans="2:14" s="13" customFormat="1" x14ac:dyDescent="0.35">
      <c r="B589" s="25"/>
      <c r="D589" s="42"/>
      <c r="E589" s="26"/>
      <c r="N589" s="42"/>
    </row>
    <row r="590" spans="2:14" s="13" customFormat="1" x14ac:dyDescent="0.35">
      <c r="B590" s="25"/>
      <c r="D590" s="42"/>
      <c r="E590" s="26"/>
      <c r="N590" s="42"/>
    </row>
    <row r="591" spans="2:14" s="13" customFormat="1" x14ac:dyDescent="0.35">
      <c r="B591" s="25"/>
      <c r="D591" s="42"/>
      <c r="E591" s="26"/>
      <c r="N591" s="42"/>
    </row>
    <row r="592" spans="2:14" s="13" customFormat="1" x14ac:dyDescent="0.35">
      <c r="B592" s="25"/>
      <c r="D592" s="42"/>
      <c r="E592" s="26"/>
      <c r="N592" s="42"/>
    </row>
    <row r="593" spans="2:14" s="13" customFormat="1" x14ac:dyDescent="0.35">
      <c r="B593" s="25"/>
      <c r="D593" s="42"/>
      <c r="E593" s="26"/>
      <c r="N593" s="42"/>
    </row>
    <row r="594" spans="2:14" s="13" customFormat="1" x14ac:dyDescent="0.35">
      <c r="B594" s="25"/>
      <c r="D594" s="42"/>
      <c r="E594" s="26"/>
      <c r="N594" s="42"/>
    </row>
    <row r="595" spans="2:14" s="13" customFormat="1" x14ac:dyDescent="0.35">
      <c r="B595" s="25"/>
      <c r="D595" s="42"/>
      <c r="E595" s="26"/>
      <c r="N595" s="42"/>
    </row>
    <row r="596" spans="2:14" s="13" customFormat="1" x14ac:dyDescent="0.35">
      <c r="B596" s="25"/>
      <c r="D596" s="42"/>
      <c r="E596" s="26"/>
      <c r="N596" s="42"/>
    </row>
    <row r="597" spans="2:14" s="13" customFormat="1" x14ac:dyDescent="0.35">
      <c r="B597" s="25"/>
      <c r="D597" s="42"/>
      <c r="E597" s="26"/>
      <c r="N597" s="42"/>
    </row>
    <row r="598" spans="2:14" s="13" customFormat="1" x14ac:dyDescent="0.35">
      <c r="B598" s="25"/>
      <c r="D598" s="42"/>
      <c r="E598" s="26"/>
      <c r="N598" s="42"/>
    </row>
    <row r="599" spans="2:14" s="13" customFormat="1" x14ac:dyDescent="0.35">
      <c r="B599" s="25"/>
      <c r="D599" s="42"/>
      <c r="E599" s="26"/>
      <c r="N599" s="42"/>
    </row>
    <row r="600" spans="2:14" s="13" customFormat="1" x14ac:dyDescent="0.35">
      <c r="B600" s="25"/>
      <c r="D600" s="42"/>
      <c r="E600" s="26"/>
      <c r="N600" s="42"/>
    </row>
    <row r="601" spans="2:14" s="13" customFormat="1" x14ac:dyDescent="0.35">
      <c r="B601" s="25"/>
      <c r="D601" s="42"/>
      <c r="E601" s="26"/>
      <c r="N601" s="42"/>
    </row>
    <row r="602" spans="2:14" s="13" customFormat="1" x14ac:dyDescent="0.35">
      <c r="B602" s="25"/>
      <c r="D602" s="42"/>
      <c r="E602" s="26"/>
      <c r="N602" s="42"/>
    </row>
    <row r="603" spans="2:14" s="13" customFormat="1" x14ac:dyDescent="0.35">
      <c r="B603" s="25"/>
      <c r="D603" s="42"/>
      <c r="E603" s="26"/>
      <c r="N603" s="42"/>
    </row>
    <row r="604" spans="2:14" s="13" customFormat="1" x14ac:dyDescent="0.35">
      <c r="B604" s="25"/>
      <c r="D604" s="42"/>
      <c r="E604" s="26"/>
      <c r="N604" s="42"/>
    </row>
    <row r="605" spans="2:14" s="13" customFormat="1" x14ac:dyDescent="0.35">
      <c r="B605" s="25"/>
      <c r="D605" s="42"/>
      <c r="E605" s="26"/>
      <c r="N605" s="42"/>
    </row>
    <row r="606" spans="2:14" s="13" customFormat="1" x14ac:dyDescent="0.35">
      <c r="B606" s="25"/>
      <c r="D606" s="42"/>
      <c r="E606" s="26"/>
      <c r="N606" s="42"/>
    </row>
    <row r="607" spans="2:14" s="13" customFormat="1" x14ac:dyDescent="0.35">
      <c r="B607" s="25"/>
      <c r="D607" s="42"/>
      <c r="E607" s="26"/>
      <c r="N607" s="42"/>
    </row>
    <row r="608" spans="2:14" s="13" customFormat="1" x14ac:dyDescent="0.35">
      <c r="B608" s="25"/>
      <c r="D608" s="42"/>
      <c r="E608" s="26"/>
      <c r="N608" s="42"/>
    </row>
    <row r="609" spans="2:14" s="13" customFormat="1" x14ac:dyDescent="0.35">
      <c r="B609" s="25"/>
      <c r="D609" s="42"/>
      <c r="E609" s="26"/>
      <c r="N609" s="42"/>
    </row>
    <row r="610" spans="2:14" s="13" customFormat="1" x14ac:dyDescent="0.35">
      <c r="B610" s="25"/>
      <c r="D610" s="42"/>
      <c r="E610" s="26"/>
      <c r="N610" s="42"/>
    </row>
    <row r="611" spans="2:14" s="13" customFormat="1" x14ac:dyDescent="0.35">
      <c r="B611" s="25"/>
      <c r="D611" s="42"/>
      <c r="E611" s="26"/>
      <c r="N611" s="42"/>
    </row>
    <row r="612" spans="2:14" s="13" customFormat="1" x14ac:dyDescent="0.35">
      <c r="B612" s="25"/>
      <c r="D612" s="42"/>
      <c r="E612" s="26"/>
      <c r="N612" s="42"/>
    </row>
    <row r="613" spans="2:14" s="13" customFormat="1" x14ac:dyDescent="0.35">
      <c r="B613" s="25"/>
      <c r="D613" s="42"/>
      <c r="E613" s="26"/>
      <c r="N613" s="42"/>
    </row>
    <row r="614" spans="2:14" s="13" customFormat="1" x14ac:dyDescent="0.35">
      <c r="B614" s="25"/>
      <c r="D614" s="42"/>
      <c r="E614" s="26"/>
      <c r="N614" s="42"/>
    </row>
    <row r="615" spans="2:14" s="13" customFormat="1" x14ac:dyDescent="0.35">
      <c r="B615" s="25"/>
      <c r="D615" s="42"/>
      <c r="E615" s="26"/>
      <c r="N615" s="42"/>
    </row>
    <row r="616" spans="2:14" s="13" customFormat="1" x14ac:dyDescent="0.35">
      <c r="B616" s="25"/>
      <c r="D616" s="42"/>
      <c r="E616" s="26"/>
      <c r="N616" s="42"/>
    </row>
    <row r="617" spans="2:14" s="13" customFormat="1" x14ac:dyDescent="0.35">
      <c r="B617" s="25"/>
      <c r="D617" s="42"/>
      <c r="E617" s="26"/>
      <c r="N617" s="42"/>
    </row>
    <row r="618" spans="2:14" s="13" customFormat="1" x14ac:dyDescent="0.35">
      <c r="B618" s="25"/>
      <c r="D618" s="42"/>
      <c r="E618" s="26"/>
      <c r="N618" s="42"/>
    </row>
    <row r="619" spans="2:14" s="13" customFormat="1" x14ac:dyDescent="0.35">
      <c r="B619" s="25"/>
      <c r="D619" s="42"/>
      <c r="E619" s="26"/>
      <c r="N619" s="42"/>
    </row>
    <row r="620" spans="2:14" s="13" customFormat="1" x14ac:dyDescent="0.35">
      <c r="B620" s="25"/>
      <c r="D620" s="42"/>
      <c r="E620" s="26"/>
      <c r="N620" s="42"/>
    </row>
    <row r="621" spans="2:14" s="13" customFormat="1" x14ac:dyDescent="0.35">
      <c r="B621" s="25"/>
      <c r="D621" s="42"/>
      <c r="E621" s="26"/>
      <c r="N621" s="42"/>
    </row>
    <row r="622" spans="2:14" s="13" customFormat="1" x14ac:dyDescent="0.35">
      <c r="B622" s="25"/>
      <c r="D622" s="42"/>
      <c r="E622" s="26"/>
      <c r="N622" s="42"/>
    </row>
    <row r="623" spans="2:14" s="13" customFormat="1" x14ac:dyDescent="0.35">
      <c r="B623" s="25"/>
      <c r="D623" s="42"/>
      <c r="E623" s="26"/>
      <c r="N623" s="42"/>
    </row>
    <row r="624" spans="2:14" s="13" customFormat="1" x14ac:dyDescent="0.35">
      <c r="B624" s="25"/>
      <c r="D624" s="42"/>
      <c r="E624" s="26"/>
      <c r="N624" s="42"/>
    </row>
    <row r="625" spans="2:14" s="13" customFormat="1" x14ac:dyDescent="0.35">
      <c r="B625" s="25"/>
      <c r="D625" s="42"/>
      <c r="E625" s="26"/>
      <c r="N625" s="42"/>
    </row>
    <row r="626" spans="2:14" s="13" customFormat="1" x14ac:dyDescent="0.35">
      <c r="B626" s="25"/>
      <c r="D626" s="42"/>
      <c r="E626" s="26"/>
      <c r="N626" s="42"/>
    </row>
    <row r="627" spans="2:14" s="13" customFormat="1" x14ac:dyDescent="0.35">
      <c r="B627" s="25"/>
      <c r="D627" s="42"/>
      <c r="E627" s="26"/>
      <c r="N627" s="42"/>
    </row>
    <row r="628" spans="2:14" s="13" customFormat="1" x14ac:dyDescent="0.35">
      <c r="B628" s="25"/>
      <c r="D628" s="42"/>
      <c r="E628" s="26"/>
      <c r="N628" s="42"/>
    </row>
    <row r="629" spans="2:14" s="13" customFormat="1" x14ac:dyDescent="0.35">
      <c r="B629" s="25"/>
      <c r="D629" s="42"/>
      <c r="E629" s="26"/>
      <c r="N629" s="42"/>
    </row>
    <row r="630" spans="2:14" s="13" customFormat="1" x14ac:dyDescent="0.35">
      <c r="B630" s="25"/>
      <c r="D630" s="42"/>
      <c r="E630" s="26"/>
      <c r="N630" s="42"/>
    </row>
    <row r="631" spans="2:14" s="13" customFormat="1" x14ac:dyDescent="0.35">
      <c r="B631" s="25"/>
      <c r="D631" s="42"/>
      <c r="E631" s="26"/>
      <c r="N631" s="42"/>
    </row>
    <row r="632" spans="2:14" s="13" customFormat="1" x14ac:dyDescent="0.35">
      <c r="B632" s="25"/>
      <c r="D632" s="42"/>
      <c r="E632" s="26"/>
      <c r="N632" s="42"/>
    </row>
    <row r="633" spans="2:14" s="13" customFormat="1" x14ac:dyDescent="0.35">
      <c r="B633" s="25"/>
      <c r="D633" s="42"/>
      <c r="E633" s="26"/>
      <c r="N633" s="42"/>
    </row>
    <row r="634" spans="2:14" s="13" customFormat="1" x14ac:dyDescent="0.35">
      <c r="B634" s="25"/>
      <c r="D634" s="42"/>
      <c r="E634" s="26"/>
      <c r="N634" s="42"/>
    </row>
    <row r="635" spans="2:14" s="13" customFormat="1" x14ac:dyDescent="0.35">
      <c r="B635" s="25"/>
      <c r="D635" s="42"/>
      <c r="E635" s="26"/>
      <c r="N635" s="42"/>
    </row>
    <row r="636" spans="2:14" s="13" customFormat="1" x14ac:dyDescent="0.35">
      <c r="B636" s="25"/>
      <c r="D636" s="42"/>
      <c r="E636" s="26"/>
      <c r="N636" s="42"/>
    </row>
    <row r="637" spans="2:14" s="13" customFormat="1" x14ac:dyDescent="0.35">
      <c r="B637" s="25"/>
      <c r="D637" s="42"/>
      <c r="E637" s="26"/>
      <c r="N637" s="42"/>
    </row>
    <row r="638" spans="2:14" s="13" customFormat="1" x14ac:dyDescent="0.35">
      <c r="B638" s="25"/>
      <c r="D638" s="42"/>
      <c r="E638" s="26"/>
      <c r="N638" s="42"/>
    </row>
    <row r="639" spans="2:14" s="13" customFormat="1" x14ac:dyDescent="0.35">
      <c r="B639" s="25"/>
      <c r="D639" s="42"/>
      <c r="E639" s="26"/>
      <c r="N639" s="42"/>
    </row>
    <row r="640" spans="2:14" s="13" customFormat="1" x14ac:dyDescent="0.35">
      <c r="B640" s="25"/>
      <c r="D640" s="42"/>
      <c r="E640" s="26"/>
      <c r="N640" s="42"/>
    </row>
    <row r="641" spans="2:14" s="13" customFormat="1" x14ac:dyDescent="0.35">
      <c r="B641" s="25"/>
      <c r="D641" s="42"/>
      <c r="E641" s="26"/>
      <c r="N641" s="42"/>
    </row>
    <row r="642" spans="2:14" s="13" customFormat="1" x14ac:dyDescent="0.35">
      <c r="B642" s="25"/>
      <c r="D642" s="42"/>
      <c r="E642" s="26"/>
      <c r="N642" s="42"/>
    </row>
    <row r="643" spans="2:14" s="13" customFormat="1" x14ac:dyDescent="0.35">
      <c r="B643" s="25"/>
      <c r="D643" s="42"/>
      <c r="E643" s="26"/>
      <c r="N643" s="42"/>
    </row>
    <row r="644" spans="2:14" s="13" customFormat="1" x14ac:dyDescent="0.35">
      <c r="B644" s="25"/>
      <c r="D644" s="42"/>
      <c r="E644" s="26"/>
      <c r="N644" s="42"/>
    </row>
    <row r="645" spans="2:14" s="13" customFormat="1" x14ac:dyDescent="0.35">
      <c r="B645" s="25"/>
      <c r="D645" s="42"/>
      <c r="E645" s="26"/>
      <c r="N645" s="42"/>
    </row>
    <row r="646" spans="2:14" s="13" customFormat="1" x14ac:dyDescent="0.35">
      <c r="B646" s="25"/>
      <c r="D646" s="42"/>
      <c r="E646" s="26"/>
      <c r="N646" s="42"/>
    </row>
    <row r="647" spans="2:14" s="13" customFormat="1" x14ac:dyDescent="0.35">
      <c r="B647" s="25"/>
      <c r="D647" s="42"/>
      <c r="E647" s="26"/>
      <c r="N647" s="42"/>
    </row>
    <row r="648" spans="2:14" s="13" customFormat="1" x14ac:dyDescent="0.35">
      <c r="B648" s="25"/>
      <c r="D648" s="42"/>
      <c r="E648" s="26"/>
      <c r="N648" s="42"/>
    </row>
    <row r="649" spans="2:14" s="13" customFormat="1" x14ac:dyDescent="0.35">
      <c r="B649" s="25"/>
      <c r="D649" s="42"/>
      <c r="E649" s="26"/>
      <c r="N649" s="42"/>
    </row>
  </sheetData>
  <sheetProtection algorithmName="SHA-512" hashValue="+2QtfJ+txE0z8JZ7Aku9zl/XrxrQjim0/NsqdtS7wVnxiaIpjqlZGTgQW7zag8plPDBCA2bdJp5eJakRNQ2c4A==" saltValue="IvhC3W7EXwVntu7s/y+UJQ==" spinCount="100000" sheet="1" formatCells="0" formatColumns="0" formatRows="0"/>
  <mergeCells count="6">
    <mergeCell ref="A7:A16"/>
    <mergeCell ref="B7:B16"/>
    <mergeCell ref="C8:C13"/>
    <mergeCell ref="D8:D13"/>
    <mergeCell ref="C14:C16"/>
    <mergeCell ref="D14:D16"/>
  </mergeCells>
  <dataValidations count="1">
    <dataValidation type="list" allowBlank="1" showInputMessage="1" showErrorMessage="1" errorTitle="ASVS Test Result" error="Invalid selection!" promptTitle="ASVS Test Result" prompt="Please select test result from the list." sqref="G7:G16" xr:uid="{C409F4E7-6D07-4231-AF69-2741905F06A2}">
      <formula1>testResult</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Sheet8.Confirm_Reset_Answers_V10">
                <anchor moveWithCells="1" sizeWithCells="1">
                  <from>
                    <xdr:col>0</xdr:col>
                    <xdr:colOff>114300</xdr:colOff>
                    <xdr:row>0</xdr:row>
                    <xdr:rowOff>38100</xdr:rowOff>
                  </from>
                  <to>
                    <xdr:col>1</xdr:col>
                    <xdr:colOff>1562100</xdr:colOff>
                    <xdr:row>2</xdr:row>
                    <xdr:rowOff>50800</xdr:rowOff>
                  </to>
                </anchor>
              </controlPr>
            </control>
          </mc:Choice>
        </mc:AlternateContent>
        <mc:AlternateContent xmlns:mc="http://schemas.openxmlformats.org/markup-compatibility/2006">
          <mc:Choice Requires="x14">
            <control shapeId="25604" r:id="rId5" name="Button 4">
              <controlPr defaultSize="0" print="0" autoFill="0" autoPict="0" macro="[0]!Confirm_Reset_All_Answers">
                <anchor moveWithCells="1" sizeWithCells="1">
                  <from>
                    <xdr:col>0</xdr:col>
                    <xdr:colOff>114300</xdr:colOff>
                    <xdr:row>2</xdr:row>
                    <xdr:rowOff>88900</xdr:rowOff>
                  </from>
                  <to>
                    <xdr:col>1</xdr:col>
                    <xdr:colOff>1562100</xdr:colOff>
                    <xdr:row>4</xdr:row>
                    <xdr:rowOff>107950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19365-269A-4A51-A179-7CD422061CF9}">
  <sheetPr codeName="Sheet9">
    <tabColor theme="6" tint="-0.499984740745262"/>
  </sheetPr>
  <dimension ref="A1:CRF647"/>
  <sheetViews>
    <sheetView showGridLines="0" showRowColHeaders="0" workbookViewId="0">
      <pane ySplit="6" topLeftCell="A7" activePane="bottomLeft" state="frozen"/>
      <selection pane="bottomLeft" activeCell="A7" sqref="A7:A14"/>
    </sheetView>
  </sheetViews>
  <sheetFormatPr defaultRowHeight="14.5" x14ac:dyDescent="0.35"/>
  <cols>
    <col min="1" max="1" width="10.7265625" customWidth="1"/>
    <col min="2" max="2" width="24.1796875" style="20" customWidth="1"/>
    <col min="3" max="3" width="10.453125" customWidth="1"/>
    <col min="4" max="4" width="31.81640625" customWidth="1"/>
    <col min="5" max="5" width="9.1796875" style="21"/>
    <col min="6" max="6" width="56.1796875" customWidth="1"/>
    <col min="7" max="7" width="19.1796875" customWidth="1"/>
    <col min="8" max="10" width="3.7265625" bestFit="1" customWidth="1"/>
    <col min="12" max="13" width="13.1796875"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0</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0</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TOTAL_ASVS_V11</f>
        <v>8</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ht="26.25" customHeight="1" x14ac:dyDescent="0.35">
      <c r="A7" s="113" t="s">
        <v>49</v>
      </c>
      <c r="B7" s="116" t="s">
        <v>639</v>
      </c>
      <c r="C7" s="113" t="s">
        <v>640</v>
      </c>
      <c r="D7" s="109" t="s">
        <v>641</v>
      </c>
      <c r="E7" s="22" t="s">
        <v>642</v>
      </c>
      <c r="F7" s="4" t="s">
        <v>643</v>
      </c>
      <c r="G7" s="91" t="s">
        <v>32</v>
      </c>
      <c r="H7" s="38" t="s">
        <v>812</v>
      </c>
      <c r="I7" s="39" t="s">
        <v>812</v>
      </c>
      <c r="J7" s="40" t="s">
        <v>812</v>
      </c>
      <c r="K7" s="5">
        <v>841</v>
      </c>
      <c r="L7" s="24"/>
      <c r="M7" s="24"/>
      <c r="N7" s="41"/>
    </row>
    <row r="8" spans="1:2502" ht="39" x14ac:dyDescent="0.35">
      <c r="A8" s="114"/>
      <c r="B8" s="117"/>
      <c r="C8" s="114"/>
      <c r="D8" s="110"/>
      <c r="E8" s="22" t="s">
        <v>644</v>
      </c>
      <c r="F8" s="4" t="s">
        <v>645</v>
      </c>
      <c r="G8" s="91" t="s">
        <v>32</v>
      </c>
      <c r="H8" s="38" t="s">
        <v>812</v>
      </c>
      <c r="I8" s="39" t="s">
        <v>812</v>
      </c>
      <c r="J8" s="40" t="s">
        <v>812</v>
      </c>
      <c r="K8" s="5">
        <v>779</v>
      </c>
      <c r="L8" s="24"/>
      <c r="M8" s="24"/>
      <c r="N8" s="41"/>
    </row>
    <row r="9" spans="1:2502" ht="39" x14ac:dyDescent="0.35">
      <c r="A9" s="114"/>
      <c r="B9" s="117"/>
      <c r="C9" s="114"/>
      <c r="D9" s="110"/>
      <c r="E9" s="22" t="s">
        <v>646</v>
      </c>
      <c r="F9" s="4" t="s">
        <v>647</v>
      </c>
      <c r="G9" s="91" t="s">
        <v>32</v>
      </c>
      <c r="H9" s="38" t="s">
        <v>812</v>
      </c>
      <c r="I9" s="39" t="s">
        <v>812</v>
      </c>
      <c r="J9" s="40" t="s">
        <v>812</v>
      </c>
      <c r="K9" s="5">
        <v>770</v>
      </c>
      <c r="L9" s="24"/>
      <c r="M9" s="24"/>
      <c r="N9" s="41"/>
    </row>
    <row r="10" spans="1:2502" ht="39" x14ac:dyDescent="0.35">
      <c r="A10" s="114"/>
      <c r="B10" s="117"/>
      <c r="C10" s="114"/>
      <c r="D10" s="110"/>
      <c r="E10" s="22" t="s">
        <v>648</v>
      </c>
      <c r="F10" s="4" t="s">
        <v>649</v>
      </c>
      <c r="G10" s="91" t="s">
        <v>32</v>
      </c>
      <c r="H10" s="38" t="s">
        <v>812</v>
      </c>
      <c r="I10" s="39" t="s">
        <v>812</v>
      </c>
      <c r="J10" s="40" t="s">
        <v>812</v>
      </c>
      <c r="K10" s="5">
        <v>770</v>
      </c>
      <c r="L10" s="24"/>
      <c r="M10" s="24"/>
      <c r="N10" s="41"/>
    </row>
    <row r="11" spans="1:2502" s="13" customFormat="1" ht="39" x14ac:dyDescent="0.35">
      <c r="A11" s="114"/>
      <c r="B11" s="117"/>
      <c r="C11" s="114"/>
      <c r="D11" s="110"/>
      <c r="E11" s="22" t="s">
        <v>650</v>
      </c>
      <c r="F11" s="4" t="s">
        <v>651</v>
      </c>
      <c r="G11" s="91" t="s">
        <v>32</v>
      </c>
      <c r="H11" s="38" t="s">
        <v>812</v>
      </c>
      <c r="I11" s="39" t="s">
        <v>812</v>
      </c>
      <c r="J11" s="40" t="s">
        <v>812</v>
      </c>
      <c r="K11" s="5">
        <v>841</v>
      </c>
      <c r="L11" s="24"/>
      <c r="M11" s="24"/>
      <c r="N11" s="4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c r="AML11"/>
      <c r="AMM11"/>
      <c r="AMN11"/>
      <c r="AMO11"/>
      <c r="AMP11"/>
      <c r="AMQ11"/>
      <c r="AMR11"/>
      <c r="AMS11"/>
      <c r="AMT11"/>
      <c r="AMU11"/>
      <c r="AMV11"/>
      <c r="AMW11"/>
      <c r="AMX11"/>
      <c r="AMY11"/>
      <c r="AMZ11"/>
      <c r="ANA11"/>
      <c r="ANB11"/>
      <c r="ANC11"/>
      <c r="AND11"/>
      <c r="ANE11"/>
      <c r="ANF11"/>
      <c r="ANG11"/>
      <c r="ANH11"/>
      <c r="ANI11"/>
      <c r="ANJ11"/>
      <c r="ANK11"/>
      <c r="ANL11"/>
      <c r="ANM11"/>
      <c r="ANN11"/>
      <c r="ANO11"/>
      <c r="ANP11"/>
      <c r="ANQ11"/>
      <c r="ANR11"/>
      <c r="ANS11"/>
      <c r="ANT11"/>
      <c r="ANU11"/>
      <c r="ANV11"/>
      <c r="ANW11"/>
      <c r="ANX11"/>
      <c r="ANY11"/>
      <c r="ANZ11"/>
      <c r="AOA11"/>
      <c r="AOB11"/>
      <c r="AOC11"/>
      <c r="AOD11"/>
      <c r="AOE11"/>
      <c r="AOF11"/>
      <c r="AOG11"/>
      <c r="AOH11"/>
      <c r="AOI11"/>
      <c r="AOJ11"/>
      <c r="AOK11"/>
      <c r="AOL11"/>
      <c r="AOM11"/>
      <c r="AON11"/>
      <c r="AOO11"/>
      <c r="AOP11"/>
      <c r="AOQ11"/>
      <c r="AOR11"/>
      <c r="AOS11"/>
      <c r="AOT11"/>
      <c r="AOU11"/>
      <c r="AOV11"/>
      <c r="AOW11"/>
      <c r="AOX11"/>
      <c r="AOY11"/>
      <c r="AOZ11"/>
      <c r="APA11"/>
      <c r="APB11"/>
      <c r="APC11"/>
      <c r="APD11"/>
      <c r="APE11"/>
      <c r="APF11"/>
      <c r="APG11"/>
      <c r="APH11"/>
      <c r="API11"/>
      <c r="APJ11"/>
      <c r="APK11"/>
      <c r="APL11"/>
      <c r="APM11"/>
      <c r="APN11"/>
      <c r="APO11"/>
      <c r="APP11"/>
      <c r="APQ11"/>
      <c r="APR11"/>
      <c r="APS11"/>
      <c r="APT11"/>
      <c r="APU11"/>
      <c r="APV11"/>
      <c r="APW11"/>
      <c r="APX11"/>
      <c r="APY11"/>
      <c r="APZ11"/>
      <c r="AQA11"/>
      <c r="AQB11"/>
      <c r="AQC11"/>
      <c r="AQD11"/>
      <c r="AQE11"/>
      <c r="AQF11"/>
      <c r="AQG11"/>
      <c r="AQH11"/>
      <c r="AQI11"/>
      <c r="AQJ11"/>
      <c r="AQK11"/>
      <c r="AQL11"/>
      <c r="AQM11"/>
      <c r="AQN11"/>
      <c r="AQO11"/>
      <c r="AQP11"/>
      <c r="AQQ11"/>
      <c r="AQR11"/>
      <c r="AQS11"/>
      <c r="AQT11"/>
      <c r="AQU11"/>
      <c r="AQV11"/>
      <c r="AQW11"/>
      <c r="AQX11"/>
      <c r="AQY11"/>
      <c r="AQZ11"/>
      <c r="ARA11"/>
      <c r="ARB11"/>
      <c r="ARC11"/>
      <c r="ARD11"/>
      <c r="ARE11"/>
      <c r="ARF11"/>
      <c r="ARG11"/>
      <c r="ARH11"/>
      <c r="ARI11"/>
      <c r="ARJ11"/>
      <c r="ARK11"/>
      <c r="ARL11"/>
      <c r="ARM11"/>
      <c r="ARN11"/>
      <c r="ARO11"/>
      <c r="ARP11"/>
      <c r="ARQ11"/>
      <c r="ARR11"/>
      <c r="ARS11"/>
      <c r="ART11"/>
      <c r="ARU11"/>
      <c r="ARV11"/>
      <c r="ARW11"/>
      <c r="ARX11"/>
      <c r="ARY11"/>
      <c r="ARZ11"/>
      <c r="ASA11"/>
      <c r="ASB11"/>
      <c r="ASC11"/>
      <c r="ASD11"/>
      <c r="ASE11"/>
      <c r="ASF11"/>
      <c r="ASG11"/>
      <c r="ASH11"/>
      <c r="ASI11"/>
      <c r="ASJ11"/>
      <c r="ASK11"/>
      <c r="ASL11"/>
      <c r="ASM11"/>
      <c r="ASN11"/>
      <c r="ASO11"/>
      <c r="ASP11"/>
      <c r="ASQ11"/>
      <c r="ASR11"/>
      <c r="ASS11"/>
      <c r="AST11"/>
      <c r="ASU11"/>
      <c r="ASV11"/>
      <c r="ASW11"/>
      <c r="ASX11"/>
      <c r="ASY11"/>
      <c r="ASZ11"/>
      <c r="ATA11"/>
      <c r="ATB11"/>
      <c r="ATC11"/>
      <c r="ATD11"/>
      <c r="ATE11"/>
      <c r="ATF11"/>
      <c r="ATG11"/>
      <c r="ATH11"/>
      <c r="ATI11"/>
      <c r="ATJ11"/>
      <c r="ATK11"/>
      <c r="ATL11"/>
      <c r="ATM11"/>
      <c r="ATN11"/>
      <c r="ATO11"/>
      <c r="ATP11"/>
      <c r="ATQ11"/>
      <c r="ATR11"/>
      <c r="ATS11"/>
      <c r="ATT11"/>
      <c r="ATU11"/>
      <c r="ATV11"/>
      <c r="ATW11"/>
      <c r="ATX11"/>
      <c r="ATY11"/>
      <c r="ATZ11"/>
      <c r="AUA11"/>
      <c r="AUB11"/>
      <c r="AUC11"/>
      <c r="AUD11"/>
      <c r="AUE11"/>
      <c r="AUF11"/>
      <c r="AUG11"/>
      <c r="AUH11"/>
      <c r="AUI11"/>
      <c r="AUJ11"/>
      <c r="AUK11"/>
      <c r="AUL11"/>
      <c r="AUM11"/>
      <c r="AUN11"/>
      <c r="AUO11"/>
      <c r="AUP11"/>
      <c r="AUQ11"/>
      <c r="AUR11"/>
      <c r="AUS11"/>
      <c r="AUT11"/>
      <c r="AUU11"/>
      <c r="AUV11"/>
      <c r="AUW11"/>
      <c r="AUX11"/>
      <c r="AUY11"/>
      <c r="AUZ11"/>
      <c r="AVA11"/>
      <c r="AVB11"/>
      <c r="AVC11"/>
      <c r="AVD11"/>
      <c r="AVE11"/>
      <c r="AVF11"/>
      <c r="AVG11"/>
      <c r="AVH11"/>
      <c r="AVI11"/>
      <c r="AVJ11"/>
      <c r="AVK11"/>
      <c r="AVL11"/>
      <c r="AVM11"/>
      <c r="AVN11"/>
      <c r="AVO11"/>
      <c r="AVP11"/>
      <c r="AVQ11"/>
      <c r="AVR11"/>
      <c r="AVS11"/>
      <c r="AVT11"/>
      <c r="AVU11"/>
      <c r="AVV11"/>
      <c r="AVW11"/>
      <c r="AVX11"/>
      <c r="AVY11"/>
      <c r="AVZ11"/>
      <c r="AWA11"/>
      <c r="AWB11"/>
      <c r="AWC11"/>
      <c r="AWD11"/>
      <c r="AWE11"/>
      <c r="AWF11"/>
      <c r="AWG11"/>
      <c r="AWH11"/>
      <c r="AWI11"/>
      <c r="AWJ11"/>
      <c r="AWK11"/>
      <c r="AWL11"/>
      <c r="AWM11"/>
      <c r="AWN11"/>
      <c r="AWO11"/>
      <c r="AWP11"/>
      <c r="AWQ11"/>
      <c r="AWR11"/>
      <c r="AWS11"/>
      <c r="AWT11"/>
      <c r="AWU11"/>
      <c r="AWV11"/>
      <c r="AWW11"/>
      <c r="AWX11"/>
      <c r="AWY11"/>
      <c r="AWZ11"/>
      <c r="AXA11"/>
      <c r="AXB11"/>
      <c r="AXC11"/>
      <c r="AXD11"/>
      <c r="AXE11"/>
      <c r="AXF11"/>
      <c r="AXG11"/>
      <c r="AXH11"/>
      <c r="AXI11"/>
      <c r="AXJ11"/>
      <c r="AXK11"/>
      <c r="AXL11"/>
      <c r="AXM11"/>
      <c r="AXN11"/>
      <c r="AXO11"/>
      <c r="AXP11"/>
      <c r="AXQ11"/>
      <c r="AXR11"/>
      <c r="AXS11"/>
      <c r="AXT11"/>
      <c r="AXU11"/>
      <c r="AXV11"/>
      <c r="AXW11"/>
      <c r="AXX11"/>
      <c r="AXY11"/>
      <c r="AXZ11"/>
      <c r="AYA11"/>
      <c r="AYB11"/>
      <c r="AYC11"/>
      <c r="AYD11"/>
      <c r="AYE11"/>
      <c r="AYF11"/>
      <c r="AYG11"/>
      <c r="AYH11"/>
      <c r="AYI11"/>
      <c r="AYJ11"/>
      <c r="AYK11"/>
      <c r="AYL11"/>
      <c r="AYM11"/>
      <c r="AYN11"/>
      <c r="AYO11"/>
      <c r="AYP11"/>
      <c r="AYQ11"/>
      <c r="AYR11"/>
      <c r="AYS11"/>
      <c r="AYT11"/>
      <c r="AYU11"/>
      <c r="AYV11"/>
      <c r="AYW11"/>
      <c r="AYX11"/>
      <c r="AYY11"/>
      <c r="AYZ11"/>
      <c r="AZA11"/>
      <c r="AZB11"/>
      <c r="AZC11"/>
      <c r="AZD11"/>
      <c r="AZE11"/>
      <c r="AZF11"/>
      <c r="AZG11"/>
      <c r="AZH11"/>
      <c r="AZI11"/>
      <c r="AZJ11"/>
      <c r="AZK11"/>
      <c r="AZL11"/>
      <c r="AZM11"/>
      <c r="AZN11"/>
      <c r="AZO11"/>
      <c r="AZP11"/>
      <c r="AZQ11"/>
      <c r="AZR11"/>
      <c r="AZS11"/>
      <c r="AZT11"/>
      <c r="AZU11"/>
      <c r="AZV11"/>
      <c r="AZW11"/>
      <c r="AZX11"/>
      <c r="AZY11"/>
      <c r="AZZ11"/>
      <c r="BAA11"/>
      <c r="BAB11"/>
      <c r="BAC11"/>
      <c r="BAD11"/>
      <c r="BAE11"/>
      <c r="BAF11"/>
      <c r="BAG11"/>
      <c r="BAH11"/>
      <c r="BAI11"/>
      <c r="BAJ11"/>
      <c r="BAK11"/>
      <c r="BAL11"/>
      <c r="BAM11"/>
      <c r="BAN11"/>
      <c r="BAO11"/>
      <c r="BAP11"/>
      <c r="BAQ11"/>
      <c r="BAR11"/>
      <c r="BAS11"/>
      <c r="BAT11"/>
      <c r="BAU11"/>
      <c r="BAV11"/>
      <c r="BAW11"/>
      <c r="BAX11"/>
      <c r="BAY11"/>
      <c r="BAZ11"/>
      <c r="BBA11"/>
      <c r="BBB11"/>
      <c r="BBC11"/>
      <c r="BBD11"/>
      <c r="BBE11"/>
      <c r="BBF11"/>
      <c r="BBG11"/>
      <c r="BBH11"/>
      <c r="BBI11"/>
      <c r="BBJ11"/>
      <c r="BBK11"/>
      <c r="BBL11"/>
      <c r="BBM11"/>
      <c r="BBN11"/>
      <c r="BBO11"/>
      <c r="BBP11"/>
      <c r="BBQ11"/>
      <c r="BBR11"/>
      <c r="BBS11"/>
      <c r="BBT11"/>
      <c r="BBU11"/>
      <c r="BBV11"/>
      <c r="BBW11"/>
      <c r="BBX11"/>
      <c r="BBY11"/>
      <c r="BBZ11"/>
      <c r="BCA11"/>
      <c r="BCB11"/>
      <c r="BCC11"/>
      <c r="BCD11"/>
      <c r="BCE11"/>
      <c r="BCF11"/>
      <c r="BCG11"/>
      <c r="BCH11"/>
      <c r="BCI11"/>
      <c r="BCJ11"/>
      <c r="BCK11"/>
      <c r="BCL11"/>
      <c r="BCM11"/>
      <c r="BCN11"/>
      <c r="BCO11"/>
      <c r="BCP11"/>
      <c r="BCQ11"/>
      <c r="BCR11"/>
      <c r="BCS11"/>
      <c r="BCT11"/>
      <c r="BCU11"/>
      <c r="BCV11"/>
      <c r="BCW11"/>
      <c r="BCX11"/>
      <c r="BCY11"/>
      <c r="BCZ11"/>
      <c r="BDA11"/>
      <c r="BDB11"/>
      <c r="BDC11"/>
      <c r="BDD11"/>
      <c r="BDE11"/>
      <c r="BDF11"/>
      <c r="BDG11"/>
      <c r="BDH11"/>
      <c r="BDI11"/>
      <c r="BDJ11"/>
      <c r="BDK11"/>
      <c r="BDL11"/>
      <c r="BDM11"/>
      <c r="BDN11"/>
      <c r="BDO11"/>
      <c r="BDP11"/>
      <c r="BDQ11"/>
      <c r="BDR11"/>
      <c r="BDS11"/>
      <c r="BDT11"/>
      <c r="BDU11"/>
      <c r="BDV11"/>
      <c r="BDW11"/>
      <c r="BDX11"/>
      <c r="BDY11"/>
      <c r="BDZ11"/>
      <c r="BEA11"/>
      <c r="BEB11"/>
      <c r="BEC11"/>
      <c r="BED11"/>
      <c r="BEE11"/>
      <c r="BEF11"/>
      <c r="BEG11"/>
      <c r="BEH11"/>
      <c r="BEI11"/>
      <c r="BEJ11"/>
      <c r="BEK11"/>
      <c r="BEL11"/>
      <c r="BEM11"/>
      <c r="BEN11"/>
      <c r="BEO11"/>
      <c r="BEP11"/>
      <c r="BEQ11"/>
      <c r="BER11"/>
      <c r="BES11"/>
      <c r="BET11"/>
      <c r="BEU11"/>
      <c r="BEV11"/>
      <c r="BEW11"/>
      <c r="BEX11"/>
      <c r="BEY11"/>
      <c r="BEZ11"/>
      <c r="BFA11"/>
      <c r="BFB11"/>
      <c r="BFC11"/>
      <c r="BFD11"/>
      <c r="BFE11"/>
      <c r="BFF11"/>
      <c r="BFG11"/>
      <c r="BFH11"/>
      <c r="BFI11"/>
      <c r="BFJ11"/>
      <c r="BFK11"/>
      <c r="BFL11"/>
      <c r="BFM11"/>
      <c r="BFN11"/>
      <c r="BFO11"/>
      <c r="BFP11"/>
      <c r="BFQ11"/>
      <c r="BFR11"/>
      <c r="BFS11"/>
      <c r="BFT11"/>
      <c r="BFU11"/>
      <c r="BFV11"/>
      <c r="BFW11"/>
      <c r="BFX11"/>
      <c r="BFY11"/>
      <c r="BFZ11"/>
      <c r="BGA11"/>
      <c r="BGB11"/>
      <c r="BGC11"/>
      <c r="BGD11"/>
      <c r="BGE11"/>
      <c r="BGF11"/>
      <c r="BGG11"/>
      <c r="BGH11"/>
      <c r="BGI11"/>
      <c r="BGJ11"/>
      <c r="BGK11"/>
      <c r="BGL11"/>
      <c r="BGM11"/>
      <c r="BGN11"/>
      <c r="BGO11"/>
      <c r="BGP11"/>
      <c r="BGQ11"/>
      <c r="BGR11"/>
      <c r="BGS11"/>
      <c r="BGT11"/>
      <c r="BGU11"/>
      <c r="BGV11"/>
      <c r="BGW11"/>
      <c r="BGX11"/>
      <c r="BGY11"/>
      <c r="BGZ11"/>
      <c r="BHA11"/>
      <c r="BHB11"/>
      <c r="BHC11"/>
      <c r="BHD11"/>
      <c r="BHE11"/>
      <c r="BHF11"/>
      <c r="BHG11"/>
      <c r="BHH11"/>
      <c r="BHI11"/>
      <c r="BHJ11"/>
      <c r="BHK11"/>
      <c r="BHL11"/>
      <c r="BHM11"/>
      <c r="BHN11"/>
      <c r="BHO11"/>
      <c r="BHP11"/>
      <c r="BHQ11"/>
      <c r="BHR11"/>
      <c r="BHS11"/>
      <c r="BHT11"/>
      <c r="BHU11"/>
      <c r="BHV11"/>
      <c r="BHW11"/>
      <c r="BHX11"/>
      <c r="BHY11"/>
      <c r="BHZ11"/>
      <c r="BIA11"/>
      <c r="BIB11"/>
      <c r="BIC11"/>
      <c r="BID11"/>
      <c r="BIE11"/>
      <c r="BIF11"/>
      <c r="BIG11"/>
      <c r="BIH11"/>
      <c r="BII11"/>
      <c r="BIJ11"/>
      <c r="BIK11"/>
      <c r="BIL11"/>
      <c r="BIM11"/>
      <c r="BIN11"/>
      <c r="BIO11"/>
      <c r="BIP11"/>
      <c r="BIQ11"/>
      <c r="BIR11"/>
      <c r="BIS11"/>
      <c r="BIT11"/>
      <c r="BIU11"/>
      <c r="BIV11"/>
      <c r="BIW11"/>
      <c r="BIX11"/>
      <c r="BIY11"/>
      <c r="BIZ11"/>
      <c r="BJA11"/>
      <c r="BJB11"/>
      <c r="BJC11"/>
      <c r="BJD11"/>
      <c r="BJE11"/>
      <c r="BJF11"/>
      <c r="BJG11"/>
      <c r="BJH11"/>
      <c r="BJI11"/>
      <c r="BJJ11"/>
      <c r="BJK11"/>
      <c r="BJL11"/>
      <c r="BJM11"/>
      <c r="BJN11"/>
      <c r="BJO11"/>
      <c r="BJP11"/>
      <c r="BJQ11"/>
      <c r="BJR11"/>
      <c r="BJS11"/>
      <c r="BJT11"/>
      <c r="BJU11"/>
      <c r="BJV11"/>
      <c r="BJW11"/>
      <c r="BJX11"/>
      <c r="BJY11"/>
      <c r="BJZ11"/>
      <c r="BKA11"/>
      <c r="BKB11"/>
      <c r="BKC11"/>
      <c r="BKD11"/>
      <c r="BKE11"/>
      <c r="BKF11"/>
      <c r="BKG11"/>
      <c r="BKH11"/>
      <c r="BKI11"/>
      <c r="BKJ11"/>
      <c r="BKK11"/>
      <c r="BKL11"/>
      <c r="BKM11"/>
      <c r="BKN11"/>
      <c r="BKO11"/>
      <c r="BKP11"/>
      <c r="BKQ11"/>
      <c r="BKR11"/>
      <c r="BKS11"/>
      <c r="BKT11"/>
      <c r="BKU11"/>
      <c r="BKV11"/>
      <c r="BKW11"/>
      <c r="BKX11"/>
      <c r="BKY11"/>
      <c r="BKZ11"/>
      <c r="BLA11"/>
      <c r="BLB11"/>
      <c r="BLC11"/>
      <c r="BLD11"/>
      <c r="BLE11"/>
      <c r="BLF11"/>
      <c r="BLG11"/>
      <c r="BLH11"/>
      <c r="BLI11"/>
      <c r="BLJ11"/>
      <c r="BLK11"/>
      <c r="BLL11"/>
      <c r="BLM11"/>
      <c r="BLN11"/>
      <c r="BLO11"/>
      <c r="BLP11"/>
      <c r="BLQ11"/>
      <c r="BLR11"/>
      <c r="BLS11"/>
      <c r="BLT11"/>
      <c r="BLU11"/>
      <c r="BLV11"/>
      <c r="BLW11"/>
      <c r="BLX11"/>
      <c r="BLY11"/>
      <c r="BLZ11"/>
      <c r="BMA11"/>
      <c r="BMB11"/>
      <c r="BMC11"/>
      <c r="BMD11"/>
      <c r="BME11"/>
      <c r="BMF11"/>
      <c r="BMG11"/>
      <c r="BMH11"/>
      <c r="BMI11"/>
      <c r="BMJ11"/>
      <c r="BMK11"/>
      <c r="BML11"/>
      <c r="BMM11"/>
      <c r="BMN11"/>
      <c r="BMO11"/>
      <c r="BMP11"/>
      <c r="BMQ11"/>
      <c r="BMR11"/>
      <c r="BMS11"/>
      <c r="BMT11"/>
      <c r="BMU11"/>
      <c r="BMV11"/>
      <c r="BMW11"/>
      <c r="BMX11"/>
      <c r="BMY11"/>
      <c r="BMZ11"/>
      <c r="BNA11"/>
      <c r="BNB11"/>
      <c r="BNC11"/>
      <c r="BND11"/>
      <c r="BNE11"/>
      <c r="BNF11"/>
      <c r="BNG11"/>
      <c r="BNH11"/>
      <c r="BNI11"/>
      <c r="BNJ11"/>
      <c r="BNK11"/>
      <c r="BNL11"/>
      <c r="BNM11"/>
      <c r="BNN11"/>
      <c r="BNO11"/>
      <c r="BNP11"/>
      <c r="BNQ11"/>
      <c r="BNR11"/>
      <c r="BNS11"/>
      <c r="BNT11"/>
      <c r="BNU11"/>
      <c r="BNV11"/>
      <c r="BNW11"/>
      <c r="BNX11"/>
      <c r="BNY11"/>
      <c r="BNZ11"/>
      <c r="BOA11"/>
      <c r="BOB11"/>
      <c r="BOC11"/>
      <c r="BOD11"/>
      <c r="BOE11"/>
      <c r="BOF11"/>
      <c r="BOG11"/>
      <c r="BOH11"/>
      <c r="BOI11"/>
      <c r="BOJ11"/>
      <c r="BOK11"/>
      <c r="BOL11"/>
      <c r="BOM11"/>
      <c r="BON11"/>
      <c r="BOO11"/>
      <c r="BOP11"/>
      <c r="BOQ11"/>
      <c r="BOR11"/>
      <c r="BOS11"/>
      <c r="BOT11"/>
      <c r="BOU11"/>
      <c r="BOV11"/>
      <c r="BOW11"/>
      <c r="BOX11"/>
      <c r="BOY11"/>
      <c r="BOZ11"/>
      <c r="BPA11"/>
      <c r="BPB11"/>
      <c r="BPC11"/>
      <c r="BPD11"/>
      <c r="BPE11"/>
      <c r="BPF11"/>
      <c r="BPG11"/>
      <c r="BPH11"/>
      <c r="BPI11"/>
      <c r="BPJ11"/>
      <c r="BPK11"/>
      <c r="BPL11"/>
      <c r="BPM11"/>
      <c r="BPN11"/>
      <c r="BPO11"/>
      <c r="BPP11"/>
      <c r="BPQ11"/>
      <c r="BPR11"/>
      <c r="BPS11"/>
      <c r="BPT11"/>
      <c r="BPU11"/>
      <c r="BPV11"/>
      <c r="BPW11"/>
      <c r="BPX11"/>
      <c r="BPY11"/>
      <c r="BPZ11"/>
      <c r="BQA11"/>
      <c r="BQB11"/>
      <c r="BQC11"/>
      <c r="BQD11"/>
      <c r="BQE11"/>
      <c r="BQF11"/>
      <c r="BQG11"/>
      <c r="BQH11"/>
      <c r="BQI11"/>
      <c r="BQJ11"/>
      <c r="BQK11"/>
      <c r="BQL11"/>
      <c r="BQM11"/>
      <c r="BQN11"/>
      <c r="BQO11"/>
      <c r="BQP11"/>
      <c r="BQQ11"/>
      <c r="BQR11"/>
      <c r="BQS11"/>
      <c r="BQT11"/>
      <c r="BQU11"/>
      <c r="BQV11"/>
      <c r="BQW11"/>
      <c r="BQX11"/>
      <c r="BQY11"/>
      <c r="BQZ11"/>
      <c r="BRA11"/>
      <c r="BRB11"/>
      <c r="BRC11"/>
      <c r="BRD11"/>
      <c r="BRE11"/>
      <c r="BRF11"/>
      <c r="BRG11"/>
      <c r="BRH11"/>
      <c r="BRI11"/>
      <c r="BRJ11"/>
      <c r="BRK11"/>
      <c r="BRL11"/>
      <c r="BRM11"/>
      <c r="BRN11"/>
      <c r="BRO11"/>
      <c r="BRP11"/>
      <c r="BRQ11"/>
      <c r="BRR11"/>
      <c r="BRS11"/>
      <c r="BRT11"/>
      <c r="BRU11"/>
      <c r="BRV11"/>
      <c r="BRW11"/>
      <c r="BRX11"/>
      <c r="BRY11"/>
      <c r="BRZ11"/>
      <c r="BSA11"/>
      <c r="BSB11"/>
      <c r="BSC11"/>
      <c r="BSD11"/>
      <c r="BSE11"/>
      <c r="BSF11"/>
      <c r="BSG11"/>
      <c r="BSH11"/>
      <c r="BSI11"/>
      <c r="BSJ11"/>
      <c r="BSK11"/>
      <c r="BSL11"/>
      <c r="BSM11"/>
      <c r="BSN11"/>
      <c r="BSO11"/>
      <c r="BSP11"/>
      <c r="BSQ11"/>
      <c r="BSR11"/>
      <c r="BSS11"/>
      <c r="BST11"/>
      <c r="BSU11"/>
      <c r="BSV11"/>
      <c r="BSW11"/>
      <c r="BSX11"/>
      <c r="BSY11"/>
      <c r="BSZ11"/>
      <c r="BTA11"/>
      <c r="BTB11"/>
      <c r="BTC11"/>
      <c r="BTD11"/>
      <c r="BTE11"/>
      <c r="BTF11"/>
      <c r="BTG11"/>
      <c r="BTH11"/>
      <c r="BTI11"/>
      <c r="BTJ11"/>
      <c r="BTK11"/>
      <c r="BTL11"/>
      <c r="BTM11"/>
      <c r="BTN11"/>
      <c r="BTO11"/>
      <c r="BTP11"/>
      <c r="BTQ11"/>
      <c r="BTR11"/>
      <c r="BTS11"/>
      <c r="BTT11"/>
      <c r="BTU11"/>
      <c r="BTV11"/>
      <c r="BTW11"/>
      <c r="BTX11"/>
      <c r="BTY11"/>
      <c r="BTZ11"/>
      <c r="BUA11"/>
      <c r="BUB11"/>
      <c r="BUC11"/>
      <c r="BUD11"/>
      <c r="BUE11"/>
      <c r="BUF11"/>
      <c r="BUG11"/>
      <c r="BUH11"/>
      <c r="BUI11"/>
      <c r="BUJ11"/>
      <c r="BUK11"/>
      <c r="BUL11"/>
      <c r="BUM11"/>
      <c r="BUN11"/>
      <c r="BUO11"/>
      <c r="BUP11"/>
      <c r="BUQ11"/>
      <c r="BUR11"/>
      <c r="BUS11"/>
      <c r="BUT11"/>
      <c r="BUU11"/>
      <c r="BUV11"/>
      <c r="BUW11"/>
      <c r="BUX11"/>
      <c r="BUY11"/>
      <c r="BUZ11"/>
      <c r="BVA11"/>
      <c r="BVB11"/>
      <c r="BVC11"/>
      <c r="BVD11"/>
      <c r="BVE11"/>
      <c r="BVF11"/>
      <c r="BVG11"/>
      <c r="BVH11"/>
      <c r="BVI11"/>
      <c r="BVJ11"/>
      <c r="BVK11"/>
      <c r="BVL11"/>
      <c r="BVM11"/>
      <c r="BVN11"/>
      <c r="BVO11"/>
      <c r="BVP11"/>
      <c r="BVQ11"/>
      <c r="BVR11"/>
      <c r="BVS11"/>
      <c r="BVT11"/>
      <c r="BVU11"/>
      <c r="BVV11"/>
      <c r="BVW11"/>
      <c r="BVX11"/>
      <c r="BVY11"/>
      <c r="BVZ11"/>
      <c r="BWA11"/>
      <c r="BWB11"/>
      <c r="BWC11"/>
      <c r="BWD11"/>
      <c r="BWE11"/>
      <c r="BWF11"/>
      <c r="BWG11"/>
      <c r="BWH11"/>
      <c r="BWI11"/>
      <c r="BWJ11"/>
      <c r="BWK11"/>
      <c r="BWL11"/>
      <c r="BWM11"/>
      <c r="BWN11"/>
      <c r="BWO11"/>
      <c r="BWP11"/>
      <c r="BWQ11"/>
      <c r="BWR11"/>
      <c r="BWS11"/>
      <c r="BWT11"/>
      <c r="BWU11"/>
      <c r="BWV11"/>
      <c r="BWW11"/>
      <c r="BWX11"/>
      <c r="BWY11"/>
      <c r="BWZ11"/>
      <c r="BXA11"/>
      <c r="BXB11"/>
      <c r="BXC11"/>
      <c r="BXD11"/>
      <c r="BXE11"/>
      <c r="BXF11"/>
      <c r="BXG11"/>
      <c r="BXH11"/>
      <c r="BXI11"/>
      <c r="BXJ11"/>
      <c r="BXK11"/>
      <c r="BXL11"/>
      <c r="BXM11"/>
      <c r="BXN11"/>
      <c r="BXO11"/>
      <c r="BXP11"/>
      <c r="BXQ11"/>
      <c r="BXR11"/>
      <c r="BXS11"/>
      <c r="BXT11"/>
      <c r="BXU11"/>
      <c r="BXV11"/>
      <c r="BXW11"/>
      <c r="BXX11"/>
      <c r="BXY11"/>
      <c r="BXZ11"/>
      <c r="BYA11"/>
      <c r="BYB11"/>
      <c r="BYC11"/>
      <c r="BYD11"/>
      <c r="BYE11"/>
      <c r="BYF11"/>
      <c r="BYG11"/>
      <c r="BYH11"/>
      <c r="BYI11"/>
      <c r="BYJ11"/>
      <c r="BYK11"/>
      <c r="BYL11"/>
      <c r="BYM11"/>
      <c r="BYN11"/>
      <c r="BYO11"/>
      <c r="BYP11"/>
      <c r="BYQ11"/>
      <c r="BYR11"/>
      <c r="BYS11"/>
      <c r="BYT11"/>
      <c r="BYU11"/>
      <c r="BYV11"/>
      <c r="BYW11"/>
      <c r="BYX11"/>
      <c r="BYY11"/>
      <c r="BYZ11"/>
      <c r="BZA11"/>
      <c r="BZB11"/>
      <c r="BZC11"/>
      <c r="BZD11"/>
      <c r="BZE11"/>
      <c r="BZF11"/>
      <c r="BZG11"/>
      <c r="BZH11"/>
      <c r="BZI11"/>
      <c r="BZJ11"/>
      <c r="BZK11"/>
      <c r="BZL11"/>
      <c r="BZM11"/>
      <c r="BZN11"/>
      <c r="BZO11"/>
      <c r="BZP11"/>
      <c r="BZQ11"/>
      <c r="BZR11"/>
      <c r="BZS11"/>
      <c r="BZT11"/>
      <c r="BZU11"/>
      <c r="BZV11"/>
      <c r="BZW11"/>
      <c r="BZX11"/>
      <c r="BZY11"/>
      <c r="BZZ11"/>
      <c r="CAA11"/>
      <c r="CAB11"/>
      <c r="CAC11"/>
      <c r="CAD11"/>
      <c r="CAE11"/>
      <c r="CAF11"/>
      <c r="CAG11"/>
      <c r="CAH11"/>
      <c r="CAI11"/>
      <c r="CAJ11"/>
      <c r="CAK11"/>
      <c r="CAL11"/>
      <c r="CAM11"/>
      <c r="CAN11"/>
      <c r="CAO11"/>
      <c r="CAP11"/>
      <c r="CAQ11"/>
      <c r="CAR11"/>
      <c r="CAS11"/>
      <c r="CAT11"/>
      <c r="CAU11"/>
      <c r="CAV11"/>
      <c r="CAW11"/>
      <c r="CAX11"/>
      <c r="CAY11"/>
      <c r="CAZ11"/>
      <c r="CBA11"/>
      <c r="CBB11"/>
      <c r="CBC11"/>
      <c r="CBD11"/>
      <c r="CBE11"/>
      <c r="CBF11"/>
      <c r="CBG11"/>
      <c r="CBH11"/>
      <c r="CBI11"/>
      <c r="CBJ11"/>
      <c r="CBK11"/>
      <c r="CBL11"/>
      <c r="CBM11"/>
      <c r="CBN11"/>
      <c r="CBO11"/>
      <c r="CBP11"/>
      <c r="CBQ11"/>
      <c r="CBR11"/>
      <c r="CBS11"/>
      <c r="CBT11"/>
      <c r="CBU11"/>
      <c r="CBV11"/>
      <c r="CBW11"/>
      <c r="CBX11"/>
      <c r="CBY11"/>
      <c r="CBZ11"/>
      <c r="CCA11"/>
      <c r="CCB11"/>
      <c r="CCC11"/>
      <c r="CCD11"/>
      <c r="CCE11"/>
      <c r="CCF11"/>
      <c r="CCG11"/>
      <c r="CCH11"/>
      <c r="CCI11"/>
      <c r="CCJ11"/>
      <c r="CCK11"/>
      <c r="CCL11"/>
      <c r="CCM11"/>
      <c r="CCN11"/>
      <c r="CCO11"/>
      <c r="CCP11"/>
      <c r="CCQ11"/>
      <c r="CCR11"/>
      <c r="CCS11"/>
      <c r="CCT11"/>
      <c r="CCU11"/>
      <c r="CCV11"/>
      <c r="CCW11"/>
      <c r="CCX11"/>
      <c r="CCY11"/>
      <c r="CCZ11"/>
      <c r="CDA11"/>
      <c r="CDB11"/>
      <c r="CDC11"/>
      <c r="CDD11"/>
      <c r="CDE11"/>
      <c r="CDF11"/>
      <c r="CDG11"/>
      <c r="CDH11"/>
      <c r="CDI11"/>
      <c r="CDJ11"/>
      <c r="CDK11"/>
      <c r="CDL11"/>
      <c r="CDM11"/>
      <c r="CDN11"/>
      <c r="CDO11"/>
      <c r="CDP11"/>
      <c r="CDQ11"/>
      <c r="CDR11"/>
      <c r="CDS11"/>
      <c r="CDT11"/>
      <c r="CDU11"/>
      <c r="CDV11"/>
      <c r="CDW11"/>
      <c r="CDX11"/>
      <c r="CDY11"/>
      <c r="CDZ11"/>
      <c r="CEA11"/>
      <c r="CEB11"/>
      <c r="CEC11"/>
      <c r="CED11"/>
      <c r="CEE11"/>
      <c r="CEF11"/>
      <c r="CEG11"/>
      <c r="CEH11"/>
      <c r="CEI11"/>
      <c r="CEJ11"/>
      <c r="CEK11"/>
      <c r="CEL11"/>
      <c r="CEM11"/>
      <c r="CEN11"/>
      <c r="CEO11"/>
      <c r="CEP11"/>
      <c r="CEQ11"/>
      <c r="CER11"/>
      <c r="CES11"/>
      <c r="CET11"/>
      <c r="CEU11"/>
      <c r="CEV11"/>
      <c r="CEW11"/>
      <c r="CEX11"/>
      <c r="CEY11"/>
      <c r="CEZ11"/>
      <c r="CFA11"/>
      <c r="CFB11"/>
      <c r="CFC11"/>
      <c r="CFD11"/>
      <c r="CFE11"/>
      <c r="CFF11"/>
      <c r="CFG11"/>
      <c r="CFH11"/>
      <c r="CFI11"/>
      <c r="CFJ11"/>
      <c r="CFK11"/>
      <c r="CFL11"/>
      <c r="CFM11"/>
      <c r="CFN11"/>
      <c r="CFO11"/>
      <c r="CFP11"/>
      <c r="CFQ11"/>
      <c r="CFR11"/>
      <c r="CFS11"/>
      <c r="CFT11"/>
      <c r="CFU11"/>
      <c r="CFV11"/>
      <c r="CFW11"/>
      <c r="CFX11"/>
      <c r="CFY11"/>
      <c r="CFZ11"/>
      <c r="CGA11"/>
      <c r="CGB11"/>
      <c r="CGC11"/>
      <c r="CGD11"/>
      <c r="CGE11"/>
      <c r="CGF11"/>
      <c r="CGG11"/>
      <c r="CGH11"/>
      <c r="CGI11"/>
      <c r="CGJ11"/>
      <c r="CGK11"/>
      <c r="CGL11"/>
      <c r="CGM11"/>
      <c r="CGN11"/>
      <c r="CGO11"/>
      <c r="CGP11"/>
      <c r="CGQ11"/>
      <c r="CGR11"/>
      <c r="CGS11"/>
      <c r="CGT11"/>
      <c r="CGU11"/>
      <c r="CGV11"/>
      <c r="CGW11"/>
      <c r="CGX11"/>
      <c r="CGY11"/>
      <c r="CGZ11"/>
      <c r="CHA11"/>
      <c r="CHB11"/>
      <c r="CHC11"/>
      <c r="CHD11"/>
      <c r="CHE11"/>
      <c r="CHF11"/>
      <c r="CHG11"/>
      <c r="CHH11"/>
      <c r="CHI11"/>
      <c r="CHJ11"/>
      <c r="CHK11"/>
      <c r="CHL11"/>
      <c r="CHM11"/>
      <c r="CHN11"/>
      <c r="CHO11"/>
      <c r="CHP11"/>
      <c r="CHQ11"/>
      <c r="CHR11"/>
      <c r="CHS11"/>
      <c r="CHT11"/>
      <c r="CHU11"/>
      <c r="CHV11"/>
      <c r="CHW11"/>
      <c r="CHX11"/>
      <c r="CHY11"/>
      <c r="CHZ11"/>
      <c r="CIA11"/>
      <c r="CIB11"/>
      <c r="CIC11"/>
      <c r="CID11"/>
      <c r="CIE11"/>
      <c r="CIF11"/>
      <c r="CIG11"/>
      <c r="CIH11"/>
      <c r="CII11"/>
      <c r="CIJ11"/>
      <c r="CIK11"/>
      <c r="CIL11"/>
      <c r="CIM11"/>
      <c r="CIN11"/>
      <c r="CIO11"/>
      <c r="CIP11"/>
      <c r="CIQ11"/>
      <c r="CIR11"/>
      <c r="CIS11"/>
      <c r="CIT11"/>
      <c r="CIU11"/>
      <c r="CIV11"/>
      <c r="CIW11"/>
      <c r="CIX11"/>
      <c r="CIY11"/>
      <c r="CIZ11"/>
      <c r="CJA11"/>
      <c r="CJB11"/>
      <c r="CJC11"/>
      <c r="CJD11"/>
      <c r="CJE11"/>
      <c r="CJF11"/>
      <c r="CJG11"/>
      <c r="CJH11"/>
      <c r="CJI11"/>
      <c r="CJJ11"/>
      <c r="CJK11"/>
      <c r="CJL11"/>
      <c r="CJM11"/>
      <c r="CJN11"/>
      <c r="CJO11"/>
      <c r="CJP11"/>
      <c r="CJQ11"/>
      <c r="CJR11"/>
      <c r="CJS11"/>
      <c r="CJT11"/>
      <c r="CJU11"/>
      <c r="CJV11"/>
      <c r="CJW11"/>
      <c r="CJX11"/>
      <c r="CJY11"/>
      <c r="CJZ11"/>
      <c r="CKA11"/>
      <c r="CKB11"/>
      <c r="CKC11"/>
      <c r="CKD11"/>
      <c r="CKE11"/>
      <c r="CKF11"/>
      <c r="CKG11"/>
      <c r="CKH11"/>
      <c r="CKI11"/>
      <c r="CKJ11"/>
      <c r="CKK11"/>
      <c r="CKL11"/>
      <c r="CKM11"/>
      <c r="CKN11"/>
      <c r="CKO11"/>
      <c r="CKP11"/>
      <c r="CKQ11"/>
      <c r="CKR11"/>
      <c r="CKS11"/>
      <c r="CKT11"/>
      <c r="CKU11"/>
      <c r="CKV11"/>
      <c r="CKW11"/>
      <c r="CKX11"/>
      <c r="CKY11"/>
      <c r="CKZ11"/>
      <c r="CLA11"/>
      <c r="CLB11"/>
      <c r="CLC11"/>
      <c r="CLD11"/>
      <c r="CLE11"/>
      <c r="CLF11"/>
      <c r="CLG11"/>
      <c r="CLH11"/>
      <c r="CLI11"/>
      <c r="CLJ11"/>
      <c r="CLK11"/>
      <c r="CLL11"/>
      <c r="CLM11"/>
      <c r="CLN11"/>
      <c r="CLO11"/>
      <c r="CLP11"/>
      <c r="CLQ11"/>
      <c r="CLR11"/>
      <c r="CLS11"/>
      <c r="CLT11"/>
      <c r="CLU11"/>
      <c r="CLV11"/>
      <c r="CLW11"/>
      <c r="CLX11"/>
      <c r="CLY11"/>
      <c r="CLZ11"/>
      <c r="CMA11"/>
      <c r="CMB11"/>
      <c r="CMC11"/>
      <c r="CMD11"/>
      <c r="CME11"/>
      <c r="CMF11"/>
      <c r="CMG11"/>
      <c r="CMH11"/>
      <c r="CMI11"/>
      <c r="CMJ11"/>
      <c r="CMK11"/>
      <c r="CML11"/>
      <c r="CMM11"/>
      <c r="CMN11"/>
      <c r="CMO11"/>
      <c r="CMP11"/>
      <c r="CMQ11"/>
      <c r="CMR11"/>
      <c r="CMS11"/>
      <c r="CMT11"/>
      <c r="CMU11"/>
      <c r="CMV11"/>
      <c r="CMW11"/>
      <c r="CMX11"/>
      <c r="CMY11"/>
      <c r="CMZ11"/>
      <c r="CNA11"/>
      <c r="CNB11"/>
      <c r="CNC11"/>
      <c r="CND11"/>
      <c r="CNE11"/>
      <c r="CNF11"/>
      <c r="CNG11"/>
      <c r="CNH11"/>
      <c r="CNI11"/>
      <c r="CNJ11"/>
      <c r="CNK11"/>
      <c r="CNL11"/>
      <c r="CNM11"/>
      <c r="CNN11"/>
      <c r="CNO11"/>
      <c r="CNP11"/>
      <c r="CNQ11"/>
      <c r="CNR11"/>
      <c r="CNS11"/>
      <c r="CNT11"/>
      <c r="CNU11"/>
      <c r="CNV11"/>
      <c r="CNW11"/>
      <c r="CNX11"/>
      <c r="CNY11"/>
      <c r="CNZ11"/>
      <c r="COA11"/>
      <c r="COB11"/>
      <c r="COC11"/>
      <c r="COD11"/>
      <c r="COE11"/>
      <c r="COF11"/>
      <c r="COG11"/>
      <c r="COH11"/>
      <c r="COI11"/>
      <c r="COJ11"/>
      <c r="COK11"/>
      <c r="COL11"/>
      <c r="COM11"/>
      <c r="CON11"/>
      <c r="COO11"/>
      <c r="COP11"/>
      <c r="COQ11"/>
      <c r="COR11"/>
      <c r="COS11"/>
      <c r="COT11"/>
      <c r="COU11"/>
      <c r="COV11"/>
      <c r="COW11"/>
      <c r="COX11"/>
      <c r="COY11"/>
      <c r="COZ11"/>
      <c r="CPA11"/>
      <c r="CPB11"/>
      <c r="CPC11"/>
      <c r="CPD11"/>
      <c r="CPE11"/>
      <c r="CPF11"/>
      <c r="CPG11"/>
      <c r="CPH11"/>
      <c r="CPI11"/>
      <c r="CPJ11"/>
      <c r="CPK11"/>
      <c r="CPL11"/>
      <c r="CPM11"/>
      <c r="CPN11"/>
      <c r="CPO11"/>
      <c r="CPP11"/>
      <c r="CPQ11"/>
      <c r="CPR11"/>
      <c r="CPS11"/>
      <c r="CPT11"/>
      <c r="CPU11"/>
      <c r="CPV11"/>
      <c r="CPW11"/>
      <c r="CPX11"/>
      <c r="CPY11"/>
      <c r="CPZ11"/>
      <c r="CQA11"/>
      <c r="CQB11"/>
      <c r="CQC11"/>
      <c r="CQD11"/>
      <c r="CQE11"/>
      <c r="CQF11"/>
      <c r="CQG11"/>
      <c r="CQH11"/>
      <c r="CQI11"/>
      <c r="CQJ11"/>
      <c r="CQK11"/>
      <c r="CQL11"/>
      <c r="CQM11"/>
      <c r="CQN11"/>
      <c r="CQO11"/>
      <c r="CQP11"/>
      <c r="CQQ11"/>
      <c r="CQR11"/>
      <c r="CQS11"/>
      <c r="CQT11"/>
      <c r="CQU11"/>
      <c r="CQV11"/>
      <c r="CQW11"/>
      <c r="CQX11"/>
      <c r="CQY11"/>
      <c r="CQZ11"/>
      <c r="CRA11"/>
      <c r="CRB11"/>
      <c r="CRC11"/>
      <c r="CRD11"/>
      <c r="CRE11"/>
      <c r="CRF11"/>
    </row>
    <row r="12" spans="1:2502" s="13" customFormat="1" ht="26" x14ac:dyDescent="0.35">
      <c r="A12" s="114"/>
      <c r="B12" s="117"/>
      <c r="C12" s="114"/>
      <c r="D12" s="110"/>
      <c r="E12" s="22" t="s">
        <v>652</v>
      </c>
      <c r="F12" s="4" t="s">
        <v>653</v>
      </c>
      <c r="G12" s="91" t="s">
        <v>32</v>
      </c>
      <c r="H12" s="4"/>
      <c r="I12" s="39" t="s">
        <v>812</v>
      </c>
      <c r="J12" s="40" t="s">
        <v>812</v>
      </c>
      <c r="K12" s="5">
        <v>367</v>
      </c>
      <c r="L12" s="24"/>
      <c r="M12" s="24"/>
      <c r="N12" s="41"/>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c r="AMN12"/>
      <c r="AMO12"/>
      <c r="AMP12"/>
      <c r="AMQ12"/>
      <c r="AMR12"/>
      <c r="AMS12"/>
      <c r="AMT12"/>
      <c r="AMU12"/>
      <c r="AMV12"/>
      <c r="AMW12"/>
      <c r="AMX12"/>
      <c r="AMY12"/>
      <c r="AMZ12"/>
      <c r="ANA12"/>
      <c r="ANB12"/>
      <c r="ANC12"/>
      <c r="AND12"/>
      <c r="ANE12"/>
      <c r="ANF12"/>
      <c r="ANG12"/>
      <c r="ANH12"/>
      <c r="ANI12"/>
      <c r="ANJ12"/>
      <c r="ANK12"/>
      <c r="ANL12"/>
      <c r="ANM12"/>
      <c r="ANN12"/>
      <c r="ANO12"/>
      <c r="ANP12"/>
      <c r="ANQ12"/>
      <c r="ANR12"/>
      <c r="ANS12"/>
      <c r="ANT12"/>
      <c r="ANU12"/>
      <c r="ANV12"/>
      <c r="ANW12"/>
      <c r="ANX12"/>
      <c r="ANY12"/>
      <c r="ANZ12"/>
      <c r="AOA12"/>
      <c r="AOB12"/>
      <c r="AOC12"/>
      <c r="AOD12"/>
      <c r="AOE12"/>
      <c r="AOF12"/>
      <c r="AOG12"/>
      <c r="AOH12"/>
      <c r="AOI12"/>
      <c r="AOJ12"/>
      <c r="AOK12"/>
      <c r="AOL12"/>
      <c r="AOM12"/>
      <c r="AON12"/>
      <c r="AOO12"/>
      <c r="AOP12"/>
      <c r="AOQ12"/>
      <c r="AOR12"/>
      <c r="AOS12"/>
      <c r="AOT12"/>
      <c r="AOU12"/>
      <c r="AOV12"/>
      <c r="AOW12"/>
      <c r="AOX12"/>
      <c r="AOY12"/>
      <c r="AOZ12"/>
      <c r="APA12"/>
      <c r="APB12"/>
      <c r="APC12"/>
      <c r="APD12"/>
      <c r="APE12"/>
      <c r="APF12"/>
      <c r="APG12"/>
      <c r="APH12"/>
      <c r="API12"/>
      <c r="APJ12"/>
      <c r="APK12"/>
      <c r="APL12"/>
      <c r="APM12"/>
      <c r="APN12"/>
      <c r="APO12"/>
      <c r="APP12"/>
      <c r="APQ12"/>
      <c r="APR12"/>
      <c r="APS12"/>
      <c r="APT12"/>
      <c r="APU12"/>
      <c r="APV12"/>
      <c r="APW12"/>
      <c r="APX12"/>
      <c r="APY12"/>
      <c r="APZ12"/>
      <c r="AQA12"/>
      <c r="AQB12"/>
      <c r="AQC12"/>
      <c r="AQD12"/>
      <c r="AQE12"/>
      <c r="AQF12"/>
      <c r="AQG12"/>
      <c r="AQH12"/>
      <c r="AQI12"/>
      <c r="AQJ12"/>
      <c r="AQK12"/>
      <c r="AQL12"/>
      <c r="AQM12"/>
      <c r="AQN12"/>
      <c r="AQO12"/>
      <c r="AQP12"/>
      <c r="AQQ12"/>
      <c r="AQR12"/>
      <c r="AQS12"/>
      <c r="AQT12"/>
      <c r="AQU12"/>
      <c r="AQV12"/>
      <c r="AQW12"/>
      <c r="AQX12"/>
      <c r="AQY12"/>
      <c r="AQZ12"/>
      <c r="ARA12"/>
      <c r="ARB12"/>
      <c r="ARC12"/>
      <c r="ARD12"/>
      <c r="ARE12"/>
      <c r="ARF12"/>
      <c r="ARG12"/>
      <c r="ARH12"/>
      <c r="ARI12"/>
      <c r="ARJ12"/>
      <c r="ARK12"/>
      <c r="ARL12"/>
      <c r="ARM12"/>
      <c r="ARN12"/>
      <c r="ARO12"/>
      <c r="ARP12"/>
      <c r="ARQ12"/>
      <c r="ARR12"/>
      <c r="ARS12"/>
      <c r="ART12"/>
      <c r="ARU12"/>
      <c r="ARV12"/>
      <c r="ARW12"/>
      <c r="ARX12"/>
      <c r="ARY12"/>
      <c r="ARZ12"/>
      <c r="ASA12"/>
      <c r="ASB12"/>
      <c r="ASC12"/>
      <c r="ASD12"/>
      <c r="ASE12"/>
      <c r="ASF12"/>
      <c r="ASG12"/>
      <c r="ASH12"/>
      <c r="ASI12"/>
      <c r="ASJ12"/>
      <c r="ASK12"/>
      <c r="ASL12"/>
      <c r="ASM12"/>
      <c r="ASN12"/>
      <c r="ASO12"/>
      <c r="ASP12"/>
      <c r="ASQ12"/>
      <c r="ASR12"/>
      <c r="ASS12"/>
      <c r="AST12"/>
      <c r="ASU12"/>
      <c r="ASV12"/>
      <c r="ASW12"/>
      <c r="ASX12"/>
      <c r="ASY12"/>
      <c r="ASZ12"/>
      <c r="ATA12"/>
      <c r="ATB12"/>
      <c r="ATC12"/>
      <c r="ATD12"/>
      <c r="ATE12"/>
      <c r="ATF12"/>
      <c r="ATG12"/>
      <c r="ATH12"/>
      <c r="ATI12"/>
      <c r="ATJ12"/>
      <c r="ATK12"/>
      <c r="ATL12"/>
      <c r="ATM12"/>
      <c r="ATN12"/>
      <c r="ATO12"/>
      <c r="ATP12"/>
      <c r="ATQ12"/>
      <c r="ATR12"/>
      <c r="ATS12"/>
      <c r="ATT12"/>
      <c r="ATU12"/>
      <c r="ATV12"/>
      <c r="ATW12"/>
      <c r="ATX12"/>
      <c r="ATY12"/>
      <c r="ATZ12"/>
      <c r="AUA12"/>
      <c r="AUB12"/>
      <c r="AUC12"/>
      <c r="AUD12"/>
      <c r="AUE12"/>
      <c r="AUF12"/>
      <c r="AUG12"/>
      <c r="AUH12"/>
      <c r="AUI12"/>
      <c r="AUJ12"/>
      <c r="AUK12"/>
      <c r="AUL12"/>
      <c r="AUM12"/>
      <c r="AUN12"/>
      <c r="AUO12"/>
      <c r="AUP12"/>
      <c r="AUQ12"/>
      <c r="AUR12"/>
      <c r="AUS12"/>
      <c r="AUT12"/>
      <c r="AUU12"/>
      <c r="AUV12"/>
      <c r="AUW12"/>
      <c r="AUX12"/>
      <c r="AUY12"/>
      <c r="AUZ12"/>
      <c r="AVA12"/>
      <c r="AVB12"/>
      <c r="AVC12"/>
      <c r="AVD12"/>
      <c r="AVE12"/>
      <c r="AVF12"/>
      <c r="AVG12"/>
      <c r="AVH12"/>
      <c r="AVI12"/>
      <c r="AVJ12"/>
      <c r="AVK12"/>
      <c r="AVL12"/>
      <c r="AVM12"/>
      <c r="AVN12"/>
      <c r="AVO12"/>
      <c r="AVP12"/>
      <c r="AVQ12"/>
      <c r="AVR12"/>
      <c r="AVS12"/>
      <c r="AVT12"/>
      <c r="AVU12"/>
      <c r="AVV12"/>
      <c r="AVW12"/>
      <c r="AVX12"/>
      <c r="AVY12"/>
      <c r="AVZ12"/>
      <c r="AWA12"/>
      <c r="AWB12"/>
      <c r="AWC12"/>
      <c r="AWD12"/>
      <c r="AWE12"/>
      <c r="AWF12"/>
      <c r="AWG12"/>
      <c r="AWH12"/>
      <c r="AWI12"/>
      <c r="AWJ12"/>
      <c r="AWK12"/>
      <c r="AWL12"/>
      <c r="AWM12"/>
      <c r="AWN12"/>
      <c r="AWO12"/>
      <c r="AWP12"/>
      <c r="AWQ12"/>
      <c r="AWR12"/>
      <c r="AWS12"/>
      <c r="AWT12"/>
      <c r="AWU12"/>
      <c r="AWV12"/>
      <c r="AWW12"/>
      <c r="AWX12"/>
      <c r="AWY12"/>
      <c r="AWZ12"/>
      <c r="AXA12"/>
      <c r="AXB12"/>
      <c r="AXC12"/>
      <c r="AXD12"/>
      <c r="AXE12"/>
      <c r="AXF12"/>
      <c r="AXG12"/>
      <c r="AXH12"/>
      <c r="AXI12"/>
      <c r="AXJ12"/>
      <c r="AXK12"/>
      <c r="AXL12"/>
      <c r="AXM12"/>
      <c r="AXN12"/>
      <c r="AXO12"/>
      <c r="AXP12"/>
      <c r="AXQ12"/>
      <c r="AXR12"/>
      <c r="AXS12"/>
      <c r="AXT12"/>
      <c r="AXU12"/>
      <c r="AXV12"/>
      <c r="AXW12"/>
      <c r="AXX12"/>
      <c r="AXY12"/>
      <c r="AXZ12"/>
      <c r="AYA12"/>
      <c r="AYB12"/>
      <c r="AYC12"/>
      <c r="AYD12"/>
      <c r="AYE12"/>
      <c r="AYF12"/>
      <c r="AYG12"/>
      <c r="AYH12"/>
      <c r="AYI12"/>
      <c r="AYJ12"/>
      <c r="AYK12"/>
      <c r="AYL12"/>
      <c r="AYM12"/>
      <c r="AYN12"/>
      <c r="AYO12"/>
      <c r="AYP12"/>
      <c r="AYQ12"/>
      <c r="AYR12"/>
      <c r="AYS12"/>
      <c r="AYT12"/>
      <c r="AYU12"/>
      <c r="AYV12"/>
      <c r="AYW12"/>
      <c r="AYX12"/>
      <c r="AYY12"/>
      <c r="AYZ12"/>
      <c r="AZA12"/>
      <c r="AZB12"/>
      <c r="AZC12"/>
      <c r="AZD12"/>
      <c r="AZE12"/>
      <c r="AZF12"/>
      <c r="AZG12"/>
      <c r="AZH12"/>
      <c r="AZI12"/>
      <c r="AZJ12"/>
      <c r="AZK12"/>
      <c r="AZL12"/>
      <c r="AZM12"/>
      <c r="AZN12"/>
      <c r="AZO12"/>
      <c r="AZP12"/>
      <c r="AZQ12"/>
      <c r="AZR12"/>
      <c r="AZS12"/>
      <c r="AZT12"/>
      <c r="AZU12"/>
      <c r="AZV12"/>
      <c r="AZW12"/>
      <c r="AZX12"/>
      <c r="AZY12"/>
      <c r="AZZ12"/>
      <c r="BAA12"/>
      <c r="BAB12"/>
      <c r="BAC12"/>
      <c r="BAD12"/>
      <c r="BAE12"/>
      <c r="BAF12"/>
      <c r="BAG12"/>
      <c r="BAH12"/>
      <c r="BAI12"/>
      <c r="BAJ12"/>
      <c r="BAK12"/>
      <c r="BAL12"/>
      <c r="BAM12"/>
      <c r="BAN12"/>
      <c r="BAO12"/>
      <c r="BAP12"/>
      <c r="BAQ12"/>
      <c r="BAR12"/>
      <c r="BAS12"/>
      <c r="BAT12"/>
      <c r="BAU12"/>
      <c r="BAV12"/>
      <c r="BAW12"/>
      <c r="BAX12"/>
      <c r="BAY12"/>
      <c r="BAZ12"/>
      <c r="BBA12"/>
      <c r="BBB12"/>
      <c r="BBC12"/>
      <c r="BBD12"/>
      <c r="BBE12"/>
      <c r="BBF12"/>
      <c r="BBG12"/>
      <c r="BBH12"/>
      <c r="BBI12"/>
      <c r="BBJ12"/>
      <c r="BBK12"/>
      <c r="BBL12"/>
      <c r="BBM12"/>
      <c r="BBN12"/>
      <c r="BBO12"/>
      <c r="BBP12"/>
      <c r="BBQ12"/>
      <c r="BBR12"/>
      <c r="BBS12"/>
      <c r="BBT12"/>
      <c r="BBU12"/>
      <c r="BBV12"/>
      <c r="BBW12"/>
      <c r="BBX12"/>
      <c r="BBY12"/>
      <c r="BBZ12"/>
      <c r="BCA12"/>
      <c r="BCB12"/>
      <c r="BCC12"/>
      <c r="BCD12"/>
      <c r="BCE12"/>
      <c r="BCF12"/>
      <c r="BCG12"/>
      <c r="BCH12"/>
      <c r="BCI12"/>
      <c r="BCJ12"/>
      <c r="BCK12"/>
      <c r="BCL12"/>
      <c r="BCM12"/>
      <c r="BCN12"/>
      <c r="BCO12"/>
      <c r="BCP12"/>
      <c r="BCQ12"/>
      <c r="BCR12"/>
      <c r="BCS12"/>
      <c r="BCT12"/>
      <c r="BCU12"/>
      <c r="BCV12"/>
      <c r="BCW12"/>
      <c r="BCX12"/>
      <c r="BCY12"/>
      <c r="BCZ12"/>
      <c r="BDA12"/>
      <c r="BDB12"/>
      <c r="BDC12"/>
      <c r="BDD12"/>
      <c r="BDE12"/>
      <c r="BDF12"/>
      <c r="BDG12"/>
      <c r="BDH12"/>
      <c r="BDI12"/>
      <c r="BDJ12"/>
      <c r="BDK12"/>
      <c r="BDL12"/>
      <c r="BDM12"/>
      <c r="BDN12"/>
      <c r="BDO12"/>
      <c r="BDP12"/>
      <c r="BDQ12"/>
      <c r="BDR12"/>
      <c r="BDS12"/>
      <c r="BDT12"/>
      <c r="BDU12"/>
      <c r="BDV12"/>
      <c r="BDW12"/>
      <c r="BDX12"/>
      <c r="BDY12"/>
      <c r="BDZ12"/>
      <c r="BEA12"/>
      <c r="BEB12"/>
      <c r="BEC12"/>
      <c r="BED12"/>
      <c r="BEE12"/>
      <c r="BEF12"/>
      <c r="BEG12"/>
      <c r="BEH12"/>
      <c r="BEI12"/>
      <c r="BEJ12"/>
      <c r="BEK12"/>
      <c r="BEL12"/>
      <c r="BEM12"/>
      <c r="BEN12"/>
      <c r="BEO12"/>
      <c r="BEP12"/>
      <c r="BEQ12"/>
      <c r="BER12"/>
      <c r="BES12"/>
      <c r="BET12"/>
      <c r="BEU12"/>
      <c r="BEV12"/>
      <c r="BEW12"/>
      <c r="BEX12"/>
      <c r="BEY12"/>
      <c r="BEZ12"/>
      <c r="BFA12"/>
      <c r="BFB12"/>
      <c r="BFC12"/>
      <c r="BFD12"/>
      <c r="BFE12"/>
      <c r="BFF12"/>
      <c r="BFG12"/>
      <c r="BFH12"/>
      <c r="BFI12"/>
      <c r="BFJ12"/>
      <c r="BFK12"/>
      <c r="BFL12"/>
      <c r="BFM12"/>
      <c r="BFN12"/>
      <c r="BFO12"/>
      <c r="BFP12"/>
      <c r="BFQ12"/>
      <c r="BFR12"/>
      <c r="BFS12"/>
      <c r="BFT12"/>
      <c r="BFU12"/>
      <c r="BFV12"/>
      <c r="BFW12"/>
      <c r="BFX12"/>
      <c r="BFY12"/>
      <c r="BFZ12"/>
      <c r="BGA12"/>
      <c r="BGB12"/>
      <c r="BGC12"/>
      <c r="BGD12"/>
      <c r="BGE12"/>
      <c r="BGF12"/>
      <c r="BGG12"/>
      <c r="BGH12"/>
      <c r="BGI12"/>
      <c r="BGJ12"/>
      <c r="BGK12"/>
      <c r="BGL12"/>
      <c r="BGM12"/>
      <c r="BGN12"/>
      <c r="BGO12"/>
      <c r="BGP12"/>
      <c r="BGQ12"/>
      <c r="BGR12"/>
      <c r="BGS12"/>
      <c r="BGT12"/>
      <c r="BGU12"/>
      <c r="BGV12"/>
      <c r="BGW12"/>
      <c r="BGX12"/>
      <c r="BGY12"/>
      <c r="BGZ12"/>
      <c r="BHA12"/>
      <c r="BHB12"/>
      <c r="BHC12"/>
      <c r="BHD12"/>
      <c r="BHE12"/>
      <c r="BHF12"/>
      <c r="BHG12"/>
      <c r="BHH12"/>
      <c r="BHI12"/>
      <c r="BHJ12"/>
      <c r="BHK12"/>
      <c r="BHL12"/>
      <c r="BHM12"/>
      <c r="BHN12"/>
      <c r="BHO12"/>
      <c r="BHP12"/>
      <c r="BHQ12"/>
      <c r="BHR12"/>
      <c r="BHS12"/>
      <c r="BHT12"/>
      <c r="BHU12"/>
      <c r="BHV12"/>
      <c r="BHW12"/>
      <c r="BHX12"/>
      <c r="BHY12"/>
      <c r="BHZ12"/>
      <c r="BIA12"/>
      <c r="BIB12"/>
      <c r="BIC12"/>
      <c r="BID12"/>
      <c r="BIE12"/>
      <c r="BIF12"/>
      <c r="BIG12"/>
      <c r="BIH12"/>
      <c r="BII12"/>
      <c r="BIJ12"/>
      <c r="BIK12"/>
      <c r="BIL12"/>
      <c r="BIM12"/>
      <c r="BIN12"/>
      <c r="BIO12"/>
      <c r="BIP12"/>
      <c r="BIQ12"/>
      <c r="BIR12"/>
      <c r="BIS12"/>
      <c r="BIT12"/>
      <c r="BIU12"/>
      <c r="BIV12"/>
      <c r="BIW12"/>
      <c r="BIX12"/>
      <c r="BIY12"/>
      <c r="BIZ12"/>
      <c r="BJA12"/>
      <c r="BJB12"/>
      <c r="BJC12"/>
      <c r="BJD12"/>
      <c r="BJE12"/>
      <c r="BJF12"/>
      <c r="BJG12"/>
      <c r="BJH12"/>
      <c r="BJI12"/>
      <c r="BJJ12"/>
      <c r="BJK12"/>
      <c r="BJL12"/>
      <c r="BJM12"/>
      <c r="BJN12"/>
      <c r="BJO12"/>
      <c r="BJP12"/>
      <c r="BJQ12"/>
      <c r="BJR12"/>
      <c r="BJS12"/>
      <c r="BJT12"/>
      <c r="BJU12"/>
      <c r="BJV12"/>
      <c r="BJW12"/>
      <c r="BJX12"/>
      <c r="BJY12"/>
      <c r="BJZ12"/>
      <c r="BKA12"/>
      <c r="BKB12"/>
      <c r="BKC12"/>
      <c r="BKD12"/>
      <c r="BKE12"/>
      <c r="BKF12"/>
      <c r="BKG12"/>
      <c r="BKH12"/>
      <c r="BKI12"/>
      <c r="BKJ12"/>
      <c r="BKK12"/>
      <c r="BKL12"/>
      <c r="BKM12"/>
      <c r="BKN12"/>
      <c r="BKO12"/>
      <c r="BKP12"/>
      <c r="BKQ12"/>
      <c r="BKR12"/>
      <c r="BKS12"/>
      <c r="BKT12"/>
      <c r="BKU12"/>
      <c r="BKV12"/>
      <c r="BKW12"/>
      <c r="BKX12"/>
      <c r="BKY12"/>
      <c r="BKZ12"/>
      <c r="BLA12"/>
      <c r="BLB12"/>
      <c r="BLC12"/>
      <c r="BLD12"/>
      <c r="BLE12"/>
      <c r="BLF12"/>
      <c r="BLG12"/>
      <c r="BLH12"/>
      <c r="BLI12"/>
      <c r="BLJ12"/>
      <c r="BLK12"/>
      <c r="BLL12"/>
      <c r="BLM12"/>
      <c r="BLN12"/>
      <c r="BLO12"/>
      <c r="BLP12"/>
      <c r="BLQ12"/>
      <c r="BLR12"/>
      <c r="BLS12"/>
      <c r="BLT12"/>
      <c r="BLU12"/>
      <c r="BLV12"/>
      <c r="BLW12"/>
      <c r="BLX12"/>
      <c r="BLY12"/>
      <c r="BLZ12"/>
      <c r="BMA12"/>
      <c r="BMB12"/>
      <c r="BMC12"/>
      <c r="BMD12"/>
      <c r="BME12"/>
      <c r="BMF12"/>
      <c r="BMG12"/>
      <c r="BMH12"/>
      <c r="BMI12"/>
      <c r="BMJ12"/>
      <c r="BMK12"/>
      <c r="BML12"/>
      <c r="BMM12"/>
      <c r="BMN12"/>
      <c r="BMO12"/>
      <c r="BMP12"/>
      <c r="BMQ12"/>
      <c r="BMR12"/>
      <c r="BMS12"/>
      <c r="BMT12"/>
      <c r="BMU12"/>
      <c r="BMV12"/>
      <c r="BMW12"/>
      <c r="BMX12"/>
      <c r="BMY12"/>
      <c r="BMZ12"/>
      <c r="BNA12"/>
      <c r="BNB12"/>
      <c r="BNC12"/>
      <c r="BND12"/>
      <c r="BNE12"/>
      <c r="BNF12"/>
      <c r="BNG12"/>
      <c r="BNH12"/>
      <c r="BNI12"/>
      <c r="BNJ12"/>
      <c r="BNK12"/>
      <c r="BNL12"/>
      <c r="BNM12"/>
      <c r="BNN12"/>
      <c r="BNO12"/>
      <c r="BNP12"/>
      <c r="BNQ12"/>
      <c r="BNR12"/>
      <c r="BNS12"/>
      <c r="BNT12"/>
      <c r="BNU12"/>
      <c r="BNV12"/>
      <c r="BNW12"/>
      <c r="BNX12"/>
      <c r="BNY12"/>
      <c r="BNZ12"/>
      <c r="BOA12"/>
      <c r="BOB12"/>
      <c r="BOC12"/>
      <c r="BOD12"/>
      <c r="BOE12"/>
      <c r="BOF12"/>
      <c r="BOG12"/>
      <c r="BOH12"/>
      <c r="BOI12"/>
      <c r="BOJ12"/>
      <c r="BOK12"/>
      <c r="BOL12"/>
      <c r="BOM12"/>
      <c r="BON12"/>
      <c r="BOO12"/>
      <c r="BOP12"/>
      <c r="BOQ12"/>
      <c r="BOR12"/>
      <c r="BOS12"/>
      <c r="BOT12"/>
      <c r="BOU12"/>
      <c r="BOV12"/>
      <c r="BOW12"/>
      <c r="BOX12"/>
      <c r="BOY12"/>
      <c r="BOZ12"/>
      <c r="BPA12"/>
      <c r="BPB12"/>
      <c r="BPC12"/>
      <c r="BPD12"/>
      <c r="BPE12"/>
      <c r="BPF12"/>
      <c r="BPG12"/>
      <c r="BPH12"/>
      <c r="BPI12"/>
      <c r="BPJ12"/>
      <c r="BPK12"/>
      <c r="BPL12"/>
      <c r="BPM12"/>
      <c r="BPN12"/>
      <c r="BPO12"/>
      <c r="BPP12"/>
      <c r="BPQ12"/>
      <c r="BPR12"/>
      <c r="BPS12"/>
      <c r="BPT12"/>
      <c r="BPU12"/>
      <c r="BPV12"/>
      <c r="BPW12"/>
      <c r="BPX12"/>
      <c r="BPY12"/>
      <c r="BPZ12"/>
      <c r="BQA12"/>
      <c r="BQB12"/>
      <c r="BQC12"/>
      <c r="BQD12"/>
      <c r="BQE12"/>
      <c r="BQF12"/>
      <c r="BQG12"/>
      <c r="BQH12"/>
      <c r="BQI12"/>
      <c r="BQJ12"/>
      <c r="BQK12"/>
      <c r="BQL12"/>
      <c r="BQM12"/>
      <c r="BQN12"/>
      <c r="BQO12"/>
      <c r="BQP12"/>
      <c r="BQQ12"/>
      <c r="BQR12"/>
      <c r="BQS12"/>
      <c r="BQT12"/>
      <c r="BQU12"/>
      <c r="BQV12"/>
      <c r="BQW12"/>
      <c r="BQX12"/>
      <c r="BQY12"/>
      <c r="BQZ12"/>
      <c r="BRA12"/>
      <c r="BRB12"/>
      <c r="BRC12"/>
      <c r="BRD12"/>
      <c r="BRE12"/>
      <c r="BRF12"/>
      <c r="BRG12"/>
      <c r="BRH12"/>
      <c r="BRI12"/>
      <c r="BRJ12"/>
      <c r="BRK12"/>
      <c r="BRL12"/>
      <c r="BRM12"/>
      <c r="BRN12"/>
      <c r="BRO12"/>
      <c r="BRP12"/>
      <c r="BRQ12"/>
      <c r="BRR12"/>
      <c r="BRS12"/>
      <c r="BRT12"/>
      <c r="BRU12"/>
      <c r="BRV12"/>
      <c r="BRW12"/>
      <c r="BRX12"/>
      <c r="BRY12"/>
      <c r="BRZ12"/>
      <c r="BSA12"/>
      <c r="BSB12"/>
      <c r="BSC12"/>
      <c r="BSD12"/>
      <c r="BSE12"/>
      <c r="BSF12"/>
      <c r="BSG12"/>
      <c r="BSH12"/>
      <c r="BSI12"/>
      <c r="BSJ12"/>
      <c r="BSK12"/>
      <c r="BSL12"/>
      <c r="BSM12"/>
      <c r="BSN12"/>
      <c r="BSO12"/>
      <c r="BSP12"/>
      <c r="BSQ12"/>
      <c r="BSR12"/>
      <c r="BSS12"/>
      <c r="BST12"/>
      <c r="BSU12"/>
      <c r="BSV12"/>
      <c r="BSW12"/>
      <c r="BSX12"/>
      <c r="BSY12"/>
      <c r="BSZ12"/>
      <c r="BTA12"/>
      <c r="BTB12"/>
      <c r="BTC12"/>
      <c r="BTD12"/>
      <c r="BTE12"/>
      <c r="BTF12"/>
      <c r="BTG12"/>
      <c r="BTH12"/>
      <c r="BTI12"/>
      <c r="BTJ12"/>
      <c r="BTK12"/>
      <c r="BTL12"/>
      <c r="BTM12"/>
      <c r="BTN12"/>
      <c r="BTO12"/>
      <c r="BTP12"/>
      <c r="BTQ12"/>
      <c r="BTR12"/>
      <c r="BTS12"/>
      <c r="BTT12"/>
      <c r="BTU12"/>
      <c r="BTV12"/>
      <c r="BTW12"/>
      <c r="BTX12"/>
      <c r="BTY12"/>
      <c r="BTZ12"/>
      <c r="BUA12"/>
      <c r="BUB12"/>
      <c r="BUC12"/>
      <c r="BUD12"/>
      <c r="BUE12"/>
      <c r="BUF12"/>
      <c r="BUG12"/>
      <c r="BUH12"/>
      <c r="BUI12"/>
      <c r="BUJ12"/>
      <c r="BUK12"/>
      <c r="BUL12"/>
      <c r="BUM12"/>
      <c r="BUN12"/>
      <c r="BUO12"/>
      <c r="BUP12"/>
      <c r="BUQ12"/>
      <c r="BUR12"/>
      <c r="BUS12"/>
      <c r="BUT12"/>
      <c r="BUU12"/>
      <c r="BUV12"/>
      <c r="BUW12"/>
      <c r="BUX12"/>
      <c r="BUY12"/>
      <c r="BUZ12"/>
      <c r="BVA12"/>
      <c r="BVB12"/>
      <c r="BVC12"/>
      <c r="BVD12"/>
      <c r="BVE12"/>
      <c r="BVF12"/>
      <c r="BVG12"/>
      <c r="BVH12"/>
      <c r="BVI12"/>
      <c r="BVJ12"/>
      <c r="BVK12"/>
      <c r="BVL12"/>
      <c r="BVM12"/>
      <c r="BVN12"/>
      <c r="BVO12"/>
      <c r="BVP12"/>
      <c r="BVQ12"/>
      <c r="BVR12"/>
      <c r="BVS12"/>
      <c r="BVT12"/>
      <c r="BVU12"/>
      <c r="BVV12"/>
      <c r="BVW12"/>
      <c r="BVX12"/>
      <c r="BVY12"/>
      <c r="BVZ12"/>
      <c r="BWA12"/>
      <c r="BWB12"/>
      <c r="BWC12"/>
      <c r="BWD12"/>
      <c r="BWE12"/>
      <c r="BWF12"/>
      <c r="BWG12"/>
      <c r="BWH12"/>
      <c r="BWI12"/>
      <c r="BWJ12"/>
      <c r="BWK12"/>
      <c r="BWL12"/>
      <c r="BWM12"/>
      <c r="BWN12"/>
      <c r="BWO12"/>
      <c r="BWP12"/>
      <c r="BWQ12"/>
      <c r="BWR12"/>
      <c r="BWS12"/>
      <c r="BWT12"/>
      <c r="BWU12"/>
      <c r="BWV12"/>
      <c r="BWW12"/>
      <c r="BWX12"/>
      <c r="BWY12"/>
      <c r="BWZ12"/>
      <c r="BXA12"/>
      <c r="BXB12"/>
      <c r="BXC12"/>
      <c r="BXD12"/>
      <c r="BXE12"/>
      <c r="BXF12"/>
      <c r="BXG12"/>
      <c r="BXH12"/>
      <c r="BXI12"/>
      <c r="BXJ12"/>
      <c r="BXK12"/>
      <c r="BXL12"/>
      <c r="BXM12"/>
      <c r="BXN12"/>
      <c r="BXO12"/>
      <c r="BXP12"/>
      <c r="BXQ12"/>
      <c r="BXR12"/>
      <c r="BXS12"/>
      <c r="BXT12"/>
      <c r="BXU12"/>
      <c r="BXV12"/>
      <c r="BXW12"/>
      <c r="BXX12"/>
      <c r="BXY12"/>
      <c r="BXZ12"/>
      <c r="BYA12"/>
      <c r="BYB12"/>
      <c r="BYC12"/>
      <c r="BYD12"/>
      <c r="BYE12"/>
      <c r="BYF12"/>
      <c r="BYG12"/>
      <c r="BYH12"/>
      <c r="BYI12"/>
      <c r="BYJ12"/>
      <c r="BYK12"/>
      <c r="BYL12"/>
      <c r="BYM12"/>
      <c r="BYN12"/>
      <c r="BYO12"/>
      <c r="BYP12"/>
      <c r="BYQ12"/>
      <c r="BYR12"/>
      <c r="BYS12"/>
      <c r="BYT12"/>
      <c r="BYU12"/>
      <c r="BYV12"/>
      <c r="BYW12"/>
      <c r="BYX12"/>
      <c r="BYY12"/>
      <c r="BYZ12"/>
      <c r="BZA12"/>
      <c r="BZB12"/>
      <c r="BZC12"/>
      <c r="BZD12"/>
      <c r="BZE12"/>
      <c r="BZF12"/>
      <c r="BZG12"/>
      <c r="BZH12"/>
      <c r="BZI12"/>
      <c r="BZJ12"/>
      <c r="BZK12"/>
      <c r="BZL12"/>
      <c r="BZM12"/>
      <c r="BZN12"/>
      <c r="BZO12"/>
      <c r="BZP12"/>
      <c r="BZQ12"/>
      <c r="BZR12"/>
      <c r="BZS12"/>
      <c r="BZT12"/>
      <c r="BZU12"/>
      <c r="BZV12"/>
      <c r="BZW12"/>
      <c r="BZX12"/>
      <c r="BZY12"/>
      <c r="BZZ12"/>
      <c r="CAA12"/>
      <c r="CAB12"/>
      <c r="CAC12"/>
      <c r="CAD12"/>
      <c r="CAE12"/>
      <c r="CAF12"/>
      <c r="CAG12"/>
      <c r="CAH12"/>
      <c r="CAI12"/>
      <c r="CAJ12"/>
      <c r="CAK12"/>
      <c r="CAL12"/>
      <c r="CAM12"/>
      <c r="CAN12"/>
      <c r="CAO12"/>
      <c r="CAP12"/>
      <c r="CAQ12"/>
      <c r="CAR12"/>
      <c r="CAS12"/>
      <c r="CAT12"/>
      <c r="CAU12"/>
      <c r="CAV12"/>
      <c r="CAW12"/>
      <c r="CAX12"/>
      <c r="CAY12"/>
      <c r="CAZ12"/>
      <c r="CBA12"/>
      <c r="CBB12"/>
      <c r="CBC12"/>
      <c r="CBD12"/>
      <c r="CBE12"/>
      <c r="CBF12"/>
      <c r="CBG12"/>
      <c r="CBH12"/>
      <c r="CBI12"/>
      <c r="CBJ12"/>
      <c r="CBK12"/>
      <c r="CBL12"/>
      <c r="CBM12"/>
      <c r="CBN12"/>
      <c r="CBO12"/>
      <c r="CBP12"/>
      <c r="CBQ12"/>
      <c r="CBR12"/>
      <c r="CBS12"/>
      <c r="CBT12"/>
      <c r="CBU12"/>
      <c r="CBV12"/>
      <c r="CBW12"/>
      <c r="CBX12"/>
      <c r="CBY12"/>
      <c r="CBZ12"/>
      <c r="CCA12"/>
      <c r="CCB12"/>
      <c r="CCC12"/>
      <c r="CCD12"/>
      <c r="CCE12"/>
      <c r="CCF12"/>
      <c r="CCG12"/>
      <c r="CCH12"/>
      <c r="CCI12"/>
      <c r="CCJ12"/>
      <c r="CCK12"/>
      <c r="CCL12"/>
      <c r="CCM12"/>
      <c r="CCN12"/>
      <c r="CCO12"/>
      <c r="CCP12"/>
      <c r="CCQ12"/>
      <c r="CCR12"/>
      <c r="CCS12"/>
      <c r="CCT12"/>
      <c r="CCU12"/>
      <c r="CCV12"/>
      <c r="CCW12"/>
      <c r="CCX12"/>
      <c r="CCY12"/>
      <c r="CCZ12"/>
      <c r="CDA12"/>
      <c r="CDB12"/>
      <c r="CDC12"/>
      <c r="CDD12"/>
      <c r="CDE12"/>
      <c r="CDF12"/>
      <c r="CDG12"/>
      <c r="CDH12"/>
      <c r="CDI12"/>
      <c r="CDJ12"/>
      <c r="CDK12"/>
      <c r="CDL12"/>
      <c r="CDM12"/>
      <c r="CDN12"/>
      <c r="CDO12"/>
      <c r="CDP12"/>
      <c r="CDQ12"/>
      <c r="CDR12"/>
      <c r="CDS12"/>
      <c r="CDT12"/>
      <c r="CDU12"/>
      <c r="CDV12"/>
      <c r="CDW12"/>
      <c r="CDX12"/>
      <c r="CDY12"/>
      <c r="CDZ12"/>
      <c r="CEA12"/>
      <c r="CEB12"/>
      <c r="CEC12"/>
      <c r="CED12"/>
      <c r="CEE12"/>
      <c r="CEF12"/>
      <c r="CEG12"/>
      <c r="CEH12"/>
      <c r="CEI12"/>
      <c r="CEJ12"/>
      <c r="CEK12"/>
      <c r="CEL12"/>
      <c r="CEM12"/>
      <c r="CEN12"/>
      <c r="CEO12"/>
      <c r="CEP12"/>
      <c r="CEQ12"/>
      <c r="CER12"/>
      <c r="CES12"/>
      <c r="CET12"/>
      <c r="CEU12"/>
      <c r="CEV12"/>
      <c r="CEW12"/>
      <c r="CEX12"/>
      <c r="CEY12"/>
      <c r="CEZ12"/>
      <c r="CFA12"/>
      <c r="CFB12"/>
      <c r="CFC12"/>
      <c r="CFD12"/>
      <c r="CFE12"/>
      <c r="CFF12"/>
      <c r="CFG12"/>
      <c r="CFH12"/>
      <c r="CFI12"/>
      <c r="CFJ12"/>
      <c r="CFK12"/>
      <c r="CFL12"/>
      <c r="CFM12"/>
      <c r="CFN12"/>
      <c r="CFO12"/>
      <c r="CFP12"/>
      <c r="CFQ12"/>
      <c r="CFR12"/>
      <c r="CFS12"/>
      <c r="CFT12"/>
      <c r="CFU12"/>
      <c r="CFV12"/>
      <c r="CFW12"/>
      <c r="CFX12"/>
      <c r="CFY12"/>
      <c r="CFZ12"/>
      <c r="CGA12"/>
      <c r="CGB12"/>
      <c r="CGC12"/>
      <c r="CGD12"/>
      <c r="CGE12"/>
      <c r="CGF12"/>
      <c r="CGG12"/>
      <c r="CGH12"/>
      <c r="CGI12"/>
      <c r="CGJ12"/>
      <c r="CGK12"/>
      <c r="CGL12"/>
      <c r="CGM12"/>
      <c r="CGN12"/>
      <c r="CGO12"/>
      <c r="CGP12"/>
      <c r="CGQ12"/>
      <c r="CGR12"/>
      <c r="CGS12"/>
      <c r="CGT12"/>
      <c r="CGU12"/>
      <c r="CGV12"/>
      <c r="CGW12"/>
      <c r="CGX12"/>
      <c r="CGY12"/>
      <c r="CGZ12"/>
      <c r="CHA12"/>
      <c r="CHB12"/>
      <c r="CHC12"/>
      <c r="CHD12"/>
      <c r="CHE12"/>
      <c r="CHF12"/>
      <c r="CHG12"/>
      <c r="CHH12"/>
      <c r="CHI12"/>
      <c r="CHJ12"/>
      <c r="CHK12"/>
      <c r="CHL12"/>
      <c r="CHM12"/>
      <c r="CHN12"/>
      <c r="CHO12"/>
      <c r="CHP12"/>
      <c r="CHQ12"/>
      <c r="CHR12"/>
      <c r="CHS12"/>
      <c r="CHT12"/>
      <c r="CHU12"/>
      <c r="CHV12"/>
      <c r="CHW12"/>
      <c r="CHX12"/>
      <c r="CHY12"/>
      <c r="CHZ12"/>
      <c r="CIA12"/>
      <c r="CIB12"/>
      <c r="CIC12"/>
      <c r="CID12"/>
      <c r="CIE12"/>
      <c r="CIF12"/>
      <c r="CIG12"/>
      <c r="CIH12"/>
      <c r="CII12"/>
      <c r="CIJ12"/>
      <c r="CIK12"/>
      <c r="CIL12"/>
      <c r="CIM12"/>
      <c r="CIN12"/>
      <c r="CIO12"/>
      <c r="CIP12"/>
      <c r="CIQ12"/>
      <c r="CIR12"/>
      <c r="CIS12"/>
      <c r="CIT12"/>
      <c r="CIU12"/>
      <c r="CIV12"/>
      <c r="CIW12"/>
      <c r="CIX12"/>
      <c r="CIY12"/>
      <c r="CIZ12"/>
      <c r="CJA12"/>
      <c r="CJB12"/>
      <c r="CJC12"/>
      <c r="CJD12"/>
      <c r="CJE12"/>
      <c r="CJF12"/>
      <c r="CJG12"/>
      <c r="CJH12"/>
      <c r="CJI12"/>
      <c r="CJJ12"/>
      <c r="CJK12"/>
      <c r="CJL12"/>
      <c r="CJM12"/>
      <c r="CJN12"/>
      <c r="CJO12"/>
      <c r="CJP12"/>
      <c r="CJQ12"/>
      <c r="CJR12"/>
      <c r="CJS12"/>
      <c r="CJT12"/>
      <c r="CJU12"/>
      <c r="CJV12"/>
      <c r="CJW12"/>
      <c r="CJX12"/>
      <c r="CJY12"/>
      <c r="CJZ12"/>
      <c r="CKA12"/>
      <c r="CKB12"/>
      <c r="CKC12"/>
      <c r="CKD12"/>
      <c r="CKE12"/>
      <c r="CKF12"/>
      <c r="CKG12"/>
      <c r="CKH12"/>
      <c r="CKI12"/>
      <c r="CKJ12"/>
      <c r="CKK12"/>
      <c r="CKL12"/>
      <c r="CKM12"/>
      <c r="CKN12"/>
      <c r="CKO12"/>
      <c r="CKP12"/>
      <c r="CKQ12"/>
      <c r="CKR12"/>
      <c r="CKS12"/>
      <c r="CKT12"/>
      <c r="CKU12"/>
      <c r="CKV12"/>
      <c r="CKW12"/>
      <c r="CKX12"/>
      <c r="CKY12"/>
      <c r="CKZ12"/>
      <c r="CLA12"/>
      <c r="CLB12"/>
      <c r="CLC12"/>
      <c r="CLD12"/>
      <c r="CLE12"/>
      <c r="CLF12"/>
      <c r="CLG12"/>
      <c r="CLH12"/>
      <c r="CLI12"/>
      <c r="CLJ12"/>
      <c r="CLK12"/>
      <c r="CLL12"/>
      <c r="CLM12"/>
      <c r="CLN12"/>
      <c r="CLO12"/>
      <c r="CLP12"/>
      <c r="CLQ12"/>
      <c r="CLR12"/>
      <c r="CLS12"/>
      <c r="CLT12"/>
      <c r="CLU12"/>
      <c r="CLV12"/>
      <c r="CLW12"/>
      <c r="CLX12"/>
      <c r="CLY12"/>
      <c r="CLZ12"/>
      <c r="CMA12"/>
      <c r="CMB12"/>
      <c r="CMC12"/>
      <c r="CMD12"/>
      <c r="CME12"/>
      <c r="CMF12"/>
      <c r="CMG12"/>
      <c r="CMH12"/>
      <c r="CMI12"/>
      <c r="CMJ12"/>
      <c r="CMK12"/>
      <c r="CML12"/>
      <c r="CMM12"/>
      <c r="CMN12"/>
      <c r="CMO12"/>
      <c r="CMP12"/>
      <c r="CMQ12"/>
      <c r="CMR12"/>
      <c r="CMS12"/>
      <c r="CMT12"/>
      <c r="CMU12"/>
      <c r="CMV12"/>
      <c r="CMW12"/>
      <c r="CMX12"/>
      <c r="CMY12"/>
      <c r="CMZ12"/>
      <c r="CNA12"/>
      <c r="CNB12"/>
      <c r="CNC12"/>
      <c r="CND12"/>
      <c r="CNE12"/>
      <c r="CNF12"/>
      <c r="CNG12"/>
      <c r="CNH12"/>
      <c r="CNI12"/>
      <c r="CNJ12"/>
      <c r="CNK12"/>
      <c r="CNL12"/>
      <c r="CNM12"/>
      <c r="CNN12"/>
      <c r="CNO12"/>
      <c r="CNP12"/>
      <c r="CNQ12"/>
      <c r="CNR12"/>
      <c r="CNS12"/>
      <c r="CNT12"/>
      <c r="CNU12"/>
      <c r="CNV12"/>
      <c r="CNW12"/>
      <c r="CNX12"/>
      <c r="CNY12"/>
      <c r="CNZ12"/>
      <c r="COA12"/>
      <c r="COB12"/>
      <c r="COC12"/>
      <c r="COD12"/>
      <c r="COE12"/>
      <c r="COF12"/>
      <c r="COG12"/>
      <c r="COH12"/>
      <c r="COI12"/>
      <c r="COJ12"/>
      <c r="COK12"/>
      <c r="COL12"/>
      <c r="COM12"/>
      <c r="CON12"/>
      <c r="COO12"/>
      <c r="COP12"/>
      <c r="COQ12"/>
      <c r="COR12"/>
      <c r="COS12"/>
      <c r="COT12"/>
      <c r="COU12"/>
      <c r="COV12"/>
      <c r="COW12"/>
      <c r="COX12"/>
      <c r="COY12"/>
      <c r="COZ12"/>
      <c r="CPA12"/>
      <c r="CPB12"/>
      <c r="CPC12"/>
      <c r="CPD12"/>
      <c r="CPE12"/>
      <c r="CPF12"/>
      <c r="CPG12"/>
      <c r="CPH12"/>
      <c r="CPI12"/>
      <c r="CPJ12"/>
      <c r="CPK12"/>
      <c r="CPL12"/>
      <c r="CPM12"/>
      <c r="CPN12"/>
      <c r="CPO12"/>
      <c r="CPP12"/>
      <c r="CPQ12"/>
      <c r="CPR12"/>
      <c r="CPS12"/>
      <c r="CPT12"/>
      <c r="CPU12"/>
      <c r="CPV12"/>
      <c r="CPW12"/>
      <c r="CPX12"/>
      <c r="CPY12"/>
      <c r="CPZ12"/>
      <c r="CQA12"/>
      <c r="CQB12"/>
      <c r="CQC12"/>
      <c r="CQD12"/>
      <c r="CQE12"/>
      <c r="CQF12"/>
      <c r="CQG12"/>
      <c r="CQH12"/>
      <c r="CQI12"/>
      <c r="CQJ12"/>
      <c r="CQK12"/>
      <c r="CQL12"/>
      <c r="CQM12"/>
      <c r="CQN12"/>
      <c r="CQO12"/>
      <c r="CQP12"/>
      <c r="CQQ12"/>
      <c r="CQR12"/>
      <c r="CQS12"/>
      <c r="CQT12"/>
      <c r="CQU12"/>
      <c r="CQV12"/>
      <c r="CQW12"/>
      <c r="CQX12"/>
      <c r="CQY12"/>
      <c r="CQZ12"/>
      <c r="CRA12"/>
      <c r="CRB12"/>
      <c r="CRC12"/>
      <c r="CRD12"/>
      <c r="CRE12"/>
      <c r="CRF12"/>
    </row>
    <row r="13" spans="1:2502" s="13" customFormat="1" ht="39" x14ac:dyDescent="0.35">
      <c r="A13" s="114"/>
      <c r="B13" s="117"/>
      <c r="C13" s="114"/>
      <c r="D13" s="110"/>
      <c r="E13" s="22" t="s">
        <v>654</v>
      </c>
      <c r="F13" s="23" t="s">
        <v>655</v>
      </c>
      <c r="G13" s="91" t="s">
        <v>32</v>
      </c>
      <c r="H13" s="4"/>
      <c r="I13" s="39" t="s">
        <v>812</v>
      </c>
      <c r="J13" s="40" t="s">
        <v>812</v>
      </c>
      <c r="K13" s="5">
        <v>754</v>
      </c>
      <c r="L13" s="24"/>
      <c r="M13" s="24"/>
      <c r="N13" s="41"/>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c r="AML13"/>
      <c r="AMM13"/>
      <c r="AMN13"/>
      <c r="AMO13"/>
      <c r="AMP13"/>
      <c r="AMQ13"/>
      <c r="AMR13"/>
      <c r="AMS13"/>
      <c r="AMT13"/>
      <c r="AMU13"/>
      <c r="AMV13"/>
      <c r="AMW13"/>
      <c r="AMX13"/>
      <c r="AMY13"/>
      <c r="AMZ13"/>
      <c r="ANA13"/>
      <c r="ANB13"/>
      <c r="ANC13"/>
      <c r="AND13"/>
      <c r="ANE13"/>
      <c r="ANF13"/>
      <c r="ANG13"/>
      <c r="ANH13"/>
      <c r="ANI13"/>
      <c r="ANJ13"/>
      <c r="ANK13"/>
      <c r="ANL13"/>
      <c r="ANM13"/>
      <c r="ANN13"/>
      <c r="ANO13"/>
      <c r="ANP13"/>
      <c r="ANQ13"/>
      <c r="ANR13"/>
      <c r="ANS13"/>
      <c r="ANT13"/>
      <c r="ANU13"/>
      <c r="ANV13"/>
      <c r="ANW13"/>
      <c r="ANX13"/>
      <c r="ANY13"/>
      <c r="ANZ13"/>
      <c r="AOA13"/>
      <c r="AOB13"/>
      <c r="AOC13"/>
      <c r="AOD13"/>
      <c r="AOE13"/>
      <c r="AOF13"/>
      <c r="AOG13"/>
      <c r="AOH13"/>
      <c r="AOI13"/>
      <c r="AOJ13"/>
      <c r="AOK13"/>
      <c r="AOL13"/>
      <c r="AOM13"/>
      <c r="AON13"/>
      <c r="AOO13"/>
      <c r="AOP13"/>
      <c r="AOQ13"/>
      <c r="AOR13"/>
      <c r="AOS13"/>
      <c r="AOT13"/>
      <c r="AOU13"/>
      <c r="AOV13"/>
      <c r="AOW13"/>
      <c r="AOX13"/>
      <c r="AOY13"/>
      <c r="AOZ13"/>
      <c r="APA13"/>
      <c r="APB13"/>
      <c r="APC13"/>
      <c r="APD13"/>
      <c r="APE13"/>
      <c r="APF13"/>
      <c r="APG13"/>
      <c r="APH13"/>
      <c r="API13"/>
      <c r="APJ13"/>
      <c r="APK13"/>
      <c r="APL13"/>
      <c r="APM13"/>
      <c r="APN13"/>
      <c r="APO13"/>
      <c r="APP13"/>
      <c r="APQ13"/>
      <c r="APR13"/>
      <c r="APS13"/>
      <c r="APT13"/>
      <c r="APU13"/>
      <c r="APV13"/>
      <c r="APW13"/>
      <c r="APX13"/>
      <c r="APY13"/>
      <c r="APZ13"/>
      <c r="AQA13"/>
      <c r="AQB13"/>
      <c r="AQC13"/>
      <c r="AQD13"/>
      <c r="AQE13"/>
      <c r="AQF13"/>
      <c r="AQG13"/>
      <c r="AQH13"/>
      <c r="AQI13"/>
      <c r="AQJ13"/>
      <c r="AQK13"/>
      <c r="AQL13"/>
      <c r="AQM13"/>
      <c r="AQN13"/>
      <c r="AQO13"/>
      <c r="AQP13"/>
      <c r="AQQ13"/>
      <c r="AQR13"/>
      <c r="AQS13"/>
      <c r="AQT13"/>
      <c r="AQU13"/>
      <c r="AQV13"/>
      <c r="AQW13"/>
      <c r="AQX13"/>
      <c r="AQY13"/>
      <c r="AQZ13"/>
      <c r="ARA13"/>
      <c r="ARB13"/>
      <c r="ARC13"/>
      <c r="ARD13"/>
      <c r="ARE13"/>
      <c r="ARF13"/>
      <c r="ARG13"/>
      <c r="ARH13"/>
      <c r="ARI13"/>
      <c r="ARJ13"/>
      <c r="ARK13"/>
      <c r="ARL13"/>
      <c r="ARM13"/>
      <c r="ARN13"/>
      <c r="ARO13"/>
      <c r="ARP13"/>
      <c r="ARQ13"/>
      <c r="ARR13"/>
      <c r="ARS13"/>
      <c r="ART13"/>
      <c r="ARU13"/>
      <c r="ARV13"/>
      <c r="ARW13"/>
      <c r="ARX13"/>
      <c r="ARY13"/>
      <c r="ARZ13"/>
      <c r="ASA13"/>
      <c r="ASB13"/>
      <c r="ASC13"/>
      <c r="ASD13"/>
      <c r="ASE13"/>
      <c r="ASF13"/>
      <c r="ASG13"/>
      <c r="ASH13"/>
      <c r="ASI13"/>
      <c r="ASJ13"/>
      <c r="ASK13"/>
      <c r="ASL13"/>
      <c r="ASM13"/>
      <c r="ASN13"/>
      <c r="ASO13"/>
      <c r="ASP13"/>
      <c r="ASQ13"/>
      <c r="ASR13"/>
      <c r="ASS13"/>
      <c r="AST13"/>
      <c r="ASU13"/>
      <c r="ASV13"/>
      <c r="ASW13"/>
      <c r="ASX13"/>
      <c r="ASY13"/>
      <c r="ASZ13"/>
      <c r="ATA13"/>
      <c r="ATB13"/>
      <c r="ATC13"/>
      <c r="ATD13"/>
      <c r="ATE13"/>
      <c r="ATF13"/>
      <c r="ATG13"/>
      <c r="ATH13"/>
      <c r="ATI13"/>
      <c r="ATJ13"/>
      <c r="ATK13"/>
      <c r="ATL13"/>
      <c r="ATM13"/>
      <c r="ATN13"/>
      <c r="ATO13"/>
      <c r="ATP13"/>
      <c r="ATQ13"/>
      <c r="ATR13"/>
      <c r="ATS13"/>
      <c r="ATT13"/>
      <c r="ATU13"/>
      <c r="ATV13"/>
      <c r="ATW13"/>
      <c r="ATX13"/>
      <c r="ATY13"/>
      <c r="ATZ13"/>
      <c r="AUA13"/>
      <c r="AUB13"/>
      <c r="AUC13"/>
      <c r="AUD13"/>
      <c r="AUE13"/>
      <c r="AUF13"/>
      <c r="AUG13"/>
      <c r="AUH13"/>
      <c r="AUI13"/>
      <c r="AUJ13"/>
      <c r="AUK13"/>
      <c r="AUL13"/>
      <c r="AUM13"/>
      <c r="AUN13"/>
      <c r="AUO13"/>
      <c r="AUP13"/>
      <c r="AUQ13"/>
      <c r="AUR13"/>
      <c r="AUS13"/>
      <c r="AUT13"/>
      <c r="AUU13"/>
      <c r="AUV13"/>
      <c r="AUW13"/>
      <c r="AUX13"/>
      <c r="AUY13"/>
      <c r="AUZ13"/>
      <c r="AVA13"/>
      <c r="AVB13"/>
      <c r="AVC13"/>
      <c r="AVD13"/>
      <c r="AVE13"/>
      <c r="AVF13"/>
      <c r="AVG13"/>
      <c r="AVH13"/>
      <c r="AVI13"/>
      <c r="AVJ13"/>
      <c r="AVK13"/>
      <c r="AVL13"/>
      <c r="AVM13"/>
      <c r="AVN13"/>
      <c r="AVO13"/>
      <c r="AVP13"/>
      <c r="AVQ13"/>
      <c r="AVR13"/>
      <c r="AVS13"/>
      <c r="AVT13"/>
      <c r="AVU13"/>
      <c r="AVV13"/>
      <c r="AVW13"/>
      <c r="AVX13"/>
      <c r="AVY13"/>
      <c r="AVZ13"/>
      <c r="AWA13"/>
      <c r="AWB13"/>
      <c r="AWC13"/>
      <c r="AWD13"/>
      <c r="AWE13"/>
      <c r="AWF13"/>
      <c r="AWG13"/>
      <c r="AWH13"/>
      <c r="AWI13"/>
      <c r="AWJ13"/>
      <c r="AWK13"/>
      <c r="AWL13"/>
      <c r="AWM13"/>
      <c r="AWN13"/>
      <c r="AWO13"/>
      <c r="AWP13"/>
      <c r="AWQ13"/>
      <c r="AWR13"/>
      <c r="AWS13"/>
      <c r="AWT13"/>
      <c r="AWU13"/>
      <c r="AWV13"/>
      <c r="AWW13"/>
      <c r="AWX13"/>
      <c r="AWY13"/>
      <c r="AWZ13"/>
      <c r="AXA13"/>
      <c r="AXB13"/>
      <c r="AXC13"/>
      <c r="AXD13"/>
      <c r="AXE13"/>
      <c r="AXF13"/>
      <c r="AXG13"/>
      <c r="AXH13"/>
      <c r="AXI13"/>
      <c r="AXJ13"/>
      <c r="AXK13"/>
      <c r="AXL13"/>
      <c r="AXM13"/>
      <c r="AXN13"/>
      <c r="AXO13"/>
      <c r="AXP13"/>
      <c r="AXQ13"/>
      <c r="AXR13"/>
      <c r="AXS13"/>
      <c r="AXT13"/>
      <c r="AXU13"/>
      <c r="AXV13"/>
      <c r="AXW13"/>
      <c r="AXX13"/>
      <c r="AXY13"/>
      <c r="AXZ13"/>
      <c r="AYA13"/>
      <c r="AYB13"/>
      <c r="AYC13"/>
      <c r="AYD13"/>
      <c r="AYE13"/>
      <c r="AYF13"/>
      <c r="AYG13"/>
      <c r="AYH13"/>
      <c r="AYI13"/>
      <c r="AYJ13"/>
      <c r="AYK13"/>
      <c r="AYL13"/>
      <c r="AYM13"/>
      <c r="AYN13"/>
      <c r="AYO13"/>
      <c r="AYP13"/>
      <c r="AYQ13"/>
      <c r="AYR13"/>
      <c r="AYS13"/>
      <c r="AYT13"/>
      <c r="AYU13"/>
      <c r="AYV13"/>
      <c r="AYW13"/>
      <c r="AYX13"/>
      <c r="AYY13"/>
      <c r="AYZ13"/>
      <c r="AZA13"/>
      <c r="AZB13"/>
      <c r="AZC13"/>
      <c r="AZD13"/>
      <c r="AZE13"/>
      <c r="AZF13"/>
      <c r="AZG13"/>
      <c r="AZH13"/>
      <c r="AZI13"/>
      <c r="AZJ13"/>
      <c r="AZK13"/>
      <c r="AZL13"/>
      <c r="AZM13"/>
      <c r="AZN13"/>
      <c r="AZO13"/>
      <c r="AZP13"/>
      <c r="AZQ13"/>
      <c r="AZR13"/>
      <c r="AZS13"/>
      <c r="AZT13"/>
      <c r="AZU13"/>
      <c r="AZV13"/>
      <c r="AZW13"/>
      <c r="AZX13"/>
      <c r="AZY13"/>
      <c r="AZZ13"/>
      <c r="BAA13"/>
      <c r="BAB13"/>
      <c r="BAC13"/>
      <c r="BAD13"/>
      <c r="BAE13"/>
      <c r="BAF13"/>
      <c r="BAG13"/>
      <c r="BAH13"/>
      <c r="BAI13"/>
      <c r="BAJ13"/>
      <c r="BAK13"/>
      <c r="BAL13"/>
      <c r="BAM13"/>
      <c r="BAN13"/>
      <c r="BAO13"/>
      <c r="BAP13"/>
      <c r="BAQ13"/>
      <c r="BAR13"/>
      <c r="BAS13"/>
      <c r="BAT13"/>
      <c r="BAU13"/>
      <c r="BAV13"/>
      <c r="BAW13"/>
      <c r="BAX13"/>
      <c r="BAY13"/>
      <c r="BAZ13"/>
      <c r="BBA13"/>
      <c r="BBB13"/>
      <c r="BBC13"/>
      <c r="BBD13"/>
      <c r="BBE13"/>
      <c r="BBF13"/>
      <c r="BBG13"/>
      <c r="BBH13"/>
      <c r="BBI13"/>
      <c r="BBJ13"/>
      <c r="BBK13"/>
      <c r="BBL13"/>
      <c r="BBM13"/>
      <c r="BBN13"/>
      <c r="BBO13"/>
      <c r="BBP13"/>
      <c r="BBQ13"/>
      <c r="BBR13"/>
      <c r="BBS13"/>
      <c r="BBT13"/>
      <c r="BBU13"/>
      <c r="BBV13"/>
      <c r="BBW13"/>
      <c r="BBX13"/>
      <c r="BBY13"/>
      <c r="BBZ13"/>
      <c r="BCA13"/>
      <c r="BCB13"/>
      <c r="BCC13"/>
      <c r="BCD13"/>
      <c r="BCE13"/>
      <c r="BCF13"/>
      <c r="BCG13"/>
      <c r="BCH13"/>
      <c r="BCI13"/>
      <c r="BCJ13"/>
      <c r="BCK13"/>
      <c r="BCL13"/>
      <c r="BCM13"/>
      <c r="BCN13"/>
      <c r="BCO13"/>
      <c r="BCP13"/>
      <c r="BCQ13"/>
      <c r="BCR13"/>
      <c r="BCS13"/>
      <c r="BCT13"/>
      <c r="BCU13"/>
      <c r="BCV13"/>
      <c r="BCW13"/>
      <c r="BCX13"/>
      <c r="BCY13"/>
      <c r="BCZ13"/>
      <c r="BDA13"/>
      <c r="BDB13"/>
      <c r="BDC13"/>
      <c r="BDD13"/>
      <c r="BDE13"/>
      <c r="BDF13"/>
      <c r="BDG13"/>
      <c r="BDH13"/>
      <c r="BDI13"/>
      <c r="BDJ13"/>
      <c r="BDK13"/>
      <c r="BDL13"/>
      <c r="BDM13"/>
      <c r="BDN13"/>
      <c r="BDO13"/>
      <c r="BDP13"/>
      <c r="BDQ13"/>
      <c r="BDR13"/>
      <c r="BDS13"/>
      <c r="BDT13"/>
      <c r="BDU13"/>
      <c r="BDV13"/>
      <c r="BDW13"/>
      <c r="BDX13"/>
      <c r="BDY13"/>
      <c r="BDZ13"/>
      <c r="BEA13"/>
      <c r="BEB13"/>
      <c r="BEC13"/>
      <c r="BED13"/>
      <c r="BEE13"/>
      <c r="BEF13"/>
      <c r="BEG13"/>
      <c r="BEH13"/>
      <c r="BEI13"/>
      <c r="BEJ13"/>
      <c r="BEK13"/>
      <c r="BEL13"/>
      <c r="BEM13"/>
      <c r="BEN13"/>
      <c r="BEO13"/>
      <c r="BEP13"/>
      <c r="BEQ13"/>
      <c r="BER13"/>
      <c r="BES13"/>
      <c r="BET13"/>
      <c r="BEU13"/>
      <c r="BEV13"/>
      <c r="BEW13"/>
      <c r="BEX13"/>
      <c r="BEY13"/>
      <c r="BEZ13"/>
      <c r="BFA13"/>
      <c r="BFB13"/>
      <c r="BFC13"/>
      <c r="BFD13"/>
      <c r="BFE13"/>
      <c r="BFF13"/>
      <c r="BFG13"/>
      <c r="BFH13"/>
      <c r="BFI13"/>
      <c r="BFJ13"/>
      <c r="BFK13"/>
      <c r="BFL13"/>
      <c r="BFM13"/>
      <c r="BFN13"/>
      <c r="BFO13"/>
      <c r="BFP13"/>
      <c r="BFQ13"/>
      <c r="BFR13"/>
      <c r="BFS13"/>
      <c r="BFT13"/>
      <c r="BFU13"/>
      <c r="BFV13"/>
      <c r="BFW13"/>
      <c r="BFX13"/>
      <c r="BFY13"/>
      <c r="BFZ13"/>
      <c r="BGA13"/>
      <c r="BGB13"/>
      <c r="BGC13"/>
      <c r="BGD13"/>
      <c r="BGE13"/>
      <c r="BGF13"/>
      <c r="BGG13"/>
      <c r="BGH13"/>
      <c r="BGI13"/>
      <c r="BGJ13"/>
      <c r="BGK13"/>
      <c r="BGL13"/>
      <c r="BGM13"/>
      <c r="BGN13"/>
      <c r="BGO13"/>
      <c r="BGP13"/>
      <c r="BGQ13"/>
      <c r="BGR13"/>
      <c r="BGS13"/>
      <c r="BGT13"/>
      <c r="BGU13"/>
      <c r="BGV13"/>
      <c r="BGW13"/>
      <c r="BGX13"/>
      <c r="BGY13"/>
      <c r="BGZ13"/>
      <c r="BHA13"/>
      <c r="BHB13"/>
      <c r="BHC13"/>
      <c r="BHD13"/>
      <c r="BHE13"/>
      <c r="BHF13"/>
      <c r="BHG13"/>
      <c r="BHH13"/>
      <c r="BHI13"/>
      <c r="BHJ13"/>
      <c r="BHK13"/>
      <c r="BHL13"/>
      <c r="BHM13"/>
      <c r="BHN13"/>
      <c r="BHO13"/>
      <c r="BHP13"/>
      <c r="BHQ13"/>
      <c r="BHR13"/>
      <c r="BHS13"/>
      <c r="BHT13"/>
      <c r="BHU13"/>
      <c r="BHV13"/>
      <c r="BHW13"/>
      <c r="BHX13"/>
      <c r="BHY13"/>
      <c r="BHZ13"/>
      <c r="BIA13"/>
      <c r="BIB13"/>
      <c r="BIC13"/>
      <c r="BID13"/>
      <c r="BIE13"/>
      <c r="BIF13"/>
      <c r="BIG13"/>
      <c r="BIH13"/>
      <c r="BII13"/>
      <c r="BIJ13"/>
      <c r="BIK13"/>
      <c r="BIL13"/>
      <c r="BIM13"/>
      <c r="BIN13"/>
      <c r="BIO13"/>
      <c r="BIP13"/>
      <c r="BIQ13"/>
      <c r="BIR13"/>
      <c r="BIS13"/>
      <c r="BIT13"/>
      <c r="BIU13"/>
      <c r="BIV13"/>
      <c r="BIW13"/>
      <c r="BIX13"/>
      <c r="BIY13"/>
      <c r="BIZ13"/>
      <c r="BJA13"/>
      <c r="BJB13"/>
      <c r="BJC13"/>
      <c r="BJD13"/>
      <c r="BJE13"/>
      <c r="BJF13"/>
      <c r="BJG13"/>
      <c r="BJH13"/>
      <c r="BJI13"/>
      <c r="BJJ13"/>
      <c r="BJK13"/>
      <c r="BJL13"/>
      <c r="BJM13"/>
      <c r="BJN13"/>
      <c r="BJO13"/>
      <c r="BJP13"/>
      <c r="BJQ13"/>
      <c r="BJR13"/>
      <c r="BJS13"/>
      <c r="BJT13"/>
      <c r="BJU13"/>
      <c r="BJV13"/>
      <c r="BJW13"/>
      <c r="BJX13"/>
      <c r="BJY13"/>
      <c r="BJZ13"/>
      <c r="BKA13"/>
      <c r="BKB13"/>
      <c r="BKC13"/>
      <c r="BKD13"/>
      <c r="BKE13"/>
      <c r="BKF13"/>
      <c r="BKG13"/>
      <c r="BKH13"/>
      <c r="BKI13"/>
      <c r="BKJ13"/>
      <c r="BKK13"/>
      <c r="BKL13"/>
      <c r="BKM13"/>
      <c r="BKN13"/>
      <c r="BKO13"/>
      <c r="BKP13"/>
      <c r="BKQ13"/>
      <c r="BKR13"/>
      <c r="BKS13"/>
      <c r="BKT13"/>
      <c r="BKU13"/>
      <c r="BKV13"/>
      <c r="BKW13"/>
      <c r="BKX13"/>
      <c r="BKY13"/>
      <c r="BKZ13"/>
      <c r="BLA13"/>
      <c r="BLB13"/>
      <c r="BLC13"/>
      <c r="BLD13"/>
      <c r="BLE13"/>
      <c r="BLF13"/>
      <c r="BLG13"/>
      <c r="BLH13"/>
      <c r="BLI13"/>
      <c r="BLJ13"/>
      <c r="BLK13"/>
      <c r="BLL13"/>
      <c r="BLM13"/>
      <c r="BLN13"/>
      <c r="BLO13"/>
      <c r="BLP13"/>
      <c r="BLQ13"/>
      <c r="BLR13"/>
      <c r="BLS13"/>
      <c r="BLT13"/>
      <c r="BLU13"/>
      <c r="BLV13"/>
      <c r="BLW13"/>
      <c r="BLX13"/>
      <c r="BLY13"/>
      <c r="BLZ13"/>
      <c r="BMA13"/>
      <c r="BMB13"/>
      <c r="BMC13"/>
      <c r="BMD13"/>
      <c r="BME13"/>
      <c r="BMF13"/>
      <c r="BMG13"/>
      <c r="BMH13"/>
      <c r="BMI13"/>
      <c r="BMJ13"/>
      <c r="BMK13"/>
      <c r="BML13"/>
      <c r="BMM13"/>
      <c r="BMN13"/>
      <c r="BMO13"/>
      <c r="BMP13"/>
      <c r="BMQ13"/>
      <c r="BMR13"/>
      <c r="BMS13"/>
      <c r="BMT13"/>
      <c r="BMU13"/>
      <c r="BMV13"/>
      <c r="BMW13"/>
      <c r="BMX13"/>
      <c r="BMY13"/>
      <c r="BMZ13"/>
      <c r="BNA13"/>
      <c r="BNB13"/>
      <c r="BNC13"/>
      <c r="BND13"/>
      <c r="BNE13"/>
      <c r="BNF13"/>
      <c r="BNG13"/>
      <c r="BNH13"/>
      <c r="BNI13"/>
      <c r="BNJ13"/>
      <c r="BNK13"/>
      <c r="BNL13"/>
      <c r="BNM13"/>
      <c r="BNN13"/>
      <c r="BNO13"/>
      <c r="BNP13"/>
      <c r="BNQ13"/>
      <c r="BNR13"/>
      <c r="BNS13"/>
      <c r="BNT13"/>
      <c r="BNU13"/>
      <c r="BNV13"/>
      <c r="BNW13"/>
      <c r="BNX13"/>
      <c r="BNY13"/>
      <c r="BNZ13"/>
      <c r="BOA13"/>
      <c r="BOB13"/>
      <c r="BOC13"/>
      <c r="BOD13"/>
      <c r="BOE13"/>
      <c r="BOF13"/>
      <c r="BOG13"/>
      <c r="BOH13"/>
      <c r="BOI13"/>
      <c r="BOJ13"/>
      <c r="BOK13"/>
      <c r="BOL13"/>
      <c r="BOM13"/>
      <c r="BON13"/>
      <c r="BOO13"/>
      <c r="BOP13"/>
      <c r="BOQ13"/>
      <c r="BOR13"/>
      <c r="BOS13"/>
      <c r="BOT13"/>
      <c r="BOU13"/>
      <c r="BOV13"/>
      <c r="BOW13"/>
      <c r="BOX13"/>
      <c r="BOY13"/>
      <c r="BOZ13"/>
      <c r="BPA13"/>
      <c r="BPB13"/>
      <c r="BPC13"/>
      <c r="BPD13"/>
      <c r="BPE13"/>
      <c r="BPF13"/>
      <c r="BPG13"/>
      <c r="BPH13"/>
      <c r="BPI13"/>
      <c r="BPJ13"/>
      <c r="BPK13"/>
      <c r="BPL13"/>
      <c r="BPM13"/>
      <c r="BPN13"/>
      <c r="BPO13"/>
      <c r="BPP13"/>
      <c r="BPQ13"/>
      <c r="BPR13"/>
      <c r="BPS13"/>
      <c r="BPT13"/>
      <c r="BPU13"/>
      <c r="BPV13"/>
      <c r="BPW13"/>
      <c r="BPX13"/>
      <c r="BPY13"/>
      <c r="BPZ13"/>
      <c r="BQA13"/>
      <c r="BQB13"/>
      <c r="BQC13"/>
      <c r="BQD13"/>
      <c r="BQE13"/>
      <c r="BQF13"/>
      <c r="BQG13"/>
      <c r="BQH13"/>
      <c r="BQI13"/>
      <c r="BQJ13"/>
      <c r="BQK13"/>
      <c r="BQL13"/>
      <c r="BQM13"/>
      <c r="BQN13"/>
      <c r="BQO13"/>
      <c r="BQP13"/>
      <c r="BQQ13"/>
      <c r="BQR13"/>
      <c r="BQS13"/>
      <c r="BQT13"/>
      <c r="BQU13"/>
      <c r="BQV13"/>
      <c r="BQW13"/>
      <c r="BQX13"/>
      <c r="BQY13"/>
      <c r="BQZ13"/>
      <c r="BRA13"/>
      <c r="BRB13"/>
      <c r="BRC13"/>
      <c r="BRD13"/>
      <c r="BRE13"/>
      <c r="BRF13"/>
      <c r="BRG13"/>
      <c r="BRH13"/>
      <c r="BRI13"/>
      <c r="BRJ13"/>
      <c r="BRK13"/>
      <c r="BRL13"/>
      <c r="BRM13"/>
      <c r="BRN13"/>
      <c r="BRO13"/>
      <c r="BRP13"/>
      <c r="BRQ13"/>
      <c r="BRR13"/>
      <c r="BRS13"/>
      <c r="BRT13"/>
      <c r="BRU13"/>
      <c r="BRV13"/>
      <c r="BRW13"/>
      <c r="BRX13"/>
      <c r="BRY13"/>
      <c r="BRZ13"/>
      <c r="BSA13"/>
      <c r="BSB13"/>
      <c r="BSC13"/>
      <c r="BSD13"/>
      <c r="BSE13"/>
      <c r="BSF13"/>
      <c r="BSG13"/>
      <c r="BSH13"/>
      <c r="BSI13"/>
      <c r="BSJ13"/>
      <c r="BSK13"/>
      <c r="BSL13"/>
      <c r="BSM13"/>
      <c r="BSN13"/>
      <c r="BSO13"/>
      <c r="BSP13"/>
      <c r="BSQ13"/>
      <c r="BSR13"/>
      <c r="BSS13"/>
      <c r="BST13"/>
      <c r="BSU13"/>
      <c r="BSV13"/>
      <c r="BSW13"/>
      <c r="BSX13"/>
      <c r="BSY13"/>
      <c r="BSZ13"/>
      <c r="BTA13"/>
      <c r="BTB13"/>
      <c r="BTC13"/>
      <c r="BTD13"/>
      <c r="BTE13"/>
      <c r="BTF13"/>
      <c r="BTG13"/>
      <c r="BTH13"/>
      <c r="BTI13"/>
      <c r="BTJ13"/>
      <c r="BTK13"/>
      <c r="BTL13"/>
      <c r="BTM13"/>
      <c r="BTN13"/>
      <c r="BTO13"/>
      <c r="BTP13"/>
      <c r="BTQ13"/>
      <c r="BTR13"/>
      <c r="BTS13"/>
      <c r="BTT13"/>
      <c r="BTU13"/>
      <c r="BTV13"/>
      <c r="BTW13"/>
      <c r="BTX13"/>
      <c r="BTY13"/>
      <c r="BTZ13"/>
      <c r="BUA13"/>
      <c r="BUB13"/>
      <c r="BUC13"/>
      <c r="BUD13"/>
      <c r="BUE13"/>
      <c r="BUF13"/>
      <c r="BUG13"/>
      <c r="BUH13"/>
      <c r="BUI13"/>
      <c r="BUJ13"/>
      <c r="BUK13"/>
      <c r="BUL13"/>
      <c r="BUM13"/>
      <c r="BUN13"/>
      <c r="BUO13"/>
      <c r="BUP13"/>
      <c r="BUQ13"/>
      <c r="BUR13"/>
      <c r="BUS13"/>
      <c r="BUT13"/>
      <c r="BUU13"/>
      <c r="BUV13"/>
      <c r="BUW13"/>
      <c r="BUX13"/>
      <c r="BUY13"/>
      <c r="BUZ13"/>
      <c r="BVA13"/>
      <c r="BVB13"/>
      <c r="BVC13"/>
      <c r="BVD13"/>
      <c r="BVE13"/>
      <c r="BVF13"/>
      <c r="BVG13"/>
      <c r="BVH13"/>
      <c r="BVI13"/>
      <c r="BVJ13"/>
      <c r="BVK13"/>
      <c r="BVL13"/>
      <c r="BVM13"/>
      <c r="BVN13"/>
      <c r="BVO13"/>
      <c r="BVP13"/>
      <c r="BVQ13"/>
      <c r="BVR13"/>
      <c r="BVS13"/>
      <c r="BVT13"/>
      <c r="BVU13"/>
      <c r="BVV13"/>
      <c r="BVW13"/>
      <c r="BVX13"/>
      <c r="BVY13"/>
      <c r="BVZ13"/>
      <c r="BWA13"/>
      <c r="BWB13"/>
      <c r="BWC13"/>
      <c r="BWD13"/>
      <c r="BWE13"/>
      <c r="BWF13"/>
      <c r="BWG13"/>
      <c r="BWH13"/>
      <c r="BWI13"/>
      <c r="BWJ13"/>
      <c r="BWK13"/>
      <c r="BWL13"/>
      <c r="BWM13"/>
      <c r="BWN13"/>
      <c r="BWO13"/>
      <c r="BWP13"/>
      <c r="BWQ13"/>
      <c r="BWR13"/>
      <c r="BWS13"/>
      <c r="BWT13"/>
      <c r="BWU13"/>
      <c r="BWV13"/>
      <c r="BWW13"/>
      <c r="BWX13"/>
      <c r="BWY13"/>
      <c r="BWZ13"/>
      <c r="BXA13"/>
      <c r="BXB13"/>
      <c r="BXC13"/>
      <c r="BXD13"/>
      <c r="BXE13"/>
      <c r="BXF13"/>
      <c r="BXG13"/>
      <c r="BXH13"/>
      <c r="BXI13"/>
      <c r="BXJ13"/>
      <c r="BXK13"/>
      <c r="BXL13"/>
      <c r="BXM13"/>
      <c r="BXN13"/>
      <c r="BXO13"/>
      <c r="BXP13"/>
      <c r="BXQ13"/>
      <c r="BXR13"/>
      <c r="BXS13"/>
      <c r="BXT13"/>
      <c r="BXU13"/>
      <c r="BXV13"/>
      <c r="BXW13"/>
      <c r="BXX13"/>
      <c r="BXY13"/>
      <c r="BXZ13"/>
      <c r="BYA13"/>
      <c r="BYB13"/>
      <c r="BYC13"/>
      <c r="BYD13"/>
      <c r="BYE13"/>
      <c r="BYF13"/>
      <c r="BYG13"/>
      <c r="BYH13"/>
      <c r="BYI13"/>
      <c r="BYJ13"/>
      <c r="BYK13"/>
      <c r="BYL13"/>
      <c r="BYM13"/>
      <c r="BYN13"/>
      <c r="BYO13"/>
      <c r="BYP13"/>
      <c r="BYQ13"/>
      <c r="BYR13"/>
      <c r="BYS13"/>
      <c r="BYT13"/>
      <c r="BYU13"/>
      <c r="BYV13"/>
      <c r="BYW13"/>
      <c r="BYX13"/>
      <c r="BYY13"/>
      <c r="BYZ13"/>
      <c r="BZA13"/>
      <c r="BZB13"/>
      <c r="BZC13"/>
      <c r="BZD13"/>
      <c r="BZE13"/>
      <c r="BZF13"/>
      <c r="BZG13"/>
      <c r="BZH13"/>
      <c r="BZI13"/>
      <c r="BZJ13"/>
      <c r="BZK13"/>
      <c r="BZL13"/>
      <c r="BZM13"/>
      <c r="BZN13"/>
      <c r="BZO13"/>
      <c r="BZP13"/>
      <c r="BZQ13"/>
      <c r="BZR13"/>
      <c r="BZS13"/>
      <c r="BZT13"/>
      <c r="BZU13"/>
      <c r="BZV13"/>
      <c r="BZW13"/>
      <c r="BZX13"/>
      <c r="BZY13"/>
      <c r="BZZ13"/>
      <c r="CAA13"/>
      <c r="CAB13"/>
      <c r="CAC13"/>
      <c r="CAD13"/>
      <c r="CAE13"/>
      <c r="CAF13"/>
      <c r="CAG13"/>
      <c r="CAH13"/>
      <c r="CAI13"/>
      <c r="CAJ13"/>
      <c r="CAK13"/>
      <c r="CAL13"/>
      <c r="CAM13"/>
      <c r="CAN13"/>
      <c r="CAO13"/>
      <c r="CAP13"/>
      <c r="CAQ13"/>
      <c r="CAR13"/>
      <c r="CAS13"/>
      <c r="CAT13"/>
      <c r="CAU13"/>
      <c r="CAV13"/>
      <c r="CAW13"/>
      <c r="CAX13"/>
      <c r="CAY13"/>
      <c r="CAZ13"/>
      <c r="CBA13"/>
      <c r="CBB13"/>
      <c r="CBC13"/>
      <c r="CBD13"/>
      <c r="CBE13"/>
      <c r="CBF13"/>
      <c r="CBG13"/>
      <c r="CBH13"/>
      <c r="CBI13"/>
      <c r="CBJ13"/>
      <c r="CBK13"/>
      <c r="CBL13"/>
      <c r="CBM13"/>
      <c r="CBN13"/>
      <c r="CBO13"/>
      <c r="CBP13"/>
      <c r="CBQ13"/>
      <c r="CBR13"/>
      <c r="CBS13"/>
      <c r="CBT13"/>
      <c r="CBU13"/>
      <c r="CBV13"/>
      <c r="CBW13"/>
      <c r="CBX13"/>
      <c r="CBY13"/>
      <c r="CBZ13"/>
      <c r="CCA13"/>
      <c r="CCB13"/>
      <c r="CCC13"/>
      <c r="CCD13"/>
      <c r="CCE13"/>
      <c r="CCF13"/>
      <c r="CCG13"/>
      <c r="CCH13"/>
      <c r="CCI13"/>
      <c r="CCJ13"/>
      <c r="CCK13"/>
      <c r="CCL13"/>
      <c r="CCM13"/>
      <c r="CCN13"/>
      <c r="CCO13"/>
      <c r="CCP13"/>
      <c r="CCQ13"/>
      <c r="CCR13"/>
      <c r="CCS13"/>
      <c r="CCT13"/>
      <c r="CCU13"/>
      <c r="CCV13"/>
      <c r="CCW13"/>
      <c r="CCX13"/>
      <c r="CCY13"/>
      <c r="CCZ13"/>
      <c r="CDA13"/>
      <c r="CDB13"/>
      <c r="CDC13"/>
      <c r="CDD13"/>
      <c r="CDE13"/>
      <c r="CDF13"/>
      <c r="CDG13"/>
      <c r="CDH13"/>
      <c r="CDI13"/>
      <c r="CDJ13"/>
      <c r="CDK13"/>
      <c r="CDL13"/>
      <c r="CDM13"/>
      <c r="CDN13"/>
      <c r="CDO13"/>
      <c r="CDP13"/>
      <c r="CDQ13"/>
      <c r="CDR13"/>
      <c r="CDS13"/>
      <c r="CDT13"/>
      <c r="CDU13"/>
      <c r="CDV13"/>
      <c r="CDW13"/>
      <c r="CDX13"/>
      <c r="CDY13"/>
      <c r="CDZ13"/>
      <c r="CEA13"/>
      <c r="CEB13"/>
      <c r="CEC13"/>
      <c r="CED13"/>
      <c r="CEE13"/>
      <c r="CEF13"/>
      <c r="CEG13"/>
      <c r="CEH13"/>
      <c r="CEI13"/>
      <c r="CEJ13"/>
      <c r="CEK13"/>
      <c r="CEL13"/>
      <c r="CEM13"/>
      <c r="CEN13"/>
      <c r="CEO13"/>
      <c r="CEP13"/>
      <c r="CEQ13"/>
      <c r="CER13"/>
      <c r="CES13"/>
      <c r="CET13"/>
      <c r="CEU13"/>
      <c r="CEV13"/>
      <c r="CEW13"/>
      <c r="CEX13"/>
      <c r="CEY13"/>
      <c r="CEZ13"/>
      <c r="CFA13"/>
      <c r="CFB13"/>
      <c r="CFC13"/>
      <c r="CFD13"/>
      <c r="CFE13"/>
      <c r="CFF13"/>
      <c r="CFG13"/>
      <c r="CFH13"/>
      <c r="CFI13"/>
      <c r="CFJ13"/>
      <c r="CFK13"/>
      <c r="CFL13"/>
      <c r="CFM13"/>
      <c r="CFN13"/>
      <c r="CFO13"/>
      <c r="CFP13"/>
      <c r="CFQ13"/>
      <c r="CFR13"/>
      <c r="CFS13"/>
      <c r="CFT13"/>
      <c r="CFU13"/>
      <c r="CFV13"/>
      <c r="CFW13"/>
      <c r="CFX13"/>
      <c r="CFY13"/>
      <c r="CFZ13"/>
      <c r="CGA13"/>
      <c r="CGB13"/>
      <c r="CGC13"/>
      <c r="CGD13"/>
      <c r="CGE13"/>
      <c r="CGF13"/>
      <c r="CGG13"/>
      <c r="CGH13"/>
      <c r="CGI13"/>
      <c r="CGJ13"/>
      <c r="CGK13"/>
      <c r="CGL13"/>
      <c r="CGM13"/>
      <c r="CGN13"/>
      <c r="CGO13"/>
      <c r="CGP13"/>
      <c r="CGQ13"/>
      <c r="CGR13"/>
      <c r="CGS13"/>
      <c r="CGT13"/>
      <c r="CGU13"/>
      <c r="CGV13"/>
      <c r="CGW13"/>
      <c r="CGX13"/>
      <c r="CGY13"/>
      <c r="CGZ13"/>
      <c r="CHA13"/>
      <c r="CHB13"/>
      <c r="CHC13"/>
      <c r="CHD13"/>
      <c r="CHE13"/>
      <c r="CHF13"/>
      <c r="CHG13"/>
      <c r="CHH13"/>
      <c r="CHI13"/>
      <c r="CHJ13"/>
      <c r="CHK13"/>
      <c r="CHL13"/>
      <c r="CHM13"/>
      <c r="CHN13"/>
      <c r="CHO13"/>
      <c r="CHP13"/>
      <c r="CHQ13"/>
      <c r="CHR13"/>
      <c r="CHS13"/>
      <c r="CHT13"/>
      <c r="CHU13"/>
      <c r="CHV13"/>
      <c r="CHW13"/>
      <c r="CHX13"/>
      <c r="CHY13"/>
      <c r="CHZ13"/>
      <c r="CIA13"/>
      <c r="CIB13"/>
      <c r="CIC13"/>
      <c r="CID13"/>
      <c r="CIE13"/>
      <c r="CIF13"/>
      <c r="CIG13"/>
      <c r="CIH13"/>
      <c r="CII13"/>
      <c r="CIJ13"/>
      <c r="CIK13"/>
      <c r="CIL13"/>
      <c r="CIM13"/>
      <c r="CIN13"/>
      <c r="CIO13"/>
      <c r="CIP13"/>
      <c r="CIQ13"/>
      <c r="CIR13"/>
      <c r="CIS13"/>
      <c r="CIT13"/>
      <c r="CIU13"/>
      <c r="CIV13"/>
      <c r="CIW13"/>
      <c r="CIX13"/>
      <c r="CIY13"/>
      <c r="CIZ13"/>
      <c r="CJA13"/>
      <c r="CJB13"/>
      <c r="CJC13"/>
      <c r="CJD13"/>
      <c r="CJE13"/>
      <c r="CJF13"/>
      <c r="CJG13"/>
      <c r="CJH13"/>
      <c r="CJI13"/>
      <c r="CJJ13"/>
      <c r="CJK13"/>
      <c r="CJL13"/>
      <c r="CJM13"/>
      <c r="CJN13"/>
      <c r="CJO13"/>
      <c r="CJP13"/>
      <c r="CJQ13"/>
      <c r="CJR13"/>
      <c r="CJS13"/>
      <c r="CJT13"/>
      <c r="CJU13"/>
      <c r="CJV13"/>
      <c r="CJW13"/>
      <c r="CJX13"/>
      <c r="CJY13"/>
      <c r="CJZ13"/>
      <c r="CKA13"/>
      <c r="CKB13"/>
      <c r="CKC13"/>
      <c r="CKD13"/>
      <c r="CKE13"/>
      <c r="CKF13"/>
      <c r="CKG13"/>
      <c r="CKH13"/>
      <c r="CKI13"/>
      <c r="CKJ13"/>
      <c r="CKK13"/>
      <c r="CKL13"/>
      <c r="CKM13"/>
      <c r="CKN13"/>
      <c r="CKO13"/>
      <c r="CKP13"/>
      <c r="CKQ13"/>
      <c r="CKR13"/>
      <c r="CKS13"/>
      <c r="CKT13"/>
      <c r="CKU13"/>
      <c r="CKV13"/>
      <c r="CKW13"/>
      <c r="CKX13"/>
      <c r="CKY13"/>
      <c r="CKZ13"/>
      <c r="CLA13"/>
      <c r="CLB13"/>
      <c r="CLC13"/>
      <c r="CLD13"/>
      <c r="CLE13"/>
      <c r="CLF13"/>
      <c r="CLG13"/>
      <c r="CLH13"/>
      <c r="CLI13"/>
      <c r="CLJ13"/>
      <c r="CLK13"/>
      <c r="CLL13"/>
      <c r="CLM13"/>
      <c r="CLN13"/>
      <c r="CLO13"/>
      <c r="CLP13"/>
      <c r="CLQ13"/>
      <c r="CLR13"/>
      <c r="CLS13"/>
      <c r="CLT13"/>
      <c r="CLU13"/>
      <c r="CLV13"/>
      <c r="CLW13"/>
      <c r="CLX13"/>
      <c r="CLY13"/>
      <c r="CLZ13"/>
      <c r="CMA13"/>
      <c r="CMB13"/>
      <c r="CMC13"/>
      <c r="CMD13"/>
      <c r="CME13"/>
      <c r="CMF13"/>
      <c r="CMG13"/>
      <c r="CMH13"/>
      <c r="CMI13"/>
      <c r="CMJ13"/>
      <c r="CMK13"/>
      <c r="CML13"/>
      <c r="CMM13"/>
      <c r="CMN13"/>
      <c r="CMO13"/>
      <c r="CMP13"/>
      <c r="CMQ13"/>
      <c r="CMR13"/>
      <c r="CMS13"/>
      <c r="CMT13"/>
      <c r="CMU13"/>
      <c r="CMV13"/>
      <c r="CMW13"/>
      <c r="CMX13"/>
      <c r="CMY13"/>
      <c r="CMZ13"/>
      <c r="CNA13"/>
      <c r="CNB13"/>
      <c r="CNC13"/>
      <c r="CND13"/>
      <c r="CNE13"/>
      <c r="CNF13"/>
      <c r="CNG13"/>
      <c r="CNH13"/>
      <c r="CNI13"/>
      <c r="CNJ13"/>
      <c r="CNK13"/>
      <c r="CNL13"/>
      <c r="CNM13"/>
      <c r="CNN13"/>
      <c r="CNO13"/>
      <c r="CNP13"/>
      <c r="CNQ13"/>
      <c r="CNR13"/>
      <c r="CNS13"/>
      <c r="CNT13"/>
      <c r="CNU13"/>
      <c r="CNV13"/>
      <c r="CNW13"/>
      <c r="CNX13"/>
      <c r="CNY13"/>
      <c r="CNZ13"/>
      <c r="COA13"/>
      <c r="COB13"/>
      <c r="COC13"/>
      <c r="COD13"/>
      <c r="COE13"/>
      <c r="COF13"/>
      <c r="COG13"/>
      <c r="COH13"/>
      <c r="COI13"/>
      <c r="COJ13"/>
      <c r="COK13"/>
      <c r="COL13"/>
      <c r="COM13"/>
      <c r="CON13"/>
      <c r="COO13"/>
      <c r="COP13"/>
      <c r="COQ13"/>
      <c r="COR13"/>
      <c r="COS13"/>
      <c r="COT13"/>
      <c r="COU13"/>
      <c r="COV13"/>
      <c r="COW13"/>
      <c r="COX13"/>
      <c r="COY13"/>
      <c r="COZ13"/>
      <c r="CPA13"/>
      <c r="CPB13"/>
      <c r="CPC13"/>
      <c r="CPD13"/>
      <c r="CPE13"/>
      <c r="CPF13"/>
      <c r="CPG13"/>
      <c r="CPH13"/>
      <c r="CPI13"/>
      <c r="CPJ13"/>
      <c r="CPK13"/>
      <c r="CPL13"/>
      <c r="CPM13"/>
      <c r="CPN13"/>
      <c r="CPO13"/>
      <c r="CPP13"/>
      <c r="CPQ13"/>
      <c r="CPR13"/>
      <c r="CPS13"/>
      <c r="CPT13"/>
      <c r="CPU13"/>
      <c r="CPV13"/>
      <c r="CPW13"/>
      <c r="CPX13"/>
      <c r="CPY13"/>
      <c r="CPZ13"/>
      <c r="CQA13"/>
      <c r="CQB13"/>
      <c r="CQC13"/>
      <c r="CQD13"/>
      <c r="CQE13"/>
      <c r="CQF13"/>
      <c r="CQG13"/>
      <c r="CQH13"/>
      <c r="CQI13"/>
      <c r="CQJ13"/>
      <c r="CQK13"/>
      <c r="CQL13"/>
      <c r="CQM13"/>
      <c r="CQN13"/>
      <c r="CQO13"/>
      <c r="CQP13"/>
      <c r="CQQ13"/>
      <c r="CQR13"/>
      <c r="CQS13"/>
      <c r="CQT13"/>
      <c r="CQU13"/>
      <c r="CQV13"/>
      <c r="CQW13"/>
      <c r="CQX13"/>
      <c r="CQY13"/>
      <c r="CQZ13"/>
      <c r="CRA13"/>
      <c r="CRB13"/>
      <c r="CRC13"/>
      <c r="CRD13"/>
      <c r="CRE13"/>
      <c r="CRF13"/>
    </row>
    <row r="14" spans="1:2502" s="13" customFormat="1" ht="26" x14ac:dyDescent="0.35">
      <c r="A14" s="115"/>
      <c r="B14" s="118"/>
      <c r="C14" s="115"/>
      <c r="D14" s="111"/>
      <c r="E14" s="22" t="s">
        <v>656</v>
      </c>
      <c r="F14" s="4" t="s">
        <v>657</v>
      </c>
      <c r="G14" s="91" t="s">
        <v>32</v>
      </c>
      <c r="H14" s="4"/>
      <c r="I14" s="39" t="s">
        <v>812</v>
      </c>
      <c r="J14" s="40" t="s">
        <v>812</v>
      </c>
      <c r="K14" s="5">
        <v>390</v>
      </c>
      <c r="L14" s="24"/>
      <c r="M14" s="24"/>
      <c r="N14" s="41"/>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c r="BFZ14"/>
      <c r="BGA14"/>
      <c r="BGB14"/>
      <c r="BGC14"/>
      <c r="BGD14"/>
      <c r="BGE14"/>
      <c r="BGF14"/>
      <c r="BGG14"/>
      <c r="BGH14"/>
      <c r="BGI14"/>
      <c r="BGJ14"/>
      <c r="BGK14"/>
      <c r="BGL14"/>
      <c r="BGM14"/>
      <c r="BGN14"/>
      <c r="BGO14"/>
      <c r="BGP14"/>
      <c r="BGQ14"/>
      <c r="BGR14"/>
      <c r="BGS14"/>
      <c r="BGT14"/>
      <c r="BGU14"/>
      <c r="BGV14"/>
      <c r="BGW14"/>
      <c r="BGX14"/>
      <c r="BGY14"/>
      <c r="BGZ14"/>
      <c r="BHA14"/>
      <c r="BHB14"/>
      <c r="BHC14"/>
      <c r="BHD14"/>
      <c r="BHE14"/>
      <c r="BHF14"/>
      <c r="BHG14"/>
      <c r="BHH14"/>
      <c r="BHI14"/>
      <c r="BHJ14"/>
      <c r="BHK14"/>
      <c r="BHL14"/>
      <c r="BHM14"/>
      <c r="BHN14"/>
      <c r="BHO14"/>
      <c r="BHP14"/>
      <c r="BHQ14"/>
      <c r="BHR14"/>
      <c r="BHS14"/>
      <c r="BHT14"/>
      <c r="BHU14"/>
      <c r="BHV14"/>
      <c r="BHW14"/>
      <c r="BHX14"/>
      <c r="BHY14"/>
      <c r="BHZ14"/>
      <c r="BIA14"/>
      <c r="BIB14"/>
      <c r="BIC14"/>
      <c r="BID14"/>
      <c r="BIE14"/>
      <c r="BIF14"/>
      <c r="BIG14"/>
      <c r="BIH14"/>
      <c r="BII14"/>
      <c r="BIJ14"/>
      <c r="BIK14"/>
      <c r="BIL14"/>
      <c r="BIM14"/>
      <c r="BIN14"/>
      <c r="BIO14"/>
      <c r="BIP14"/>
      <c r="BIQ14"/>
      <c r="BIR14"/>
      <c r="BIS14"/>
      <c r="BIT14"/>
      <c r="BIU14"/>
      <c r="BIV14"/>
      <c r="BIW14"/>
      <c r="BIX14"/>
      <c r="BIY14"/>
      <c r="BIZ14"/>
      <c r="BJA14"/>
      <c r="BJB14"/>
      <c r="BJC14"/>
      <c r="BJD14"/>
      <c r="BJE14"/>
      <c r="BJF14"/>
      <c r="BJG14"/>
      <c r="BJH14"/>
      <c r="BJI14"/>
      <c r="BJJ14"/>
      <c r="BJK14"/>
      <c r="BJL14"/>
      <c r="BJM14"/>
      <c r="BJN14"/>
      <c r="BJO14"/>
      <c r="BJP14"/>
      <c r="BJQ14"/>
      <c r="BJR14"/>
      <c r="BJS14"/>
      <c r="BJT14"/>
      <c r="BJU14"/>
      <c r="BJV14"/>
      <c r="BJW14"/>
      <c r="BJX14"/>
      <c r="BJY14"/>
      <c r="BJZ14"/>
      <c r="BKA14"/>
      <c r="BKB14"/>
      <c r="BKC14"/>
      <c r="BKD14"/>
      <c r="BKE14"/>
      <c r="BKF14"/>
      <c r="BKG14"/>
      <c r="BKH14"/>
      <c r="BKI14"/>
      <c r="BKJ14"/>
      <c r="BKK14"/>
      <c r="BKL14"/>
      <c r="BKM14"/>
      <c r="BKN14"/>
      <c r="BKO14"/>
      <c r="BKP14"/>
      <c r="BKQ14"/>
      <c r="BKR14"/>
      <c r="BKS14"/>
      <c r="BKT14"/>
      <c r="BKU14"/>
      <c r="BKV14"/>
      <c r="BKW14"/>
      <c r="BKX14"/>
      <c r="BKY14"/>
      <c r="BKZ14"/>
      <c r="BLA14"/>
      <c r="BLB14"/>
      <c r="BLC14"/>
      <c r="BLD14"/>
      <c r="BLE14"/>
      <c r="BLF14"/>
      <c r="BLG14"/>
      <c r="BLH14"/>
      <c r="BLI14"/>
      <c r="BLJ14"/>
      <c r="BLK14"/>
      <c r="BLL14"/>
      <c r="BLM14"/>
      <c r="BLN14"/>
      <c r="BLO14"/>
      <c r="BLP14"/>
      <c r="BLQ14"/>
      <c r="BLR14"/>
      <c r="BLS14"/>
      <c r="BLT14"/>
      <c r="BLU14"/>
      <c r="BLV14"/>
      <c r="BLW14"/>
      <c r="BLX14"/>
      <c r="BLY14"/>
      <c r="BLZ14"/>
      <c r="BMA14"/>
      <c r="BMB14"/>
      <c r="BMC14"/>
      <c r="BMD14"/>
      <c r="BME14"/>
      <c r="BMF14"/>
      <c r="BMG14"/>
      <c r="BMH14"/>
      <c r="BMI14"/>
      <c r="BMJ14"/>
      <c r="BMK14"/>
      <c r="BML14"/>
      <c r="BMM14"/>
      <c r="BMN14"/>
      <c r="BMO14"/>
      <c r="BMP14"/>
      <c r="BMQ14"/>
      <c r="BMR14"/>
      <c r="BMS14"/>
      <c r="BMT14"/>
      <c r="BMU14"/>
      <c r="BMV14"/>
      <c r="BMW14"/>
      <c r="BMX14"/>
      <c r="BMY14"/>
      <c r="BMZ14"/>
      <c r="BNA14"/>
      <c r="BNB14"/>
      <c r="BNC14"/>
      <c r="BND14"/>
      <c r="BNE14"/>
      <c r="BNF14"/>
      <c r="BNG14"/>
      <c r="BNH14"/>
      <c r="BNI14"/>
      <c r="BNJ14"/>
      <c r="BNK14"/>
      <c r="BNL14"/>
      <c r="BNM14"/>
      <c r="BNN14"/>
      <c r="BNO14"/>
      <c r="BNP14"/>
      <c r="BNQ14"/>
      <c r="BNR14"/>
      <c r="BNS14"/>
      <c r="BNT14"/>
      <c r="BNU14"/>
      <c r="BNV14"/>
      <c r="BNW14"/>
      <c r="BNX14"/>
      <c r="BNY14"/>
      <c r="BNZ14"/>
      <c r="BOA14"/>
      <c r="BOB14"/>
      <c r="BOC14"/>
      <c r="BOD14"/>
      <c r="BOE14"/>
      <c r="BOF14"/>
      <c r="BOG14"/>
      <c r="BOH14"/>
      <c r="BOI14"/>
      <c r="BOJ14"/>
      <c r="BOK14"/>
      <c r="BOL14"/>
      <c r="BOM14"/>
      <c r="BON14"/>
      <c r="BOO14"/>
      <c r="BOP14"/>
      <c r="BOQ14"/>
      <c r="BOR14"/>
      <c r="BOS14"/>
      <c r="BOT14"/>
      <c r="BOU14"/>
      <c r="BOV14"/>
      <c r="BOW14"/>
      <c r="BOX14"/>
      <c r="BOY14"/>
      <c r="BOZ14"/>
      <c r="BPA14"/>
      <c r="BPB14"/>
      <c r="BPC14"/>
      <c r="BPD14"/>
      <c r="BPE14"/>
      <c r="BPF14"/>
      <c r="BPG14"/>
      <c r="BPH14"/>
      <c r="BPI14"/>
      <c r="BPJ14"/>
      <c r="BPK14"/>
      <c r="BPL14"/>
      <c r="BPM14"/>
      <c r="BPN14"/>
      <c r="BPO14"/>
      <c r="BPP14"/>
      <c r="BPQ14"/>
      <c r="BPR14"/>
      <c r="BPS14"/>
      <c r="BPT14"/>
      <c r="BPU14"/>
      <c r="BPV14"/>
      <c r="BPW14"/>
      <c r="BPX14"/>
      <c r="BPY14"/>
      <c r="BPZ14"/>
      <c r="BQA14"/>
      <c r="BQB14"/>
      <c r="BQC14"/>
      <c r="BQD14"/>
      <c r="BQE14"/>
      <c r="BQF14"/>
      <c r="BQG14"/>
      <c r="BQH14"/>
      <c r="BQI14"/>
      <c r="BQJ14"/>
      <c r="BQK14"/>
      <c r="BQL14"/>
      <c r="BQM14"/>
      <c r="BQN14"/>
      <c r="BQO14"/>
      <c r="BQP14"/>
      <c r="BQQ14"/>
      <c r="BQR14"/>
      <c r="BQS14"/>
      <c r="BQT14"/>
      <c r="BQU14"/>
      <c r="BQV14"/>
      <c r="BQW14"/>
      <c r="BQX14"/>
      <c r="BQY14"/>
      <c r="BQZ14"/>
      <c r="BRA14"/>
      <c r="BRB14"/>
      <c r="BRC14"/>
      <c r="BRD14"/>
      <c r="BRE14"/>
      <c r="BRF14"/>
      <c r="BRG14"/>
      <c r="BRH14"/>
      <c r="BRI14"/>
      <c r="BRJ14"/>
      <c r="BRK14"/>
      <c r="BRL14"/>
      <c r="BRM14"/>
      <c r="BRN14"/>
      <c r="BRO14"/>
      <c r="BRP14"/>
      <c r="BRQ14"/>
      <c r="BRR14"/>
      <c r="BRS14"/>
      <c r="BRT14"/>
      <c r="BRU14"/>
      <c r="BRV14"/>
      <c r="BRW14"/>
      <c r="BRX14"/>
      <c r="BRY14"/>
      <c r="BRZ14"/>
      <c r="BSA14"/>
      <c r="BSB14"/>
      <c r="BSC14"/>
      <c r="BSD14"/>
      <c r="BSE14"/>
      <c r="BSF14"/>
      <c r="BSG14"/>
      <c r="BSH14"/>
      <c r="BSI14"/>
      <c r="BSJ14"/>
      <c r="BSK14"/>
      <c r="BSL14"/>
      <c r="BSM14"/>
      <c r="BSN14"/>
      <c r="BSO14"/>
      <c r="BSP14"/>
      <c r="BSQ14"/>
      <c r="BSR14"/>
      <c r="BSS14"/>
      <c r="BST14"/>
      <c r="BSU14"/>
      <c r="BSV14"/>
      <c r="BSW14"/>
      <c r="BSX14"/>
      <c r="BSY14"/>
      <c r="BSZ14"/>
      <c r="BTA14"/>
      <c r="BTB14"/>
      <c r="BTC14"/>
      <c r="BTD14"/>
      <c r="BTE14"/>
      <c r="BTF14"/>
      <c r="BTG14"/>
      <c r="BTH14"/>
      <c r="BTI14"/>
      <c r="BTJ14"/>
      <c r="BTK14"/>
      <c r="BTL14"/>
      <c r="BTM14"/>
      <c r="BTN14"/>
      <c r="BTO14"/>
      <c r="BTP14"/>
      <c r="BTQ14"/>
      <c r="BTR14"/>
      <c r="BTS14"/>
      <c r="BTT14"/>
      <c r="BTU14"/>
      <c r="BTV14"/>
      <c r="BTW14"/>
      <c r="BTX14"/>
      <c r="BTY14"/>
      <c r="BTZ14"/>
      <c r="BUA14"/>
      <c r="BUB14"/>
      <c r="BUC14"/>
      <c r="BUD14"/>
      <c r="BUE14"/>
      <c r="BUF14"/>
      <c r="BUG14"/>
      <c r="BUH14"/>
      <c r="BUI14"/>
      <c r="BUJ14"/>
      <c r="BUK14"/>
      <c r="BUL14"/>
      <c r="BUM14"/>
      <c r="BUN14"/>
      <c r="BUO14"/>
      <c r="BUP14"/>
      <c r="BUQ14"/>
      <c r="BUR14"/>
      <c r="BUS14"/>
      <c r="BUT14"/>
      <c r="BUU14"/>
      <c r="BUV14"/>
      <c r="BUW14"/>
      <c r="BUX14"/>
      <c r="BUY14"/>
      <c r="BUZ14"/>
      <c r="BVA14"/>
      <c r="BVB14"/>
      <c r="BVC14"/>
      <c r="BVD14"/>
      <c r="BVE14"/>
      <c r="BVF14"/>
      <c r="BVG14"/>
      <c r="BVH14"/>
      <c r="BVI14"/>
      <c r="BVJ14"/>
      <c r="BVK14"/>
      <c r="BVL14"/>
      <c r="BVM14"/>
      <c r="BVN14"/>
      <c r="BVO14"/>
      <c r="BVP14"/>
      <c r="BVQ14"/>
      <c r="BVR14"/>
      <c r="BVS14"/>
      <c r="BVT14"/>
      <c r="BVU14"/>
      <c r="BVV14"/>
      <c r="BVW14"/>
      <c r="BVX14"/>
      <c r="BVY14"/>
      <c r="BVZ14"/>
      <c r="BWA14"/>
      <c r="BWB14"/>
      <c r="BWC14"/>
      <c r="BWD14"/>
      <c r="BWE14"/>
      <c r="BWF14"/>
      <c r="BWG14"/>
      <c r="BWH14"/>
      <c r="BWI14"/>
      <c r="BWJ14"/>
      <c r="BWK14"/>
      <c r="BWL14"/>
      <c r="BWM14"/>
      <c r="BWN14"/>
      <c r="BWO14"/>
      <c r="BWP14"/>
      <c r="BWQ14"/>
      <c r="BWR14"/>
      <c r="BWS14"/>
      <c r="BWT14"/>
      <c r="BWU14"/>
      <c r="BWV14"/>
      <c r="BWW14"/>
      <c r="BWX14"/>
      <c r="BWY14"/>
      <c r="BWZ14"/>
      <c r="BXA14"/>
      <c r="BXB14"/>
      <c r="BXC14"/>
      <c r="BXD14"/>
      <c r="BXE14"/>
      <c r="BXF14"/>
      <c r="BXG14"/>
      <c r="BXH14"/>
      <c r="BXI14"/>
      <c r="BXJ14"/>
      <c r="BXK14"/>
      <c r="BXL14"/>
      <c r="BXM14"/>
      <c r="BXN14"/>
      <c r="BXO14"/>
      <c r="BXP14"/>
      <c r="BXQ14"/>
      <c r="BXR14"/>
      <c r="BXS14"/>
      <c r="BXT14"/>
      <c r="BXU14"/>
      <c r="BXV14"/>
      <c r="BXW14"/>
      <c r="BXX14"/>
      <c r="BXY14"/>
      <c r="BXZ14"/>
      <c r="BYA14"/>
      <c r="BYB14"/>
      <c r="BYC14"/>
      <c r="BYD14"/>
      <c r="BYE14"/>
      <c r="BYF14"/>
      <c r="BYG14"/>
      <c r="BYH14"/>
      <c r="BYI14"/>
      <c r="BYJ14"/>
      <c r="BYK14"/>
      <c r="BYL14"/>
      <c r="BYM14"/>
      <c r="BYN14"/>
      <c r="BYO14"/>
      <c r="BYP14"/>
      <c r="BYQ14"/>
      <c r="BYR14"/>
      <c r="BYS14"/>
      <c r="BYT14"/>
      <c r="BYU14"/>
      <c r="BYV14"/>
      <c r="BYW14"/>
      <c r="BYX14"/>
      <c r="BYY14"/>
      <c r="BYZ14"/>
      <c r="BZA14"/>
      <c r="BZB14"/>
      <c r="BZC14"/>
      <c r="BZD14"/>
      <c r="BZE14"/>
      <c r="BZF14"/>
      <c r="BZG14"/>
      <c r="BZH14"/>
      <c r="BZI14"/>
      <c r="BZJ14"/>
      <c r="BZK14"/>
      <c r="BZL14"/>
      <c r="BZM14"/>
      <c r="BZN14"/>
      <c r="BZO14"/>
      <c r="BZP14"/>
      <c r="BZQ14"/>
      <c r="BZR14"/>
      <c r="BZS14"/>
      <c r="BZT14"/>
      <c r="BZU14"/>
      <c r="BZV14"/>
      <c r="BZW14"/>
      <c r="BZX14"/>
      <c r="BZY14"/>
      <c r="BZZ14"/>
      <c r="CAA14"/>
      <c r="CAB14"/>
      <c r="CAC14"/>
      <c r="CAD14"/>
      <c r="CAE14"/>
      <c r="CAF14"/>
      <c r="CAG14"/>
      <c r="CAH14"/>
      <c r="CAI14"/>
      <c r="CAJ14"/>
      <c r="CAK14"/>
      <c r="CAL14"/>
      <c r="CAM14"/>
      <c r="CAN14"/>
      <c r="CAO14"/>
      <c r="CAP14"/>
      <c r="CAQ14"/>
      <c r="CAR14"/>
      <c r="CAS14"/>
      <c r="CAT14"/>
      <c r="CAU14"/>
      <c r="CAV14"/>
      <c r="CAW14"/>
      <c r="CAX14"/>
      <c r="CAY14"/>
      <c r="CAZ14"/>
      <c r="CBA14"/>
      <c r="CBB14"/>
      <c r="CBC14"/>
      <c r="CBD14"/>
      <c r="CBE14"/>
      <c r="CBF14"/>
      <c r="CBG14"/>
      <c r="CBH14"/>
      <c r="CBI14"/>
      <c r="CBJ14"/>
      <c r="CBK14"/>
      <c r="CBL14"/>
      <c r="CBM14"/>
      <c r="CBN14"/>
      <c r="CBO14"/>
      <c r="CBP14"/>
      <c r="CBQ14"/>
      <c r="CBR14"/>
      <c r="CBS14"/>
      <c r="CBT14"/>
      <c r="CBU14"/>
      <c r="CBV14"/>
      <c r="CBW14"/>
      <c r="CBX14"/>
      <c r="CBY14"/>
      <c r="CBZ14"/>
      <c r="CCA14"/>
      <c r="CCB14"/>
      <c r="CCC14"/>
      <c r="CCD14"/>
      <c r="CCE14"/>
      <c r="CCF14"/>
      <c r="CCG14"/>
      <c r="CCH14"/>
      <c r="CCI14"/>
      <c r="CCJ14"/>
      <c r="CCK14"/>
      <c r="CCL14"/>
      <c r="CCM14"/>
      <c r="CCN14"/>
      <c r="CCO14"/>
      <c r="CCP14"/>
      <c r="CCQ14"/>
      <c r="CCR14"/>
      <c r="CCS14"/>
      <c r="CCT14"/>
      <c r="CCU14"/>
      <c r="CCV14"/>
      <c r="CCW14"/>
      <c r="CCX14"/>
      <c r="CCY14"/>
      <c r="CCZ14"/>
      <c r="CDA14"/>
      <c r="CDB14"/>
      <c r="CDC14"/>
      <c r="CDD14"/>
      <c r="CDE14"/>
      <c r="CDF14"/>
      <c r="CDG14"/>
      <c r="CDH14"/>
      <c r="CDI14"/>
      <c r="CDJ14"/>
      <c r="CDK14"/>
      <c r="CDL14"/>
      <c r="CDM14"/>
      <c r="CDN14"/>
      <c r="CDO14"/>
      <c r="CDP14"/>
      <c r="CDQ14"/>
      <c r="CDR14"/>
      <c r="CDS14"/>
      <c r="CDT14"/>
      <c r="CDU14"/>
      <c r="CDV14"/>
      <c r="CDW14"/>
      <c r="CDX14"/>
      <c r="CDY14"/>
      <c r="CDZ14"/>
      <c r="CEA14"/>
      <c r="CEB14"/>
      <c r="CEC14"/>
      <c r="CED14"/>
      <c r="CEE14"/>
      <c r="CEF14"/>
      <c r="CEG14"/>
      <c r="CEH14"/>
      <c r="CEI14"/>
      <c r="CEJ14"/>
      <c r="CEK14"/>
      <c r="CEL14"/>
      <c r="CEM14"/>
      <c r="CEN14"/>
      <c r="CEO14"/>
      <c r="CEP14"/>
      <c r="CEQ14"/>
      <c r="CER14"/>
      <c r="CES14"/>
      <c r="CET14"/>
      <c r="CEU14"/>
      <c r="CEV14"/>
      <c r="CEW14"/>
      <c r="CEX14"/>
      <c r="CEY14"/>
      <c r="CEZ14"/>
      <c r="CFA14"/>
      <c r="CFB14"/>
      <c r="CFC14"/>
      <c r="CFD14"/>
      <c r="CFE14"/>
      <c r="CFF14"/>
      <c r="CFG14"/>
      <c r="CFH14"/>
      <c r="CFI14"/>
      <c r="CFJ14"/>
      <c r="CFK14"/>
      <c r="CFL14"/>
      <c r="CFM14"/>
      <c r="CFN14"/>
      <c r="CFO14"/>
      <c r="CFP14"/>
      <c r="CFQ14"/>
      <c r="CFR14"/>
      <c r="CFS14"/>
      <c r="CFT14"/>
      <c r="CFU14"/>
      <c r="CFV14"/>
      <c r="CFW14"/>
      <c r="CFX14"/>
      <c r="CFY14"/>
      <c r="CFZ14"/>
      <c r="CGA14"/>
      <c r="CGB14"/>
      <c r="CGC14"/>
      <c r="CGD14"/>
      <c r="CGE14"/>
      <c r="CGF14"/>
      <c r="CGG14"/>
      <c r="CGH14"/>
      <c r="CGI14"/>
      <c r="CGJ14"/>
      <c r="CGK14"/>
      <c r="CGL14"/>
      <c r="CGM14"/>
      <c r="CGN14"/>
      <c r="CGO14"/>
      <c r="CGP14"/>
      <c r="CGQ14"/>
      <c r="CGR14"/>
      <c r="CGS14"/>
      <c r="CGT14"/>
      <c r="CGU14"/>
      <c r="CGV14"/>
      <c r="CGW14"/>
      <c r="CGX14"/>
      <c r="CGY14"/>
      <c r="CGZ14"/>
      <c r="CHA14"/>
      <c r="CHB14"/>
      <c r="CHC14"/>
      <c r="CHD14"/>
      <c r="CHE14"/>
      <c r="CHF14"/>
      <c r="CHG14"/>
      <c r="CHH14"/>
      <c r="CHI14"/>
      <c r="CHJ14"/>
      <c r="CHK14"/>
      <c r="CHL14"/>
      <c r="CHM14"/>
      <c r="CHN14"/>
      <c r="CHO14"/>
      <c r="CHP14"/>
      <c r="CHQ14"/>
      <c r="CHR14"/>
      <c r="CHS14"/>
      <c r="CHT14"/>
      <c r="CHU14"/>
      <c r="CHV14"/>
      <c r="CHW14"/>
      <c r="CHX14"/>
      <c r="CHY14"/>
      <c r="CHZ14"/>
      <c r="CIA14"/>
      <c r="CIB14"/>
      <c r="CIC14"/>
      <c r="CID14"/>
      <c r="CIE14"/>
      <c r="CIF14"/>
      <c r="CIG14"/>
      <c r="CIH14"/>
      <c r="CII14"/>
      <c r="CIJ14"/>
      <c r="CIK14"/>
      <c r="CIL14"/>
      <c r="CIM14"/>
      <c r="CIN14"/>
      <c r="CIO14"/>
      <c r="CIP14"/>
      <c r="CIQ14"/>
      <c r="CIR14"/>
      <c r="CIS14"/>
      <c r="CIT14"/>
      <c r="CIU14"/>
      <c r="CIV14"/>
      <c r="CIW14"/>
      <c r="CIX14"/>
      <c r="CIY14"/>
      <c r="CIZ14"/>
      <c r="CJA14"/>
      <c r="CJB14"/>
      <c r="CJC14"/>
      <c r="CJD14"/>
      <c r="CJE14"/>
      <c r="CJF14"/>
      <c r="CJG14"/>
      <c r="CJH14"/>
      <c r="CJI14"/>
      <c r="CJJ14"/>
      <c r="CJK14"/>
      <c r="CJL14"/>
      <c r="CJM14"/>
      <c r="CJN14"/>
      <c r="CJO14"/>
      <c r="CJP14"/>
      <c r="CJQ14"/>
      <c r="CJR14"/>
      <c r="CJS14"/>
      <c r="CJT14"/>
      <c r="CJU14"/>
      <c r="CJV14"/>
      <c r="CJW14"/>
      <c r="CJX14"/>
      <c r="CJY14"/>
      <c r="CJZ14"/>
      <c r="CKA14"/>
      <c r="CKB14"/>
      <c r="CKC14"/>
      <c r="CKD14"/>
      <c r="CKE14"/>
      <c r="CKF14"/>
      <c r="CKG14"/>
      <c r="CKH14"/>
      <c r="CKI14"/>
      <c r="CKJ14"/>
      <c r="CKK14"/>
      <c r="CKL14"/>
      <c r="CKM14"/>
      <c r="CKN14"/>
      <c r="CKO14"/>
      <c r="CKP14"/>
      <c r="CKQ14"/>
      <c r="CKR14"/>
      <c r="CKS14"/>
      <c r="CKT14"/>
      <c r="CKU14"/>
      <c r="CKV14"/>
      <c r="CKW14"/>
      <c r="CKX14"/>
      <c r="CKY14"/>
      <c r="CKZ14"/>
      <c r="CLA14"/>
      <c r="CLB14"/>
      <c r="CLC14"/>
      <c r="CLD14"/>
      <c r="CLE14"/>
      <c r="CLF14"/>
      <c r="CLG14"/>
      <c r="CLH14"/>
      <c r="CLI14"/>
      <c r="CLJ14"/>
      <c r="CLK14"/>
      <c r="CLL14"/>
      <c r="CLM14"/>
      <c r="CLN14"/>
      <c r="CLO14"/>
      <c r="CLP14"/>
      <c r="CLQ14"/>
      <c r="CLR14"/>
      <c r="CLS14"/>
      <c r="CLT14"/>
      <c r="CLU14"/>
      <c r="CLV14"/>
      <c r="CLW14"/>
      <c r="CLX14"/>
      <c r="CLY14"/>
      <c r="CLZ14"/>
      <c r="CMA14"/>
      <c r="CMB14"/>
      <c r="CMC14"/>
      <c r="CMD14"/>
      <c r="CME14"/>
      <c r="CMF14"/>
      <c r="CMG14"/>
      <c r="CMH14"/>
      <c r="CMI14"/>
      <c r="CMJ14"/>
      <c r="CMK14"/>
      <c r="CML14"/>
      <c r="CMM14"/>
      <c r="CMN14"/>
      <c r="CMO14"/>
      <c r="CMP14"/>
      <c r="CMQ14"/>
      <c r="CMR14"/>
      <c r="CMS14"/>
      <c r="CMT14"/>
      <c r="CMU14"/>
      <c r="CMV14"/>
      <c r="CMW14"/>
      <c r="CMX14"/>
      <c r="CMY14"/>
      <c r="CMZ14"/>
      <c r="CNA14"/>
      <c r="CNB14"/>
      <c r="CNC14"/>
      <c r="CND14"/>
      <c r="CNE14"/>
      <c r="CNF14"/>
      <c r="CNG14"/>
      <c r="CNH14"/>
      <c r="CNI14"/>
      <c r="CNJ14"/>
      <c r="CNK14"/>
      <c r="CNL14"/>
      <c r="CNM14"/>
      <c r="CNN14"/>
      <c r="CNO14"/>
      <c r="CNP14"/>
      <c r="CNQ14"/>
      <c r="CNR14"/>
      <c r="CNS14"/>
      <c r="CNT14"/>
      <c r="CNU14"/>
      <c r="CNV14"/>
      <c r="CNW14"/>
      <c r="CNX14"/>
      <c r="CNY14"/>
      <c r="CNZ14"/>
      <c r="COA14"/>
      <c r="COB14"/>
      <c r="COC14"/>
      <c r="COD14"/>
      <c r="COE14"/>
      <c r="COF14"/>
      <c r="COG14"/>
      <c r="COH14"/>
      <c r="COI14"/>
      <c r="COJ14"/>
      <c r="COK14"/>
      <c r="COL14"/>
      <c r="COM14"/>
      <c r="CON14"/>
      <c r="COO14"/>
      <c r="COP14"/>
      <c r="COQ14"/>
      <c r="COR14"/>
      <c r="COS14"/>
      <c r="COT14"/>
      <c r="COU14"/>
      <c r="COV14"/>
      <c r="COW14"/>
      <c r="COX14"/>
      <c r="COY14"/>
      <c r="COZ14"/>
      <c r="CPA14"/>
      <c r="CPB14"/>
      <c r="CPC14"/>
      <c r="CPD14"/>
      <c r="CPE14"/>
      <c r="CPF14"/>
      <c r="CPG14"/>
      <c r="CPH14"/>
      <c r="CPI14"/>
      <c r="CPJ14"/>
      <c r="CPK14"/>
      <c r="CPL14"/>
      <c r="CPM14"/>
      <c r="CPN14"/>
      <c r="CPO14"/>
      <c r="CPP14"/>
      <c r="CPQ14"/>
      <c r="CPR14"/>
      <c r="CPS14"/>
      <c r="CPT14"/>
      <c r="CPU14"/>
      <c r="CPV14"/>
      <c r="CPW14"/>
      <c r="CPX14"/>
      <c r="CPY14"/>
      <c r="CPZ14"/>
      <c r="CQA14"/>
      <c r="CQB14"/>
      <c r="CQC14"/>
      <c r="CQD14"/>
      <c r="CQE14"/>
      <c r="CQF14"/>
      <c r="CQG14"/>
      <c r="CQH14"/>
      <c r="CQI14"/>
      <c r="CQJ14"/>
      <c r="CQK14"/>
      <c r="CQL14"/>
      <c r="CQM14"/>
      <c r="CQN14"/>
      <c r="CQO14"/>
      <c r="CQP14"/>
      <c r="CQQ14"/>
      <c r="CQR14"/>
      <c r="CQS14"/>
      <c r="CQT14"/>
      <c r="CQU14"/>
      <c r="CQV14"/>
      <c r="CQW14"/>
      <c r="CQX14"/>
      <c r="CQY14"/>
      <c r="CQZ14"/>
      <c r="CRA14"/>
      <c r="CRB14"/>
      <c r="CRC14"/>
      <c r="CRD14"/>
      <c r="CRE14"/>
      <c r="CRF14"/>
    </row>
    <row r="15" spans="1:2502" s="13" customFormat="1" x14ac:dyDescent="0.35">
      <c r="B15" s="25"/>
      <c r="E15" s="26"/>
      <c r="N15" s="42"/>
    </row>
    <row r="16" spans="1:2502" s="13" customFormat="1" x14ac:dyDescent="0.35">
      <c r="B16" s="25"/>
      <c r="E16" s="26"/>
      <c r="N16" s="42"/>
    </row>
    <row r="17" spans="2:14" s="13" customFormat="1" x14ac:dyDescent="0.35">
      <c r="B17" s="25"/>
      <c r="E17" s="26"/>
      <c r="N17" s="42"/>
    </row>
    <row r="18" spans="2:14" s="13" customFormat="1" x14ac:dyDescent="0.35">
      <c r="B18" s="25"/>
      <c r="E18" s="26"/>
      <c r="N18" s="42"/>
    </row>
    <row r="19" spans="2:14" s="13" customFormat="1" x14ac:dyDescent="0.35">
      <c r="B19" s="25"/>
      <c r="E19" s="26"/>
      <c r="N19" s="42"/>
    </row>
    <row r="20" spans="2:14" s="13" customFormat="1" x14ac:dyDescent="0.35">
      <c r="B20" s="25"/>
      <c r="E20" s="26"/>
      <c r="N20" s="42"/>
    </row>
    <row r="21" spans="2:14" s="13" customFormat="1" x14ac:dyDescent="0.35">
      <c r="B21" s="25"/>
      <c r="E21" s="26"/>
      <c r="N21" s="42"/>
    </row>
    <row r="22" spans="2:14" s="13" customFormat="1" x14ac:dyDescent="0.35">
      <c r="B22" s="25"/>
      <c r="E22" s="26"/>
      <c r="N22" s="42"/>
    </row>
    <row r="23" spans="2:14" s="13" customFormat="1" x14ac:dyDescent="0.35">
      <c r="B23" s="25"/>
      <c r="E23" s="26"/>
      <c r="N23" s="42"/>
    </row>
    <row r="24" spans="2:14" s="13" customFormat="1" x14ac:dyDescent="0.35">
      <c r="B24" s="25"/>
      <c r="E24" s="26"/>
      <c r="N24" s="42"/>
    </row>
    <row r="25" spans="2:14" s="13" customFormat="1" x14ac:dyDescent="0.35">
      <c r="B25" s="25"/>
      <c r="E25" s="26"/>
      <c r="N25" s="42"/>
    </row>
    <row r="26" spans="2:14" s="13" customFormat="1" x14ac:dyDescent="0.35">
      <c r="B26" s="25"/>
      <c r="E26" s="26"/>
      <c r="N26" s="42"/>
    </row>
    <row r="27" spans="2:14" s="13" customFormat="1" x14ac:dyDescent="0.35">
      <c r="B27" s="25"/>
      <c r="E27" s="26"/>
      <c r="N27" s="42"/>
    </row>
    <row r="28" spans="2:14" s="13" customFormat="1" x14ac:dyDescent="0.35">
      <c r="B28" s="25"/>
      <c r="E28" s="26"/>
      <c r="N28" s="42"/>
    </row>
    <row r="29" spans="2:14" s="13" customFormat="1" x14ac:dyDescent="0.35">
      <c r="B29" s="25"/>
      <c r="E29" s="26"/>
      <c r="N29" s="42"/>
    </row>
    <row r="30" spans="2:14" s="13" customFormat="1" x14ac:dyDescent="0.35">
      <c r="B30" s="25"/>
      <c r="E30" s="26"/>
      <c r="N30" s="42"/>
    </row>
    <row r="31" spans="2:14" s="13" customFormat="1" x14ac:dyDescent="0.35">
      <c r="B31" s="25"/>
      <c r="E31" s="26"/>
      <c r="N31" s="42"/>
    </row>
    <row r="32" spans="2:14" s="13" customFormat="1" x14ac:dyDescent="0.35">
      <c r="B32" s="25"/>
      <c r="E32" s="26"/>
      <c r="N32" s="42"/>
    </row>
    <row r="33" spans="2:14" s="13" customFormat="1" x14ac:dyDescent="0.35">
      <c r="B33" s="25"/>
      <c r="E33" s="26"/>
      <c r="N33" s="42"/>
    </row>
    <row r="34" spans="2:14" s="13" customFormat="1" x14ac:dyDescent="0.35">
      <c r="B34" s="25"/>
      <c r="E34" s="26"/>
      <c r="N34" s="42"/>
    </row>
    <row r="35" spans="2:14" s="13" customFormat="1" x14ac:dyDescent="0.35">
      <c r="B35" s="25"/>
      <c r="E35" s="26"/>
      <c r="N35" s="42"/>
    </row>
    <row r="36" spans="2:14" s="13" customFormat="1" x14ac:dyDescent="0.35">
      <c r="B36" s="25"/>
      <c r="E36" s="26"/>
      <c r="N36" s="42"/>
    </row>
    <row r="37" spans="2:14" s="13" customFormat="1" x14ac:dyDescent="0.35">
      <c r="B37" s="25"/>
      <c r="E37" s="26"/>
      <c r="N37" s="42"/>
    </row>
    <row r="38" spans="2:14" s="13" customFormat="1" x14ac:dyDescent="0.35">
      <c r="B38" s="25"/>
      <c r="E38" s="26"/>
      <c r="N38" s="42"/>
    </row>
    <row r="39" spans="2:14" s="13" customFormat="1" x14ac:dyDescent="0.35">
      <c r="B39" s="25"/>
      <c r="E39" s="26"/>
      <c r="N39" s="42"/>
    </row>
    <row r="40" spans="2:14" s="13" customFormat="1" x14ac:dyDescent="0.35">
      <c r="B40" s="25"/>
      <c r="E40" s="26"/>
      <c r="N40" s="42"/>
    </row>
    <row r="41" spans="2:14" s="13" customFormat="1" x14ac:dyDescent="0.35">
      <c r="B41" s="25"/>
      <c r="E41" s="26"/>
      <c r="N41" s="42"/>
    </row>
    <row r="42" spans="2:14" s="13" customFormat="1" x14ac:dyDescent="0.35">
      <c r="B42" s="25"/>
      <c r="E42" s="26"/>
      <c r="N42" s="42"/>
    </row>
    <row r="43" spans="2:14" s="13" customFormat="1" x14ac:dyDescent="0.35">
      <c r="B43" s="25"/>
      <c r="E43" s="26"/>
      <c r="N43" s="42"/>
    </row>
    <row r="44" spans="2:14" s="13" customFormat="1" x14ac:dyDescent="0.35">
      <c r="B44" s="25"/>
      <c r="E44" s="26"/>
      <c r="N44" s="42"/>
    </row>
    <row r="45" spans="2:14" s="13" customFormat="1" x14ac:dyDescent="0.35">
      <c r="B45" s="25"/>
      <c r="E45" s="26"/>
      <c r="N45" s="42"/>
    </row>
    <row r="46" spans="2:14" s="13" customFormat="1" x14ac:dyDescent="0.35">
      <c r="B46" s="25"/>
      <c r="E46" s="26"/>
      <c r="N46" s="42"/>
    </row>
    <row r="47" spans="2:14" s="13" customFormat="1" x14ac:dyDescent="0.35">
      <c r="B47" s="25"/>
      <c r="E47" s="26"/>
      <c r="N47" s="42"/>
    </row>
    <row r="48" spans="2:14" s="13" customFormat="1" x14ac:dyDescent="0.35">
      <c r="B48" s="25"/>
      <c r="E48" s="26"/>
      <c r="N48" s="42"/>
    </row>
    <row r="49" spans="2:14" s="13" customFormat="1" x14ac:dyDescent="0.35">
      <c r="B49" s="25"/>
      <c r="E49" s="26"/>
      <c r="N49" s="42"/>
    </row>
    <row r="50" spans="2:14" s="13" customFormat="1" x14ac:dyDescent="0.35">
      <c r="B50" s="25"/>
      <c r="E50" s="26"/>
      <c r="N50" s="42"/>
    </row>
    <row r="51" spans="2:14" s="13" customFormat="1" x14ac:dyDescent="0.35">
      <c r="B51" s="25"/>
      <c r="E51" s="26"/>
      <c r="N51" s="42"/>
    </row>
    <row r="52" spans="2:14" s="13" customFormat="1" x14ac:dyDescent="0.35">
      <c r="B52" s="25"/>
      <c r="E52" s="26"/>
      <c r="N52" s="42"/>
    </row>
    <row r="53" spans="2:14" s="13" customFormat="1" x14ac:dyDescent="0.35">
      <c r="B53" s="25"/>
      <c r="E53" s="26"/>
      <c r="N53" s="42"/>
    </row>
    <row r="54" spans="2:14" s="13" customFormat="1" x14ac:dyDescent="0.35">
      <c r="B54" s="25"/>
      <c r="E54" s="26"/>
      <c r="N54" s="42"/>
    </row>
    <row r="55" spans="2:14" s="13" customFormat="1" x14ac:dyDescent="0.35">
      <c r="B55" s="25"/>
      <c r="E55" s="26"/>
      <c r="N55" s="42"/>
    </row>
    <row r="56" spans="2:14" s="13" customFormat="1" x14ac:dyDescent="0.35">
      <c r="B56" s="25"/>
      <c r="E56" s="26"/>
      <c r="N56" s="42"/>
    </row>
    <row r="57" spans="2:14" s="13" customFormat="1" x14ac:dyDescent="0.35">
      <c r="B57" s="25"/>
      <c r="E57" s="26"/>
      <c r="N57" s="42"/>
    </row>
    <row r="58" spans="2:14" s="13" customFormat="1" x14ac:dyDescent="0.35">
      <c r="B58" s="25"/>
      <c r="E58" s="26"/>
      <c r="N58" s="42"/>
    </row>
    <row r="59" spans="2:14" s="13" customFormat="1" x14ac:dyDescent="0.35">
      <c r="B59" s="25"/>
      <c r="E59" s="26"/>
      <c r="N59" s="42"/>
    </row>
    <row r="60" spans="2:14" s="13" customFormat="1" x14ac:dyDescent="0.35">
      <c r="B60" s="25"/>
      <c r="E60" s="26"/>
      <c r="N60" s="42"/>
    </row>
    <row r="61" spans="2:14" s="13" customFormat="1" x14ac:dyDescent="0.35">
      <c r="B61" s="25"/>
      <c r="E61" s="26"/>
      <c r="N61" s="42"/>
    </row>
    <row r="62" spans="2:14" s="13" customFormat="1" x14ac:dyDescent="0.35">
      <c r="B62" s="25"/>
      <c r="E62" s="26"/>
      <c r="N62" s="42"/>
    </row>
    <row r="63" spans="2:14" s="13" customFormat="1" x14ac:dyDescent="0.35">
      <c r="B63" s="25"/>
      <c r="E63" s="26"/>
      <c r="N63" s="42"/>
    </row>
    <row r="64" spans="2:14" s="13" customFormat="1" x14ac:dyDescent="0.35">
      <c r="B64" s="25"/>
      <c r="E64" s="26"/>
      <c r="N64" s="42"/>
    </row>
    <row r="65" spans="2:14" s="13" customFormat="1" x14ac:dyDescent="0.35">
      <c r="B65" s="25"/>
      <c r="E65" s="26"/>
      <c r="N65" s="42"/>
    </row>
    <row r="66" spans="2:14" s="13" customFormat="1" x14ac:dyDescent="0.35">
      <c r="B66" s="25"/>
      <c r="E66" s="26"/>
      <c r="N66" s="42"/>
    </row>
    <row r="67" spans="2:14" s="13" customFormat="1" x14ac:dyDescent="0.35">
      <c r="B67" s="25"/>
      <c r="E67" s="26"/>
      <c r="N67" s="42"/>
    </row>
    <row r="68" spans="2:14" s="13" customFormat="1" x14ac:dyDescent="0.35">
      <c r="B68" s="25"/>
      <c r="E68" s="26"/>
      <c r="N68" s="42"/>
    </row>
    <row r="69" spans="2:14" s="13" customFormat="1" x14ac:dyDescent="0.35">
      <c r="B69" s="25"/>
      <c r="E69" s="26"/>
      <c r="N69" s="42"/>
    </row>
    <row r="70" spans="2:14" s="13" customFormat="1" x14ac:dyDescent="0.35">
      <c r="B70" s="25"/>
      <c r="E70" s="26"/>
      <c r="N70" s="42"/>
    </row>
    <row r="71" spans="2:14" s="13" customFormat="1" x14ac:dyDescent="0.35">
      <c r="B71" s="25"/>
      <c r="E71" s="26"/>
      <c r="N71" s="42"/>
    </row>
    <row r="72" spans="2:14" s="13" customFormat="1" x14ac:dyDescent="0.35">
      <c r="B72" s="25"/>
      <c r="E72" s="26"/>
      <c r="N72" s="42"/>
    </row>
    <row r="73" spans="2:14" s="13" customFormat="1" x14ac:dyDescent="0.35">
      <c r="B73" s="25"/>
      <c r="E73" s="26"/>
      <c r="N73" s="42"/>
    </row>
    <row r="74" spans="2:14" s="13" customFormat="1" x14ac:dyDescent="0.35">
      <c r="B74" s="25"/>
      <c r="E74" s="26"/>
      <c r="N74" s="42"/>
    </row>
    <row r="75" spans="2:14" s="13" customFormat="1" x14ac:dyDescent="0.35">
      <c r="B75" s="25"/>
      <c r="E75" s="26"/>
      <c r="N75" s="42"/>
    </row>
    <row r="76" spans="2:14" s="13" customFormat="1" x14ac:dyDescent="0.35">
      <c r="B76" s="25"/>
      <c r="E76" s="26"/>
      <c r="N76" s="42"/>
    </row>
    <row r="77" spans="2:14" s="13" customFormat="1" x14ac:dyDescent="0.35">
      <c r="B77" s="25"/>
      <c r="E77" s="26"/>
      <c r="N77" s="42"/>
    </row>
    <row r="78" spans="2:14" s="13" customFormat="1" x14ac:dyDescent="0.35">
      <c r="B78" s="25"/>
      <c r="E78" s="26"/>
      <c r="N78" s="42"/>
    </row>
    <row r="79" spans="2:14" s="13" customFormat="1" x14ac:dyDescent="0.35">
      <c r="B79" s="25"/>
      <c r="E79" s="26"/>
      <c r="N79" s="42"/>
    </row>
    <row r="80" spans="2:14" s="13" customFormat="1" x14ac:dyDescent="0.35">
      <c r="B80" s="25"/>
      <c r="E80" s="26"/>
      <c r="N80" s="42"/>
    </row>
    <row r="81" spans="2:14" s="13" customFormat="1" x14ac:dyDescent="0.35">
      <c r="B81" s="25"/>
      <c r="E81" s="26"/>
      <c r="N81" s="42"/>
    </row>
    <row r="82" spans="2:14" s="13" customFormat="1" x14ac:dyDescent="0.35">
      <c r="B82" s="25"/>
      <c r="E82" s="26"/>
      <c r="N82" s="42"/>
    </row>
    <row r="83" spans="2:14" s="13" customFormat="1" x14ac:dyDescent="0.35">
      <c r="B83" s="25"/>
      <c r="E83" s="26"/>
      <c r="N83" s="42"/>
    </row>
    <row r="84" spans="2:14" s="13" customFormat="1" x14ac:dyDescent="0.35">
      <c r="B84" s="25"/>
      <c r="E84" s="26"/>
      <c r="N84" s="42"/>
    </row>
    <row r="85" spans="2:14" s="13" customFormat="1" x14ac:dyDescent="0.35">
      <c r="B85" s="25"/>
      <c r="E85" s="26"/>
      <c r="N85" s="42"/>
    </row>
    <row r="86" spans="2:14" s="13" customFormat="1" x14ac:dyDescent="0.35">
      <c r="B86" s="25"/>
      <c r="E86" s="26"/>
      <c r="N86" s="42"/>
    </row>
    <row r="87" spans="2:14" s="13" customFormat="1" x14ac:dyDescent="0.35">
      <c r="B87" s="25"/>
      <c r="E87" s="26"/>
      <c r="N87" s="42"/>
    </row>
    <row r="88" spans="2:14" s="13" customFormat="1" x14ac:dyDescent="0.35">
      <c r="B88" s="25"/>
      <c r="E88" s="26"/>
      <c r="N88" s="42"/>
    </row>
    <row r="89" spans="2:14" s="13" customFormat="1" x14ac:dyDescent="0.35">
      <c r="B89" s="25"/>
      <c r="E89" s="26"/>
      <c r="N89" s="42"/>
    </row>
    <row r="90" spans="2:14" s="13" customFormat="1" x14ac:dyDescent="0.35">
      <c r="B90" s="25"/>
      <c r="E90" s="26"/>
      <c r="N90" s="42"/>
    </row>
    <row r="91" spans="2:14" s="13" customFormat="1" x14ac:dyDescent="0.35">
      <c r="B91" s="25"/>
      <c r="E91" s="26"/>
      <c r="N91" s="42"/>
    </row>
    <row r="92" spans="2:14" s="13" customFormat="1" x14ac:dyDescent="0.35">
      <c r="B92" s="25"/>
      <c r="E92" s="26"/>
      <c r="N92" s="42"/>
    </row>
    <row r="93" spans="2:14" s="13" customFormat="1" x14ac:dyDescent="0.35">
      <c r="B93" s="25"/>
      <c r="E93" s="26"/>
      <c r="N93" s="42"/>
    </row>
    <row r="94" spans="2:14" s="13" customFormat="1" x14ac:dyDescent="0.35">
      <c r="B94" s="25"/>
      <c r="E94" s="26"/>
      <c r="N94" s="42"/>
    </row>
    <row r="95" spans="2:14" s="13" customFormat="1" x14ac:dyDescent="0.35">
      <c r="B95" s="25"/>
      <c r="E95" s="26"/>
      <c r="N95" s="42"/>
    </row>
    <row r="96" spans="2:14" s="13" customFormat="1" x14ac:dyDescent="0.35">
      <c r="B96" s="25"/>
      <c r="E96" s="26"/>
      <c r="N96" s="42"/>
    </row>
    <row r="97" spans="2:14" s="13" customFormat="1" x14ac:dyDescent="0.35">
      <c r="B97" s="25"/>
      <c r="E97" s="26"/>
      <c r="N97" s="42"/>
    </row>
    <row r="98" spans="2:14" s="13" customFormat="1" x14ac:dyDescent="0.35">
      <c r="B98" s="25"/>
      <c r="E98" s="26"/>
      <c r="N98" s="42"/>
    </row>
    <row r="99" spans="2:14" s="13" customFormat="1" x14ac:dyDescent="0.35">
      <c r="B99" s="25"/>
      <c r="E99" s="26"/>
      <c r="N99" s="42"/>
    </row>
    <row r="100" spans="2:14" s="13" customFormat="1" x14ac:dyDescent="0.35">
      <c r="B100" s="25"/>
      <c r="E100" s="26"/>
      <c r="N100" s="42"/>
    </row>
    <row r="101" spans="2:14" s="13" customFormat="1" x14ac:dyDescent="0.35">
      <c r="B101" s="25"/>
      <c r="E101" s="26"/>
      <c r="N101" s="42"/>
    </row>
    <row r="102" spans="2:14" s="13" customFormat="1" x14ac:dyDescent="0.35">
      <c r="B102" s="25"/>
      <c r="E102" s="26"/>
      <c r="N102" s="42"/>
    </row>
    <row r="103" spans="2:14" s="13" customFormat="1" x14ac:dyDescent="0.35">
      <c r="B103" s="25"/>
      <c r="E103" s="26"/>
      <c r="N103" s="42"/>
    </row>
    <row r="104" spans="2:14" s="13" customFormat="1" x14ac:dyDescent="0.35">
      <c r="B104" s="25"/>
      <c r="E104" s="26"/>
      <c r="N104" s="42"/>
    </row>
    <row r="105" spans="2:14" s="13" customFormat="1" x14ac:dyDescent="0.35">
      <c r="B105" s="25"/>
      <c r="E105" s="26"/>
      <c r="N105" s="42"/>
    </row>
    <row r="106" spans="2:14" s="13" customFormat="1" x14ac:dyDescent="0.35">
      <c r="B106" s="25"/>
      <c r="E106" s="26"/>
      <c r="N106" s="42"/>
    </row>
    <row r="107" spans="2:14" s="13" customFormat="1" x14ac:dyDescent="0.35">
      <c r="B107" s="25"/>
      <c r="E107" s="26"/>
      <c r="N107" s="42"/>
    </row>
    <row r="108" spans="2:14" s="13" customFormat="1" x14ac:dyDescent="0.35">
      <c r="B108" s="25"/>
      <c r="E108" s="26"/>
      <c r="N108" s="42"/>
    </row>
    <row r="109" spans="2:14" s="13" customFormat="1" x14ac:dyDescent="0.35">
      <c r="B109" s="25"/>
      <c r="E109" s="26"/>
      <c r="N109" s="42"/>
    </row>
    <row r="110" spans="2:14" s="13" customFormat="1" x14ac:dyDescent="0.35">
      <c r="B110" s="25"/>
      <c r="E110" s="26"/>
      <c r="N110" s="42"/>
    </row>
    <row r="111" spans="2:14" s="13" customFormat="1" x14ac:dyDescent="0.35">
      <c r="B111" s="25"/>
      <c r="E111" s="26"/>
      <c r="N111" s="42"/>
    </row>
    <row r="112" spans="2:14" s="13" customFormat="1" x14ac:dyDescent="0.35">
      <c r="B112" s="25"/>
      <c r="E112" s="26"/>
      <c r="N112" s="42"/>
    </row>
    <row r="113" spans="2:14" s="13" customFormat="1" x14ac:dyDescent="0.35">
      <c r="B113" s="25"/>
      <c r="E113" s="26"/>
      <c r="N113" s="42"/>
    </row>
    <row r="114" spans="2:14" s="13" customFormat="1" x14ac:dyDescent="0.35">
      <c r="B114" s="25"/>
      <c r="E114" s="26"/>
      <c r="N114" s="42"/>
    </row>
    <row r="115" spans="2:14" s="13" customFormat="1" x14ac:dyDescent="0.35">
      <c r="B115" s="25"/>
      <c r="E115" s="26"/>
      <c r="N115" s="42"/>
    </row>
    <row r="116" spans="2:14" s="13" customFormat="1" x14ac:dyDescent="0.35">
      <c r="B116" s="25"/>
      <c r="E116" s="26"/>
      <c r="N116" s="42"/>
    </row>
    <row r="117" spans="2:14" s="13" customFormat="1" x14ac:dyDescent="0.35">
      <c r="B117" s="25"/>
      <c r="E117" s="26"/>
      <c r="N117" s="42"/>
    </row>
    <row r="118" spans="2:14" s="13" customFormat="1" x14ac:dyDescent="0.35">
      <c r="B118" s="25"/>
      <c r="E118" s="26"/>
      <c r="N118" s="42"/>
    </row>
    <row r="119" spans="2:14" s="13" customFormat="1" x14ac:dyDescent="0.35">
      <c r="B119" s="25"/>
      <c r="E119" s="26"/>
      <c r="N119" s="42"/>
    </row>
    <row r="120" spans="2:14" s="13" customFormat="1" x14ac:dyDescent="0.35">
      <c r="B120" s="25"/>
      <c r="E120" s="26"/>
      <c r="N120" s="42"/>
    </row>
    <row r="121" spans="2:14" s="13" customFormat="1" x14ac:dyDescent="0.35">
      <c r="B121" s="25"/>
      <c r="E121" s="26"/>
      <c r="N121" s="42"/>
    </row>
    <row r="122" spans="2:14" s="13" customFormat="1" x14ac:dyDescent="0.35">
      <c r="B122" s="25"/>
      <c r="E122" s="26"/>
      <c r="N122" s="42"/>
    </row>
    <row r="123" spans="2:14" s="13" customFormat="1" x14ac:dyDescent="0.35">
      <c r="B123" s="25"/>
      <c r="E123" s="26"/>
      <c r="N123" s="42"/>
    </row>
    <row r="124" spans="2:14" s="13" customFormat="1" x14ac:dyDescent="0.35">
      <c r="B124" s="25"/>
      <c r="E124" s="26"/>
      <c r="N124" s="42"/>
    </row>
    <row r="125" spans="2:14" s="13" customFormat="1" x14ac:dyDescent="0.35">
      <c r="B125" s="25"/>
      <c r="E125" s="26"/>
      <c r="N125" s="42"/>
    </row>
    <row r="126" spans="2:14" s="13" customFormat="1" x14ac:dyDescent="0.35">
      <c r="B126" s="25"/>
      <c r="E126" s="26"/>
      <c r="N126" s="42"/>
    </row>
    <row r="127" spans="2:14" s="13" customFormat="1" x14ac:dyDescent="0.35">
      <c r="B127" s="25"/>
      <c r="E127" s="26"/>
      <c r="N127" s="42"/>
    </row>
    <row r="128" spans="2:14" s="13" customFormat="1" x14ac:dyDescent="0.35">
      <c r="B128" s="25"/>
      <c r="E128" s="26"/>
      <c r="N128" s="42"/>
    </row>
    <row r="129" spans="2:14" s="13" customFormat="1" x14ac:dyDescent="0.35">
      <c r="B129" s="25"/>
      <c r="E129" s="26"/>
      <c r="N129" s="42"/>
    </row>
    <row r="130" spans="2:14" s="13" customFormat="1" x14ac:dyDescent="0.35">
      <c r="B130" s="25"/>
      <c r="E130" s="26"/>
      <c r="N130" s="42"/>
    </row>
    <row r="131" spans="2:14" s="13" customFormat="1" x14ac:dyDescent="0.35">
      <c r="B131" s="25"/>
      <c r="E131" s="26"/>
      <c r="N131" s="42"/>
    </row>
    <row r="132" spans="2:14" s="13" customFormat="1" x14ac:dyDescent="0.35">
      <c r="B132" s="25"/>
      <c r="E132" s="26"/>
      <c r="N132" s="42"/>
    </row>
    <row r="133" spans="2:14" s="13" customFormat="1" x14ac:dyDescent="0.35">
      <c r="B133" s="25"/>
      <c r="E133" s="26"/>
      <c r="N133" s="42"/>
    </row>
    <row r="134" spans="2:14" s="13" customFormat="1" x14ac:dyDescent="0.35">
      <c r="B134" s="25"/>
      <c r="E134" s="26"/>
      <c r="N134" s="42"/>
    </row>
    <row r="135" spans="2:14" s="13" customFormat="1" x14ac:dyDescent="0.35">
      <c r="B135" s="25"/>
      <c r="E135" s="26"/>
      <c r="N135" s="42"/>
    </row>
    <row r="136" spans="2:14" s="13" customFormat="1" x14ac:dyDescent="0.35">
      <c r="B136" s="25"/>
      <c r="E136" s="26"/>
      <c r="N136" s="42"/>
    </row>
    <row r="137" spans="2:14" s="13" customFormat="1" x14ac:dyDescent="0.35">
      <c r="B137" s="25"/>
      <c r="E137" s="26"/>
      <c r="N137" s="42"/>
    </row>
    <row r="138" spans="2:14" s="13" customFormat="1" x14ac:dyDescent="0.35">
      <c r="B138" s="25"/>
      <c r="E138" s="26"/>
      <c r="N138" s="42"/>
    </row>
    <row r="139" spans="2:14" s="13" customFormat="1" x14ac:dyDescent="0.35">
      <c r="B139" s="25"/>
      <c r="E139" s="26"/>
      <c r="N139" s="42"/>
    </row>
    <row r="140" spans="2:14" s="13" customFormat="1" x14ac:dyDescent="0.35">
      <c r="B140" s="25"/>
      <c r="E140" s="26"/>
      <c r="N140" s="42"/>
    </row>
    <row r="141" spans="2:14" s="13" customFormat="1" x14ac:dyDescent="0.35">
      <c r="B141" s="25"/>
      <c r="E141" s="26"/>
      <c r="N141" s="42"/>
    </row>
    <row r="142" spans="2:14" s="13" customFormat="1" x14ac:dyDescent="0.35">
      <c r="B142" s="25"/>
      <c r="E142" s="26"/>
      <c r="N142" s="42"/>
    </row>
    <row r="143" spans="2:14" s="13" customFormat="1" x14ac:dyDescent="0.35">
      <c r="B143" s="25"/>
      <c r="E143" s="26"/>
      <c r="N143" s="42"/>
    </row>
    <row r="144" spans="2:14" s="13" customFormat="1" x14ac:dyDescent="0.35">
      <c r="B144" s="25"/>
      <c r="E144" s="26"/>
      <c r="N144" s="42"/>
    </row>
    <row r="145" spans="2:14" s="13" customFormat="1" x14ac:dyDescent="0.35">
      <c r="B145" s="25"/>
      <c r="E145" s="26"/>
      <c r="N145" s="42"/>
    </row>
    <row r="146" spans="2:14" s="13" customFormat="1" x14ac:dyDescent="0.35">
      <c r="B146" s="25"/>
      <c r="E146" s="26"/>
      <c r="N146" s="42"/>
    </row>
    <row r="147" spans="2:14" s="13" customFormat="1" x14ac:dyDescent="0.35">
      <c r="B147" s="25"/>
      <c r="E147" s="26"/>
      <c r="N147" s="42"/>
    </row>
    <row r="148" spans="2:14" s="13" customFormat="1" x14ac:dyDescent="0.35">
      <c r="B148" s="25"/>
      <c r="E148" s="26"/>
      <c r="N148" s="42"/>
    </row>
    <row r="149" spans="2:14" s="13" customFormat="1" x14ac:dyDescent="0.35">
      <c r="B149" s="25"/>
      <c r="E149" s="26"/>
      <c r="N149" s="42"/>
    </row>
    <row r="150" spans="2:14" s="13" customFormat="1" x14ac:dyDescent="0.35">
      <c r="B150" s="25"/>
      <c r="E150" s="26"/>
      <c r="N150" s="42"/>
    </row>
    <row r="151" spans="2:14" s="13" customFormat="1" x14ac:dyDescent="0.35">
      <c r="B151" s="25"/>
      <c r="E151" s="26"/>
      <c r="N151" s="42"/>
    </row>
    <row r="152" spans="2:14" s="13" customFormat="1" x14ac:dyDescent="0.35">
      <c r="B152" s="25"/>
      <c r="E152" s="26"/>
      <c r="N152" s="42"/>
    </row>
    <row r="153" spans="2:14" s="13" customFormat="1" x14ac:dyDescent="0.35">
      <c r="B153" s="25"/>
      <c r="E153" s="26"/>
      <c r="N153" s="42"/>
    </row>
    <row r="154" spans="2:14" s="13" customFormat="1" x14ac:dyDescent="0.35">
      <c r="B154" s="25"/>
      <c r="E154" s="26"/>
      <c r="N154" s="42"/>
    </row>
    <row r="155" spans="2:14" s="13" customFormat="1" x14ac:dyDescent="0.35">
      <c r="B155" s="25"/>
      <c r="E155" s="26"/>
      <c r="N155" s="42"/>
    </row>
    <row r="156" spans="2:14" s="13" customFormat="1" x14ac:dyDescent="0.35">
      <c r="B156" s="25"/>
      <c r="E156" s="26"/>
      <c r="N156" s="42"/>
    </row>
    <row r="157" spans="2:14" s="13" customFormat="1" x14ac:dyDescent="0.35">
      <c r="B157" s="25"/>
      <c r="E157" s="26"/>
      <c r="N157" s="42"/>
    </row>
    <row r="158" spans="2:14" s="13" customFormat="1" x14ac:dyDescent="0.35">
      <c r="B158" s="25"/>
      <c r="E158" s="26"/>
      <c r="N158" s="42"/>
    </row>
    <row r="159" spans="2:14" s="13" customFormat="1" x14ac:dyDescent="0.35">
      <c r="B159" s="25"/>
      <c r="E159" s="26"/>
      <c r="N159" s="42"/>
    </row>
    <row r="160" spans="2:14" s="13" customFormat="1" x14ac:dyDescent="0.35">
      <c r="B160" s="25"/>
      <c r="E160" s="26"/>
      <c r="N160" s="42"/>
    </row>
    <row r="161" spans="2:14" s="13" customFormat="1" x14ac:dyDescent="0.35">
      <c r="B161" s="25"/>
      <c r="E161" s="26"/>
      <c r="N161" s="42"/>
    </row>
    <row r="162" spans="2:14" s="13" customFormat="1" x14ac:dyDescent="0.35">
      <c r="B162" s="25"/>
      <c r="E162" s="26"/>
      <c r="N162" s="42"/>
    </row>
    <row r="163" spans="2:14" s="13" customFormat="1" x14ac:dyDescent="0.35">
      <c r="B163" s="25"/>
      <c r="E163" s="26"/>
      <c r="N163" s="42"/>
    </row>
    <row r="164" spans="2:14" s="13" customFormat="1" x14ac:dyDescent="0.35">
      <c r="B164" s="25"/>
      <c r="E164" s="26"/>
      <c r="N164" s="42"/>
    </row>
    <row r="165" spans="2:14" s="13" customFormat="1" x14ac:dyDescent="0.35">
      <c r="B165" s="25"/>
      <c r="E165" s="26"/>
      <c r="N165" s="42"/>
    </row>
    <row r="166" spans="2:14" s="13" customFormat="1" x14ac:dyDescent="0.35">
      <c r="B166" s="25"/>
      <c r="E166" s="26"/>
      <c r="N166" s="42"/>
    </row>
    <row r="167" spans="2:14" s="13" customFormat="1" x14ac:dyDescent="0.35">
      <c r="B167" s="25"/>
      <c r="E167" s="26"/>
      <c r="N167" s="42"/>
    </row>
    <row r="168" spans="2:14" s="13" customFormat="1" x14ac:dyDescent="0.35">
      <c r="B168" s="25"/>
      <c r="E168" s="26"/>
      <c r="N168" s="42"/>
    </row>
    <row r="169" spans="2:14" s="13" customFormat="1" x14ac:dyDescent="0.35">
      <c r="B169" s="25"/>
      <c r="E169" s="26"/>
      <c r="N169" s="42"/>
    </row>
    <row r="170" spans="2:14" s="13" customFormat="1" x14ac:dyDescent="0.35">
      <c r="B170" s="25"/>
      <c r="E170" s="26"/>
      <c r="N170" s="42"/>
    </row>
    <row r="171" spans="2:14" s="13" customFormat="1" x14ac:dyDescent="0.35">
      <c r="B171" s="25"/>
      <c r="E171" s="26"/>
      <c r="N171" s="42"/>
    </row>
    <row r="172" spans="2:14" s="13" customFormat="1" x14ac:dyDescent="0.35">
      <c r="B172" s="25"/>
      <c r="E172" s="26"/>
      <c r="N172" s="42"/>
    </row>
    <row r="173" spans="2:14" s="13" customFormat="1" x14ac:dyDescent="0.35">
      <c r="B173" s="25"/>
      <c r="E173" s="26"/>
      <c r="N173" s="42"/>
    </row>
    <row r="174" spans="2:14" s="13" customFormat="1" x14ac:dyDescent="0.35">
      <c r="B174" s="25"/>
      <c r="E174" s="26"/>
      <c r="N174" s="42"/>
    </row>
    <row r="175" spans="2:14" s="13" customFormat="1" x14ac:dyDescent="0.35">
      <c r="B175" s="25"/>
      <c r="E175" s="26"/>
      <c r="N175" s="42"/>
    </row>
    <row r="176" spans="2:14" s="13" customFormat="1" x14ac:dyDescent="0.35">
      <c r="B176" s="25"/>
      <c r="E176" s="26"/>
      <c r="N176" s="42"/>
    </row>
    <row r="177" spans="2:14" s="13" customFormat="1" x14ac:dyDescent="0.35">
      <c r="B177" s="25"/>
      <c r="E177" s="26"/>
      <c r="N177" s="42"/>
    </row>
    <row r="178" spans="2:14" s="13" customFormat="1" x14ac:dyDescent="0.35">
      <c r="B178" s="25"/>
      <c r="E178" s="26"/>
      <c r="N178" s="42"/>
    </row>
    <row r="179" spans="2:14" s="13" customFormat="1" x14ac:dyDescent="0.35">
      <c r="B179" s="25"/>
      <c r="E179" s="26"/>
      <c r="N179" s="42"/>
    </row>
    <row r="180" spans="2:14" s="13" customFormat="1" x14ac:dyDescent="0.35">
      <c r="B180" s="25"/>
      <c r="E180" s="26"/>
      <c r="N180" s="42"/>
    </row>
    <row r="181" spans="2:14" s="13" customFormat="1" x14ac:dyDescent="0.35">
      <c r="B181" s="25"/>
      <c r="E181" s="26"/>
      <c r="N181" s="42"/>
    </row>
    <row r="182" spans="2:14" s="13" customFormat="1" x14ac:dyDescent="0.35">
      <c r="B182" s="25"/>
      <c r="E182" s="26"/>
      <c r="N182" s="42"/>
    </row>
    <row r="183" spans="2:14" s="13" customFormat="1" x14ac:dyDescent="0.35">
      <c r="B183" s="25"/>
      <c r="E183" s="26"/>
      <c r="N183" s="42"/>
    </row>
    <row r="184" spans="2:14" s="13" customFormat="1" x14ac:dyDescent="0.35">
      <c r="B184" s="25"/>
      <c r="E184" s="26"/>
      <c r="N184" s="42"/>
    </row>
    <row r="185" spans="2:14" s="13" customFormat="1" x14ac:dyDescent="0.35">
      <c r="B185" s="25"/>
      <c r="E185" s="26"/>
      <c r="N185" s="42"/>
    </row>
    <row r="186" spans="2:14" s="13" customFormat="1" x14ac:dyDescent="0.35">
      <c r="B186" s="25"/>
      <c r="E186" s="26"/>
      <c r="N186" s="42"/>
    </row>
    <row r="187" spans="2:14" s="13" customFormat="1" x14ac:dyDescent="0.35">
      <c r="B187" s="25"/>
      <c r="E187" s="26"/>
      <c r="N187" s="42"/>
    </row>
    <row r="188" spans="2:14" s="13" customFormat="1" x14ac:dyDescent="0.35">
      <c r="B188" s="25"/>
      <c r="E188" s="26"/>
      <c r="N188" s="42"/>
    </row>
    <row r="189" spans="2:14" s="13" customFormat="1" x14ac:dyDescent="0.35">
      <c r="B189" s="25"/>
      <c r="E189" s="26"/>
      <c r="N189" s="42"/>
    </row>
    <row r="190" spans="2:14" s="13" customFormat="1" x14ac:dyDescent="0.35">
      <c r="B190" s="25"/>
      <c r="E190" s="26"/>
      <c r="N190" s="42"/>
    </row>
    <row r="191" spans="2:14" s="13" customFormat="1" x14ac:dyDescent="0.35">
      <c r="B191" s="25"/>
      <c r="E191" s="26"/>
      <c r="N191" s="42"/>
    </row>
    <row r="192" spans="2:14" s="13" customFormat="1" x14ac:dyDescent="0.35">
      <c r="B192" s="25"/>
      <c r="E192" s="26"/>
      <c r="N192" s="42"/>
    </row>
    <row r="193" spans="2:14" s="13" customFormat="1" x14ac:dyDescent="0.35">
      <c r="B193" s="25"/>
      <c r="E193" s="26"/>
      <c r="N193" s="42"/>
    </row>
    <row r="194" spans="2:14" s="13" customFormat="1" x14ac:dyDescent="0.35">
      <c r="B194" s="25"/>
      <c r="E194" s="26"/>
      <c r="N194" s="42"/>
    </row>
    <row r="195" spans="2:14" s="13" customFormat="1" x14ac:dyDescent="0.35">
      <c r="B195" s="25"/>
      <c r="E195" s="26"/>
      <c r="N195" s="42"/>
    </row>
    <row r="196" spans="2:14" s="13" customFormat="1" x14ac:dyDescent="0.35">
      <c r="B196" s="25"/>
      <c r="E196" s="26"/>
      <c r="N196" s="42"/>
    </row>
    <row r="197" spans="2:14" s="13" customFormat="1" x14ac:dyDescent="0.35">
      <c r="B197" s="25"/>
      <c r="E197" s="26"/>
      <c r="N197" s="42"/>
    </row>
    <row r="198" spans="2:14" s="13" customFormat="1" x14ac:dyDescent="0.35">
      <c r="B198" s="25"/>
      <c r="E198" s="26"/>
      <c r="N198" s="42"/>
    </row>
    <row r="199" spans="2:14" s="13" customFormat="1" x14ac:dyDescent="0.35">
      <c r="B199" s="25"/>
      <c r="E199" s="26"/>
      <c r="N199" s="42"/>
    </row>
    <row r="200" spans="2:14" s="13" customFormat="1" x14ac:dyDescent="0.35">
      <c r="B200" s="25"/>
      <c r="E200" s="26"/>
      <c r="N200" s="42"/>
    </row>
    <row r="201" spans="2:14" s="13" customFormat="1" x14ac:dyDescent="0.35">
      <c r="B201" s="25"/>
      <c r="E201" s="26"/>
      <c r="N201" s="42"/>
    </row>
    <row r="202" spans="2:14" s="13" customFormat="1" x14ac:dyDescent="0.35">
      <c r="B202" s="25"/>
      <c r="E202" s="26"/>
      <c r="N202" s="42"/>
    </row>
    <row r="203" spans="2:14" s="13" customFormat="1" x14ac:dyDescent="0.35">
      <c r="B203" s="25"/>
      <c r="E203" s="26"/>
      <c r="N203" s="42"/>
    </row>
    <row r="204" spans="2:14" s="13" customFormat="1" x14ac:dyDescent="0.35">
      <c r="B204" s="25"/>
      <c r="E204" s="26"/>
      <c r="N204" s="42"/>
    </row>
    <row r="205" spans="2:14" s="13" customFormat="1" x14ac:dyDescent="0.35">
      <c r="B205" s="25"/>
      <c r="E205" s="26"/>
      <c r="N205" s="42"/>
    </row>
    <row r="206" spans="2:14" s="13" customFormat="1" x14ac:dyDescent="0.35">
      <c r="B206" s="25"/>
      <c r="E206" s="26"/>
      <c r="N206" s="42"/>
    </row>
    <row r="207" spans="2:14" s="13" customFormat="1" x14ac:dyDescent="0.35">
      <c r="B207" s="25"/>
      <c r="E207" s="26"/>
      <c r="N207" s="42"/>
    </row>
    <row r="208" spans="2:14" s="13" customFormat="1" x14ac:dyDescent="0.35">
      <c r="B208" s="25"/>
      <c r="E208" s="26"/>
      <c r="N208" s="42"/>
    </row>
    <row r="209" spans="2:14" s="13" customFormat="1" x14ac:dyDescent="0.35">
      <c r="B209" s="25"/>
      <c r="E209" s="26"/>
      <c r="N209" s="42"/>
    </row>
    <row r="210" spans="2:14" s="13" customFormat="1" x14ac:dyDescent="0.35">
      <c r="B210" s="25"/>
      <c r="E210" s="26"/>
      <c r="N210" s="42"/>
    </row>
    <row r="211" spans="2:14" s="13" customFormat="1" x14ac:dyDescent="0.35">
      <c r="B211" s="25"/>
      <c r="E211" s="26"/>
      <c r="N211" s="42"/>
    </row>
    <row r="212" spans="2:14" s="13" customFormat="1" x14ac:dyDescent="0.35">
      <c r="B212" s="25"/>
      <c r="E212" s="26"/>
      <c r="N212" s="42"/>
    </row>
    <row r="213" spans="2:14" s="13" customFormat="1" x14ac:dyDescent="0.35">
      <c r="B213" s="25"/>
      <c r="E213" s="26"/>
      <c r="N213" s="42"/>
    </row>
    <row r="214" spans="2:14" s="13" customFormat="1" x14ac:dyDescent="0.35">
      <c r="B214" s="25"/>
      <c r="E214" s="26"/>
      <c r="N214" s="42"/>
    </row>
    <row r="215" spans="2:14" s="13" customFormat="1" x14ac:dyDescent="0.35">
      <c r="B215" s="25"/>
      <c r="E215" s="26"/>
      <c r="N215" s="42"/>
    </row>
    <row r="216" spans="2:14" s="13" customFormat="1" x14ac:dyDescent="0.35">
      <c r="B216" s="25"/>
      <c r="E216" s="26"/>
      <c r="N216" s="42"/>
    </row>
    <row r="217" spans="2:14" s="13" customFormat="1" x14ac:dyDescent="0.35">
      <c r="B217" s="25"/>
      <c r="E217" s="26"/>
      <c r="N217" s="42"/>
    </row>
    <row r="218" spans="2:14" s="13" customFormat="1" x14ac:dyDescent="0.35">
      <c r="B218" s="25"/>
      <c r="E218" s="26"/>
      <c r="N218" s="42"/>
    </row>
    <row r="219" spans="2:14" s="13" customFormat="1" x14ac:dyDescent="0.35">
      <c r="B219" s="25"/>
      <c r="E219" s="26"/>
      <c r="N219" s="42"/>
    </row>
    <row r="220" spans="2:14" s="13" customFormat="1" x14ac:dyDescent="0.35">
      <c r="B220" s="25"/>
      <c r="E220" s="26"/>
      <c r="N220" s="42"/>
    </row>
    <row r="221" spans="2:14" s="13" customFormat="1" x14ac:dyDescent="0.35">
      <c r="B221" s="25"/>
      <c r="E221" s="26"/>
      <c r="N221" s="42"/>
    </row>
    <row r="222" spans="2:14" s="13" customFormat="1" x14ac:dyDescent="0.35">
      <c r="B222" s="25"/>
      <c r="E222" s="26"/>
      <c r="N222" s="42"/>
    </row>
    <row r="223" spans="2:14" s="13" customFormat="1" x14ac:dyDescent="0.35">
      <c r="B223" s="25"/>
      <c r="E223" s="26"/>
      <c r="N223" s="42"/>
    </row>
    <row r="224" spans="2:14" s="13" customFormat="1" x14ac:dyDescent="0.35">
      <c r="B224" s="25"/>
      <c r="E224" s="26"/>
      <c r="N224" s="42"/>
    </row>
    <row r="225" spans="2:14" s="13" customFormat="1" x14ac:dyDescent="0.35">
      <c r="B225" s="25"/>
      <c r="E225" s="26"/>
      <c r="N225" s="42"/>
    </row>
    <row r="226" spans="2:14" s="13" customFormat="1" x14ac:dyDescent="0.35">
      <c r="B226" s="25"/>
      <c r="E226" s="26"/>
      <c r="N226" s="42"/>
    </row>
    <row r="227" spans="2:14" s="13" customFormat="1" x14ac:dyDescent="0.35">
      <c r="B227" s="25"/>
      <c r="E227" s="26"/>
      <c r="N227" s="42"/>
    </row>
    <row r="228" spans="2:14" s="13" customFormat="1" x14ac:dyDescent="0.35">
      <c r="B228" s="25"/>
      <c r="E228" s="26"/>
      <c r="N228" s="42"/>
    </row>
    <row r="229" spans="2:14" s="13" customFormat="1" x14ac:dyDescent="0.35">
      <c r="B229" s="25"/>
      <c r="E229" s="26"/>
      <c r="N229" s="42"/>
    </row>
    <row r="230" spans="2:14" s="13" customFormat="1" x14ac:dyDescent="0.35">
      <c r="B230" s="25"/>
      <c r="E230" s="26"/>
      <c r="N230" s="42"/>
    </row>
    <row r="231" spans="2:14" s="13" customFormat="1" x14ac:dyDescent="0.35">
      <c r="B231" s="25"/>
      <c r="E231" s="26"/>
      <c r="N231" s="42"/>
    </row>
    <row r="232" spans="2:14" s="13" customFormat="1" x14ac:dyDescent="0.35">
      <c r="B232" s="25"/>
      <c r="E232" s="26"/>
      <c r="N232" s="42"/>
    </row>
    <row r="233" spans="2:14" s="13" customFormat="1" x14ac:dyDescent="0.35">
      <c r="B233" s="25"/>
      <c r="E233" s="26"/>
      <c r="N233" s="42"/>
    </row>
    <row r="234" spans="2:14" s="13" customFormat="1" x14ac:dyDescent="0.35">
      <c r="B234" s="25"/>
      <c r="E234" s="26"/>
      <c r="N234" s="42"/>
    </row>
    <row r="235" spans="2:14" s="13" customFormat="1" x14ac:dyDescent="0.35">
      <c r="B235" s="25"/>
      <c r="E235" s="26"/>
      <c r="N235" s="42"/>
    </row>
    <row r="236" spans="2:14" s="13" customFormat="1" x14ac:dyDescent="0.35">
      <c r="B236" s="25"/>
      <c r="E236" s="26"/>
      <c r="N236" s="42"/>
    </row>
    <row r="237" spans="2:14" s="13" customFormat="1" x14ac:dyDescent="0.35">
      <c r="B237" s="25"/>
      <c r="E237" s="26"/>
      <c r="N237" s="42"/>
    </row>
    <row r="238" spans="2:14" s="13" customFormat="1" x14ac:dyDescent="0.35">
      <c r="B238" s="25"/>
      <c r="E238" s="26"/>
      <c r="N238" s="42"/>
    </row>
    <row r="239" spans="2:14" s="13" customFormat="1" x14ac:dyDescent="0.35">
      <c r="B239" s="25"/>
      <c r="E239" s="26"/>
      <c r="N239" s="42"/>
    </row>
    <row r="240" spans="2:14" s="13" customFormat="1" x14ac:dyDescent="0.35">
      <c r="B240" s="25"/>
      <c r="E240" s="26"/>
      <c r="N240" s="42"/>
    </row>
    <row r="241" spans="2:14" s="13" customFormat="1" x14ac:dyDescent="0.35">
      <c r="B241" s="25"/>
      <c r="E241" s="26"/>
      <c r="N241" s="42"/>
    </row>
    <row r="242" spans="2:14" s="13" customFormat="1" x14ac:dyDescent="0.35">
      <c r="B242" s="25"/>
      <c r="E242" s="26"/>
      <c r="N242" s="42"/>
    </row>
    <row r="243" spans="2:14" s="13" customFormat="1" x14ac:dyDescent="0.35">
      <c r="B243" s="25"/>
      <c r="E243" s="26"/>
      <c r="N243" s="42"/>
    </row>
    <row r="244" spans="2:14" s="13" customFormat="1" x14ac:dyDescent="0.35">
      <c r="B244" s="25"/>
      <c r="E244" s="26"/>
      <c r="N244" s="42"/>
    </row>
    <row r="245" spans="2:14" s="13" customFormat="1" x14ac:dyDescent="0.35">
      <c r="B245" s="25"/>
      <c r="E245" s="26"/>
      <c r="N245" s="42"/>
    </row>
    <row r="246" spans="2:14" s="13" customFormat="1" x14ac:dyDescent="0.35">
      <c r="B246" s="25"/>
      <c r="E246" s="26"/>
      <c r="N246" s="42"/>
    </row>
    <row r="247" spans="2:14" s="13" customFormat="1" x14ac:dyDescent="0.35">
      <c r="B247" s="25"/>
      <c r="E247" s="26"/>
      <c r="N247" s="42"/>
    </row>
    <row r="248" spans="2:14" s="13" customFormat="1" x14ac:dyDescent="0.35">
      <c r="B248" s="25"/>
      <c r="E248" s="26"/>
      <c r="N248" s="42"/>
    </row>
    <row r="249" spans="2:14" s="13" customFormat="1" x14ac:dyDescent="0.35">
      <c r="B249" s="25"/>
      <c r="E249" s="26"/>
      <c r="N249" s="42"/>
    </row>
    <row r="250" spans="2:14" s="13" customFormat="1" x14ac:dyDescent="0.35">
      <c r="B250" s="25"/>
      <c r="E250" s="26"/>
      <c r="N250" s="42"/>
    </row>
    <row r="251" spans="2:14" s="13" customFormat="1" x14ac:dyDescent="0.35">
      <c r="B251" s="25"/>
      <c r="E251" s="26"/>
      <c r="N251" s="42"/>
    </row>
    <row r="252" spans="2:14" s="13" customFormat="1" x14ac:dyDescent="0.35">
      <c r="B252" s="25"/>
      <c r="E252" s="26"/>
      <c r="N252" s="42"/>
    </row>
    <row r="253" spans="2:14" s="13" customFormat="1" x14ac:dyDescent="0.35">
      <c r="B253" s="25"/>
      <c r="E253" s="26"/>
      <c r="N253" s="42"/>
    </row>
    <row r="254" spans="2:14" s="13" customFormat="1" x14ac:dyDescent="0.35">
      <c r="B254" s="25"/>
      <c r="E254" s="26"/>
      <c r="N254" s="42"/>
    </row>
    <row r="255" spans="2:14" s="13" customFormat="1" x14ac:dyDescent="0.35">
      <c r="B255" s="25"/>
      <c r="E255" s="26"/>
      <c r="N255" s="42"/>
    </row>
    <row r="256" spans="2:14" s="13" customFormat="1" x14ac:dyDescent="0.35">
      <c r="B256" s="25"/>
      <c r="E256" s="26"/>
      <c r="N256" s="42"/>
    </row>
    <row r="257" spans="2:14" s="13" customFormat="1" x14ac:dyDescent="0.35">
      <c r="B257" s="25"/>
      <c r="E257" s="26"/>
      <c r="N257" s="42"/>
    </row>
    <row r="258" spans="2:14" s="13" customFormat="1" x14ac:dyDescent="0.35">
      <c r="B258" s="25"/>
      <c r="E258" s="26"/>
      <c r="N258" s="42"/>
    </row>
    <row r="259" spans="2:14" s="13" customFormat="1" x14ac:dyDescent="0.35">
      <c r="B259" s="25"/>
      <c r="E259" s="26"/>
      <c r="N259" s="42"/>
    </row>
    <row r="260" spans="2:14" s="13" customFormat="1" x14ac:dyDescent="0.35">
      <c r="B260" s="25"/>
      <c r="E260" s="26"/>
      <c r="N260" s="42"/>
    </row>
    <row r="261" spans="2:14" s="13" customFormat="1" x14ac:dyDescent="0.35">
      <c r="B261" s="25"/>
      <c r="E261" s="26"/>
      <c r="N261" s="42"/>
    </row>
    <row r="262" spans="2:14" s="13" customFormat="1" x14ac:dyDescent="0.35">
      <c r="B262" s="25"/>
      <c r="E262" s="26"/>
      <c r="N262" s="42"/>
    </row>
    <row r="263" spans="2:14" s="13" customFormat="1" x14ac:dyDescent="0.35">
      <c r="B263" s="25"/>
      <c r="E263" s="26"/>
      <c r="N263" s="42"/>
    </row>
    <row r="264" spans="2:14" s="13" customFormat="1" x14ac:dyDescent="0.35">
      <c r="B264" s="25"/>
      <c r="E264" s="26"/>
      <c r="N264" s="42"/>
    </row>
    <row r="265" spans="2:14" s="13" customFormat="1" x14ac:dyDescent="0.35">
      <c r="B265" s="25"/>
      <c r="E265" s="26"/>
      <c r="N265" s="42"/>
    </row>
    <row r="266" spans="2:14" s="13" customFormat="1" x14ac:dyDescent="0.35">
      <c r="B266" s="25"/>
      <c r="E266" s="26"/>
      <c r="N266" s="42"/>
    </row>
    <row r="267" spans="2:14" s="13" customFormat="1" x14ac:dyDescent="0.35">
      <c r="B267" s="25"/>
      <c r="E267" s="26"/>
      <c r="N267" s="42"/>
    </row>
    <row r="268" spans="2:14" s="13" customFormat="1" x14ac:dyDescent="0.35">
      <c r="B268" s="25"/>
      <c r="E268" s="26"/>
      <c r="N268" s="42"/>
    </row>
    <row r="269" spans="2:14" s="13" customFormat="1" x14ac:dyDescent="0.35">
      <c r="B269" s="25"/>
      <c r="E269" s="26"/>
      <c r="N269" s="42"/>
    </row>
    <row r="270" spans="2:14" s="13" customFormat="1" x14ac:dyDescent="0.35">
      <c r="B270" s="25"/>
      <c r="E270" s="26"/>
      <c r="N270" s="42"/>
    </row>
    <row r="271" spans="2:14" s="13" customFormat="1" x14ac:dyDescent="0.35">
      <c r="B271" s="25"/>
      <c r="E271" s="26"/>
      <c r="N271" s="42"/>
    </row>
    <row r="272" spans="2:14" s="13" customFormat="1" x14ac:dyDescent="0.35">
      <c r="B272" s="25"/>
      <c r="E272" s="26"/>
      <c r="N272" s="42"/>
    </row>
    <row r="273" spans="2:14" s="13" customFormat="1" x14ac:dyDescent="0.35">
      <c r="B273" s="25"/>
      <c r="E273" s="26"/>
      <c r="N273" s="42"/>
    </row>
    <row r="274" spans="2:14" s="13" customFormat="1" x14ac:dyDescent="0.35">
      <c r="B274" s="25"/>
      <c r="E274" s="26"/>
      <c r="N274" s="42"/>
    </row>
    <row r="275" spans="2:14" s="13" customFormat="1" x14ac:dyDescent="0.35">
      <c r="B275" s="25"/>
      <c r="E275" s="26"/>
      <c r="N275" s="42"/>
    </row>
    <row r="276" spans="2:14" s="13" customFormat="1" x14ac:dyDescent="0.35">
      <c r="B276" s="25"/>
      <c r="E276" s="26"/>
      <c r="N276" s="42"/>
    </row>
    <row r="277" spans="2:14" s="13" customFormat="1" x14ac:dyDescent="0.35">
      <c r="B277" s="25"/>
      <c r="E277" s="26"/>
      <c r="N277" s="42"/>
    </row>
    <row r="278" spans="2:14" s="13" customFormat="1" x14ac:dyDescent="0.35">
      <c r="B278" s="25"/>
      <c r="E278" s="26"/>
      <c r="N278" s="42"/>
    </row>
    <row r="279" spans="2:14" s="13" customFormat="1" x14ac:dyDescent="0.35">
      <c r="B279" s="25"/>
      <c r="E279" s="26"/>
      <c r="N279" s="42"/>
    </row>
    <row r="280" spans="2:14" s="13" customFormat="1" x14ac:dyDescent="0.35">
      <c r="B280" s="25"/>
      <c r="E280" s="26"/>
      <c r="N280" s="42"/>
    </row>
    <row r="281" spans="2:14" s="13" customFormat="1" x14ac:dyDescent="0.35">
      <c r="B281" s="25"/>
      <c r="E281" s="26"/>
      <c r="N281" s="42"/>
    </row>
    <row r="282" spans="2:14" s="13" customFormat="1" x14ac:dyDescent="0.35">
      <c r="B282" s="25"/>
      <c r="E282" s="26"/>
      <c r="N282" s="42"/>
    </row>
    <row r="283" spans="2:14" s="13" customFormat="1" x14ac:dyDescent="0.35">
      <c r="B283" s="25"/>
      <c r="E283" s="26"/>
      <c r="N283" s="42"/>
    </row>
    <row r="284" spans="2:14" s="13" customFormat="1" x14ac:dyDescent="0.35">
      <c r="B284" s="25"/>
      <c r="E284" s="26"/>
      <c r="N284" s="42"/>
    </row>
    <row r="285" spans="2:14" s="13" customFormat="1" x14ac:dyDescent="0.35">
      <c r="B285" s="25"/>
      <c r="E285" s="26"/>
      <c r="N285" s="42"/>
    </row>
    <row r="286" spans="2:14" s="13" customFormat="1" x14ac:dyDescent="0.35">
      <c r="B286" s="25"/>
      <c r="E286" s="26"/>
      <c r="N286" s="42"/>
    </row>
    <row r="287" spans="2:14" s="13" customFormat="1" x14ac:dyDescent="0.35">
      <c r="B287" s="25"/>
      <c r="E287" s="26"/>
      <c r="N287" s="42"/>
    </row>
    <row r="288" spans="2:14" s="13" customFormat="1" x14ac:dyDescent="0.35">
      <c r="B288" s="25"/>
      <c r="E288" s="26"/>
      <c r="N288" s="42"/>
    </row>
    <row r="289" spans="2:14" s="13" customFormat="1" x14ac:dyDescent="0.35">
      <c r="B289" s="25"/>
      <c r="E289" s="26"/>
      <c r="N289" s="42"/>
    </row>
    <row r="290" spans="2:14" s="13" customFormat="1" x14ac:dyDescent="0.35">
      <c r="B290" s="25"/>
      <c r="E290" s="26"/>
      <c r="N290" s="42"/>
    </row>
    <row r="291" spans="2:14" s="13" customFormat="1" x14ac:dyDescent="0.35">
      <c r="B291" s="25"/>
      <c r="E291" s="26"/>
      <c r="N291" s="42"/>
    </row>
    <row r="292" spans="2:14" s="13" customFormat="1" x14ac:dyDescent="0.35">
      <c r="B292" s="25"/>
      <c r="E292" s="26"/>
      <c r="N292" s="42"/>
    </row>
    <row r="293" spans="2:14" s="13" customFormat="1" x14ac:dyDescent="0.35">
      <c r="B293" s="25"/>
      <c r="E293" s="26"/>
      <c r="N293" s="42"/>
    </row>
    <row r="294" spans="2:14" s="13" customFormat="1" x14ac:dyDescent="0.35">
      <c r="B294" s="25"/>
      <c r="E294" s="26"/>
      <c r="N294" s="42"/>
    </row>
    <row r="295" spans="2:14" s="13" customFormat="1" x14ac:dyDescent="0.35">
      <c r="B295" s="25"/>
      <c r="E295" s="26"/>
      <c r="N295" s="42"/>
    </row>
    <row r="296" spans="2:14" s="13" customFormat="1" x14ac:dyDescent="0.35">
      <c r="B296" s="25"/>
      <c r="E296" s="26"/>
      <c r="N296" s="42"/>
    </row>
    <row r="297" spans="2:14" s="13" customFormat="1" x14ac:dyDescent="0.35">
      <c r="B297" s="25"/>
      <c r="E297" s="26"/>
      <c r="N297" s="42"/>
    </row>
    <row r="298" spans="2:14" s="13" customFormat="1" x14ac:dyDescent="0.35">
      <c r="B298" s="25"/>
      <c r="E298" s="26"/>
      <c r="N298" s="42"/>
    </row>
    <row r="299" spans="2:14" s="13" customFormat="1" x14ac:dyDescent="0.35">
      <c r="B299" s="25"/>
      <c r="E299" s="26"/>
      <c r="N299" s="42"/>
    </row>
    <row r="300" spans="2:14" s="13" customFormat="1" x14ac:dyDescent="0.35">
      <c r="B300" s="25"/>
      <c r="E300" s="26"/>
      <c r="N300" s="42"/>
    </row>
    <row r="301" spans="2:14" s="13" customFormat="1" x14ac:dyDescent="0.35">
      <c r="B301" s="25"/>
      <c r="E301" s="26"/>
      <c r="N301" s="42"/>
    </row>
    <row r="302" spans="2:14" s="13" customFormat="1" x14ac:dyDescent="0.35">
      <c r="B302" s="25"/>
      <c r="E302" s="26"/>
      <c r="N302" s="42"/>
    </row>
    <row r="303" spans="2:14" s="13" customFormat="1" x14ac:dyDescent="0.35">
      <c r="B303" s="25"/>
      <c r="E303" s="26"/>
      <c r="N303" s="42"/>
    </row>
    <row r="304" spans="2:14" s="13" customFormat="1" x14ac:dyDescent="0.35">
      <c r="B304" s="25"/>
      <c r="E304" s="26"/>
      <c r="N304" s="42"/>
    </row>
    <row r="305" spans="2:14" s="13" customFormat="1" x14ac:dyDescent="0.35">
      <c r="B305" s="25"/>
      <c r="E305" s="26"/>
      <c r="N305" s="42"/>
    </row>
    <row r="306" spans="2:14" s="13" customFormat="1" x14ac:dyDescent="0.35">
      <c r="B306" s="25"/>
      <c r="E306" s="26"/>
      <c r="N306" s="42"/>
    </row>
    <row r="307" spans="2:14" s="13" customFormat="1" x14ac:dyDescent="0.35">
      <c r="B307" s="25"/>
      <c r="E307" s="26"/>
      <c r="N307" s="42"/>
    </row>
    <row r="308" spans="2:14" s="13" customFormat="1" x14ac:dyDescent="0.35">
      <c r="B308" s="25"/>
      <c r="E308" s="26"/>
      <c r="N308" s="42"/>
    </row>
    <row r="309" spans="2:14" s="13" customFormat="1" x14ac:dyDescent="0.35">
      <c r="B309" s="25"/>
      <c r="E309" s="26"/>
      <c r="N309" s="42"/>
    </row>
    <row r="310" spans="2:14" s="13" customFormat="1" x14ac:dyDescent="0.35">
      <c r="B310" s="25"/>
      <c r="E310" s="26"/>
      <c r="N310" s="42"/>
    </row>
    <row r="311" spans="2:14" s="13" customFormat="1" x14ac:dyDescent="0.35">
      <c r="B311" s="25"/>
      <c r="E311" s="26"/>
      <c r="N311" s="42"/>
    </row>
    <row r="312" spans="2:14" s="13" customFormat="1" x14ac:dyDescent="0.35">
      <c r="B312" s="25"/>
      <c r="E312" s="26"/>
      <c r="N312" s="42"/>
    </row>
    <row r="313" spans="2:14" s="13" customFormat="1" x14ac:dyDescent="0.35">
      <c r="B313" s="25"/>
      <c r="E313" s="26"/>
      <c r="N313" s="42"/>
    </row>
    <row r="314" spans="2:14" s="13" customFormat="1" x14ac:dyDescent="0.35">
      <c r="B314" s="25"/>
      <c r="E314" s="26"/>
      <c r="N314" s="42"/>
    </row>
    <row r="315" spans="2:14" s="13" customFormat="1" x14ac:dyDescent="0.35">
      <c r="B315" s="25"/>
      <c r="E315" s="26"/>
      <c r="N315" s="42"/>
    </row>
    <row r="316" spans="2:14" s="13" customFormat="1" x14ac:dyDescent="0.35">
      <c r="B316" s="25"/>
      <c r="E316" s="26"/>
      <c r="N316" s="42"/>
    </row>
    <row r="317" spans="2:14" s="13" customFormat="1" x14ac:dyDescent="0.35">
      <c r="B317" s="25"/>
      <c r="E317" s="26"/>
      <c r="N317" s="42"/>
    </row>
    <row r="318" spans="2:14" s="13" customFormat="1" x14ac:dyDescent="0.35">
      <c r="B318" s="25"/>
      <c r="E318" s="26"/>
      <c r="N318" s="42"/>
    </row>
    <row r="319" spans="2:14" s="13" customFormat="1" x14ac:dyDescent="0.35">
      <c r="B319" s="25"/>
      <c r="E319" s="26"/>
      <c r="N319" s="42"/>
    </row>
    <row r="320" spans="2:14" s="13" customFormat="1" x14ac:dyDescent="0.35">
      <c r="B320" s="25"/>
      <c r="E320" s="26"/>
      <c r="N320" s="42"/>
    </row>
    <row r="321" spans="2:14" s="13" customFormat="1" x14ac:dyDescent="0.35">
      <c r="B321" s="25"/>
      <c r="E321" s="26"/>
      <c r="N321" s="42"/>
    </row>
    <row r="322" spans="2:14" s="13" customFormat="1" x14ac:dyDescent="0.35">
      <c r="B322" s="25"/>
      <c r="E322" s="26"/>
      <c r="N322" s="42"/>
    </row>
    <row r="323" spans="2:14" s="13" customFormat="1" x14ac:dyDescent="0.35">
      <c r="B323" s="25"/>
      <c r="E323" s="26"/>
      <c r="N323" s="42"/>
    </row>
    <row r="324" spans="2:14" s="13" customFormat="1" x14ac:dyDescent="0.35">
      <c r="B324" s="25"/>
      <c r="E324" s="26"/>
      <c r="N324" s="42"/>
    </row>
    <row r="325" spans="2:14" s="13" customFormat="1" x14ac:dyDescent="0.35">
      <c r="B325" s="25"/>
      <c r="E325" s="26"/>
      <c r="N325" s="42"/>
    </row>
    <row r="326" spans="2:14" s="13" customFormat="1" x14ac:dyDescent="0.35">
      <c r="B326" s="25"/>
      <c r="E326" s="26"/>
      <c r="N326" s="42"/>
    </row>
    <row r="327" spans="2:14" s="13" customFormat="1" x14ac:dyDescent="0.35">
      <c r="B327" s="25"/>
      <c r="E327" s="26"/>
      <c r="N327" s="42"/>
    </row>
    <row r="328" spans="2:14" s="13" customFormat="1" x14ac:dyDescent="0.35">
      <c r="B328" s="25"/>
      <c r="E328" s="26"/>
      <c r="N328" s="42"/>
    </row>
    <row r="329" spans="2:14" s="13" customFormat="1" x14ac:dyDescent="0.35">
      <c r="B329" s="25"/>
      <c r="E329" s="26"/>
      <c r="N329" s="42"/>
    </row>
    <row r="330" spans="2:14" s="13" customFormat="1" x14ac:dyDescent="0.35">
      <c r="B330" s="25"/>
      <c r="E330" s="26"/>
      <c r="N330" s="42"/>
    </row>
    <row r="331" spans="2:14" s="13" customFormat="1" x14ac:dyDescent="0.35">
      <c r="B331" s="25"/>
      <c r="E331" s="26"/>
      <c r="N331" s="42"/>
    </row>
    <row r="332" spans="2:14" s="13" customFormat="1" x14ac:dyDescent="0.35">
      <c r="B332" s="25"/>
      <c r="E332" s="26"/>
      <c r="N332" s="42"/>
    </row>
    <row r="333" spans="2:14" s="13" customFormat="1" x14ac:dyDescent="0.35">
      <c r="B333" s="25"/>
      <c r="E333" s="26"/>
      <c r="N333" s="42"/>
    </row>
    <row r="334" spans="2:14" s="13" customFormat="1" x14ac:dyDescent="0.35">
      <c r="B334" s="25"/>
      <c r="E334" s="26"/>
      <c r="N334" s="42"/>
    </row>
    <row r="335" spans="2:14" s="13" customFormat="1" x14ac:dyDescent="0.35">
      <c r="B335" s="25"/>
      <c r="E335" s="26"/>
      <c r="N335" s="42"/>
    </row>
    <row r="336" spans="2:14" s="13" customFormat="1" x14ac:dyDescent="0.35">
      <c r="B336" s="25"/>
      <c r="E336" s="26"/>
      <c r="N336" s="42"/>
    </row>
    <row r="337" spans="2:14" s="13" customFormat="1" x14ac:dyDescent="0.35">
      <c r="B337" s="25"/>
      <c r="E337" s="26"/>
      <c r="N337" s="42"/>
    </row>
    <row r="338" spans="2:14" s="13" customFormat="1" x14ac:dyDescent="0.35">
      <c r="B338" s="25"/>
      <c r="E338" s="26"/>
      <c r="N338" s="42"/>
    </row>
    <row r="339" spans="2:14" s="13" customFormat="1" x14ac:dyDescent="0.35">
      <c r="B339" s="25"/>
      <c r="E339" s="26"/>
      <c r="N339" s="42"/>
    </row>
    <row r="340" spans="2:14" s="13" customFormat="1" x14ac:dyDescent="0.35">
      <c r="B340" s="25"/>
      <c r="E340" s="26"/>
      <c r="N340" s="42"/>
    </row>
    <row r="341" spans="2:14" s="13" customFormat="1" x14ac:dyDescent="0.35">
      <c r="B341" s="25"/>
      <c r="E341" s="26"/>
      <c r="N341" s="42"/>
    </row>
    <row r="342" spans="2:14" s="13" customFormat="1" x14ac:dyDescent="0.35">
      <c r="B342" s="25"/>
      <c r="E342" s="26"/>
      <c r="N342" s="42"/>
    </row>
    <row r="343" spans="2:14" s="13" customFormat="1" x14ac:dyDescent="0.35">
      <c r="B343" s="25"/>
      <c r="E343" s="26"/>
      <c r="N343" s="42"/>
    </row>
    <row r="344" spans="2:14" s="13" customFormat="1" x14ac:dyDescent="0.35">
      <c r="B344" s="25"/>
      <c r="E344" s="26"/>
      <c r="N344" s="42"/>
    </row>
    <row r="345" spans="2:14" s="13" customFormat="1" x14ac:dyDescent="0.35">
      <c r="B345" s="25"/>
      <c r="E345" s="26"/>
      <c r="N345" s="42"/>
    </row>
    <row r="346" spans="2:14" s="13" customFormat="1" x14ac:dyDescent="0.35">
      <c r="B346" s="25"/>
      <c r="E346" s="26"/>
      <c r="N346" s="42"/>
    </row>
    <row r="347" spans="2:14" s="13" customFormat="1" x14ac:dyDescent="0.35">
      <c r="B347" s="25"/>
      <c r="E347" s="26"/>
      <c r="N347" s="42"/>
    </row>
    <row r="348" spans="2:14" s="13" customFormat="1" x14ac:dyDescent="0.35">
      <c r="B348" s="25"/>
      <c r="E348" s="26"/>
      <c r="N348" s="42"/>
    </row>
    <row r="349" spans="2:14" s="13" customFormat="1" x14ac:dyDescent="0.35">
      <c r="B349" s="25"/>
      <c r="E349" s="26"/>
      <c r="N349" s="42"/>
    </row>
    <row r="350" spans="2:14" s="13" customFormat="1" x14ac:dyDescent="0.35">
      <c r="B350" s="25"/>
      <c r="E350" s="26"/>
      <c r="N350" s="42"/>
    </row>
    <row r="351" spans="2:14" s="13" customFormat="1" x14ac:dyDescent="0.35">
      <c r="B351" s="25"/>
      <c r="E351" s="26"/>
      <c r="N351" s="42"/>
    </row>
    <row r="352" spans="2:14" s="13" customFormat="1" x14ac:dyDescent="0.35">
      <c r="B352" s="25"/>
      <c r="E352" s="26"/>
      <c r="N352" s="42"/>
    </row>
    <row r="353" spans="2:14" s="13" customFormat="1" x14ac:dyDescent="0.35">
      <c r="B353" s="25"/>
      <c r="E353" s="26"/>
      <c r="N353" s="42"/>
    </row>
    <row r="354" spans="2:14" s="13" customFormat="1" x14ac:dyDescent="0.35">
      <c r="B354" s="25"/>
      <c r="E354" s="26"/>
      <c r="N354" s="42"/>
    </row>
    <row r="355" spans="2:14" s="13" customFormat="1" x14ac:dyDescent="0.35">
      <c r="B355" s="25"/>
      <c r="E355" s="26"/>
      <c r="N355" s="42"/>
    </row>
    <row r="356" spans="2:14" s="13" customFormat="1" x14ac:dyDescent="0.35">
      <c r="B356" s="25"/>
      <c r="E356" s="26"/>
      <c r="N356" s="42"/>
    </row>
    <row r="357" spans="2:14" s="13" customFormat="1" x14ac:dyDescent="0.35">
      <c r="B357" s="25"/>
      <c r="E357" s="26"/>
      <c r="N357" s="42"/>
    </row>
    <row r="358" spans="2:14" s="13" customFormat="1" x14ac:dyDescent="0.35">
      <c r="B358" s="25"/>
      <c r="E358" s="26"/>
      <c r="N358" s="42"/>
    </row>
    <row r="359" spans="2:14" s="13" customFormat="1" x14ac:dyDescent="0.35">
      <c r="B359" s="25"/>
      <c r="E359" s="26"/>
      <c r="N359" s="42"/>
    </row>
    <row r="360" spans="2:14" s="13" customFormat="1" x14ac:dyDescent="0.35">
      <c r="B360" s="25"/>
      <c r="E360" s="26"/>
      <c r="N360" s="42"/>
    </row>
    <row r="361" spans="2:14" s="13" customFormat="1" x14ac:dyDescent="0.35">
      <c r="B361" s="25"/>
      <c r="E361" s="26"/>
      <c r="N361" s="42"/>
    </row>
    <row r="362" spans="2:14" s="13" customFormat="1" x14ac:dyDescent="0.35">
      <c r="B362" s="25"/>
      <c r="E362" s="26"/>
      <c r="N362" s="42"/>
    </row>
    <row r="363" spans="2:14" s="13" customFormat="1" x14ac:dyDescent="0.35">
      <c r="B363" s="25"/>
      <c r="E363" s="26"/>
      <c r="N363" s="42"/>
    </row>
    <row r="364" spans="2:14" s="13" customFormat="1" x14ac:dyDescent="0.35">
      <c r="B364" s="25"/>
      <c r="E364" s="26"/>
      <c r="N364" s="42"/>
    </row>
    <row r="365" spans="2:14" s="13" customFormat="1" x14ac:dyDescent="0.35">
      <c r="B365" s="25"/>
      <c r="E365" s="26"/>
      <c r="N365" s="42"/>
    </row>
    <row r="366" spans="2:14" s="13" customFormat="1" x14ac:dyDescent="0.35">
      <c r="B366" s="25"/>
      <c r="E366" s="26"/>
      <c r="N366" s="42"/>
    </row>
    <row r="367" spans="2:14" s="13" customFormat="1" x14ac:dyDescent="0.35">
      <c r="B367" s="25"/>
      <c r="E367" s="26"/>
      <c r="N367" s="42"/>
    </row>
    <row r="368" spans="2:14" s="13" customFormat="1" x14ac:dyDescent="0.35">
      <c r="B368" s="25"/>
      <c r="E368" s="26"/>
      <c r="N368" s="42"/>
    </row>
    <row r="369" spans="2:14" s="13" customFormat="1" x14ac:dyDescent="0.35">
      <c r="B369" s="25"/>
      <c r="E369" s="26"/>
      <c r="N369" s="42"/>
    </row>
    <row r="370" spans="2:14" s="13" customFormat="1" x14ac:dyDescent="0.35">
      <c r="B370" s="25"/>
      <c r="E370" s="26"/>
      <c r="N370" s="42"/>
    </row>
    <row r="371" spans="2:14" s="13" customFormat="1" x14ac:dyDescent="0.35">
      <c r="B371" s="25"/>
      <c r="E371" s="26"/>
      <c r="N371" s="42"/>
    </row>
    <row r="372" spans="2:14" s="13" customFormat="1" x14ac:dyDescent="0.35">
      <c r="B372" s="25"/>
      <c r="E372" s="26"/>
      <c r="N372" s="42"/>
    </row>
    <row r="373" spans="2:14" s="13" customFormat="1" x14ac:dyDescent="0.35">
      <c r="B373" s="25"/>
      <c r="E373" s="26"/>
      <c r="N373" s="42"/>
    </row>
    <row r="374" spans="2:14" s="13" customFormat="1" x14ac:dyDescent="0.35">
      <c r="B374" s="25"/>
      <c r="E374" s="26"/>
      <c r="N374" s="42"/>
    </row>
    <row r="375" spans="2:14" s="13" customFormat="1" x14ac:dyDescent="0.35">
      <c r="B375" s="25"/>
      <c r="E375" s="26"/>
      <c r="N375" s="42"/>
    </row>
    <row r="376" spans="2:14" s="13" customFormat="1" x14ac:dyDescent="0.35">
      <c r="B376" s="25"/>
      <c r="E376" s="26"/>
      <c r="N376" s="42"/>
    </row>
    <row r="377" spans="2:14" s="13" customFormat="1" x14ac:dyDescent="0.35">
      <c r="B377" s="25"/>
      <c r="E377" s="26"/>
      <c r="N377" s="42"/>
    </row>
    <row r="378" spans="2:14" s="13" customFormat="1" x14ac:dyDescent="0.35">
      <c r="B378" s="25"/>
      <c r="E378" s="26"/>
      <c r="N378" s="42"/>
    </row>
    <row r="379" spans="2:14" s="13" customFormat="1" x14ac:dyDescent="0.35">
      <c r="B379" s="25"/>
      <c r="E379" s="26"/>
      <c r="N379" s="42"/>
    </row>
    <row r="380" spans="2:14" s="13" customFormat="1" x14ac:dyDescent="0.35">
      <c r="B380" s="25"/>
      <c r="E380" s="26"/>
      <c r="N380" s="42"/>
    </row>
    <row r="381" spans="2:14" s="13" customFormat="1" x14ac:dyDescent="0.35">
      <c r="B381" s="25"/>
      <c r="E381" s="26"/>
      <c r="N381" s="42"/>
    </row>
    <row r="382" spans="2:14" s="13" customFormat="1" x14ac:dyDescent="0.35">
      <c r="B382" s="25"/>
      <c r="E382" s="26"/>
      <c r="N382" s="42"/>
    </row>
    <row r="383" spans="2:14" s="13" customFormat="1" x14ac:dyDescent="0.35">
      <c r="B383" s="25"/>
      <c r="E383" s="26"/>
      <c r="N383" s="42"/>
    </row>
    <row r="384" spans="2:14" s="13" customFormat="1" x14ac:dyDescent="0.35">
      <c r="B384" s="25"/>
      <c r="E384" s="26"/>
      <c r="N384" s="42"/>
    </row>
    <row r="385" spans="2:14" s="13" customFormat="1" x14ac:dyDescent="0.35">
      <c r="B385" s="25"/>
      <c r="E385" s="26"/>
      <c r="N385" s="42"/>
    </row>
    <row r="386" spans="2:14" s="13" customFormat="1" x14ac:dyDescent="0.35">
      <c r="B386" s="25"/>
      <c r="E386" s="26"/>
      <c r="N386" s="42"/>
    </row>
    <row r="387" spans="2:14" s="13" customFormat="1" x14ac:dyDescent="0.35">
      <c r="B387" s="25"/>
      <c r="E387" s="26"/>
      <c r="N387" s="42"/>
    </row>
    <row r="388" spans="2:14" s="13" customFormat="1" x14ac:dyDescent="0.35">
      <c r="B388" s="25"/>
      <c r="E388" s="26"/>
      <c r="N388" s="42"/>
    </row>
    <row r="389" spans="2:14" s="13" customFormat="1" x14ac:dyDescent="0.35">
      <c r="B389" s="25"/>
      <c r="E389" s="26"/>
      <c r="N389" s="42"/>
    </row>
    <row r="390" spans="2:14" s="13" customFormat="1" x14ac:dyDescent="0.35">
      <c r="B390" s="25"/>
      <c r="E390" s="26"/>
      <c r="N390" s="42"/>
    </row>
    <row r="391" spans="2:14" s="13" customFormat="1" x14ac:dyDescent="0.35">
      <c r="B391" s="25"/>
      <c r="E391" s="26"/>
      <c r="N391" s="42"/>
    </row>
    <row r="392" spans="2:14" s="13" customFormat="1" x14ac:dyDescent="0.35">
      <c r="B392" s="25"/>
      <c r="E392" s="26"/>
      <c r="N392" s="42"/>
    </row>
    <row r="393" spans="2:14" s="13" customFormat="1" x14ac:dyDescent="0.35">
      <c r="B393" s="25"/>
      <c r="E393" s="26"/>
      <c r="N393" s="42"/>
    </row>
    <row r="394" spans="2:14" s="13" customFormat="1" x14ac:dyDescent="0.35">
      <c r="B394" s="25"/>
      <c r="E394" s="26"/>
      <c r="N394" s="42"/>
    </row>
    <row r="395" spans="2:14" s="13" customFormat="1" x14ac:dyDescent="0.35">
      <c r="B395" s="25"/>
      <c r="E395" s="26"/>
      <c r="N395" s="42"/>
    </row>
    <row r="396" spans="2:14" s="13" customFormat="1" x14ac:dyDescent="0.35">
      <c r="B396" s="25"/>
      <c r="E396" s="26"/>
      <c r="N396" s="42"/>
    </row>
    <row r="397" spans="2:14" s="13" customFormat="1" x14ac:dyDescent="0.35">
      <c r="B397" s="25"/>
      <c r="E397" s="26"/>
      <c r="N397" s="42"/>
    </row>
    <row r="398" spans="2:14" s="13" customFormat="1" x14ac:dyDescent="0.35">
      <c r="B398" s="25"/>
      <c r="E398" s="26"/>
      <c r="N398" s="42"/>
    </row>
    <row r="399" spans="2:14" s="13" customFormat="1" x14ac:dyDescent="0.35">
      <c r="B399" s="25"/>
      <c r="E399" s="26"/>
      <c r="N399" s="42"/>
    </row>
    <row r="400" spans="2:14" s="13" customFormat="1" x14ac:dyDescent="0.35">
      <c r="B400" s="25"/>
      <c r="E400" s="26"/>
      <c r="N400" s="42"/>
    </row>
    <row r="401" spans="2:14" s="13" customFormat="1" x14ac:dyDescent="0.35">
      <c r="B401" s="25"/>
      <c r="E401" s="26"/>
      <c r="N401" s="42"/>
    </row>
    <row r="402" spans="2:14" s="13" customFormat="1" x14ac:dyDescent="0.35">
      <c r="B402" s="25"/>
      <c r="E402" s="26"/>
      <c r="N402" s="42"/>
    </row>
    <row r="403" spans="2:14" s="13" customFormat="1" x14ac:dyDescent="0.35">
      <c r="B403" s="25"/>
      <c r="E403" s="26"/>
      <c r="N403" s="42"/>
    </row>
    <row r="404" spans="2:14" s="13" customFormat="1" x14ac:dyDescent="0.35">
      <c r="B404" s="25"/>
      <c r="E404" s="26"/>
      <c r="N404" s="42"/>
    </row>
    <row r="405" spans="2:14" s="13" customFormat="1" x14ac:dyDescent="0.35">
      <c r="B405" s="25"/>
      <c r="E405" s="26"/>
      <c r="N405" s="42"/>
    </row>
    <row r="406" spans="2:14" s="13" customFormat="1" x14ac:dyDescent="0.35">
      <c r="B406" s="25"/>
      <c r="E406" s="26"/>
      <c r="N406" s="42"/>
    </row>
    <row r="407" spans="2:14" s="13" customFormat="1" x14ac:dyDescent="0.35">
      <c r="B407" s="25"/>
      <c r="E407" s="26"/>
      <c r="N407" s="42"/>
    </row>
    <row r="408" spans="2:14" s="13" customFormat="1" x14ac:dyDescent="0.35">
      <c r="B408" s="25"/>
      <c r="E408" s="26"/>
      <c r="N408" s="42"/>
    </row>
    <row r="409" spans="2:14" s="13" customFormat="1" x14ac:dyDescent="0.35">
      <c r="B409" s="25"/>
      <c r="E409" s="26"/>
      <c r="N409" s="42"/>
    </row>
    <row r="410" spans="2:14" s="13" customFormat="1" x14ac:dyDescent="0.35">
      <c r="B410" s="25"/>
      <c r="E410" s="26"/>
      <c r="N410" s="42"/>
    </row>
    <row r="411" spans="2:14" s="13" customFormat="1" x14ac:dyDescent="0.35">
      <c r="B411" s="25"/>
      <c r="E411" s="26"/>
      <c r="N411" s="42"/>
    </row>
    <row r="412" spans="2:14" s="13" customFormat="1" x14ac:dyDescent="0.35">
      <c r="B412" s="25"/>
      <c r="E412" s="26"/>
      <c r="N412" s="42"/>
    </row>
    <row r="413" spans="2:14" s="13" customFormat="1" x14ac:dyDescent="0.35">
      <c r="B413" s="25"/>
      <c r="E413" s="26"/>
      <c r="N413" s="42"/>
    </row>
    <row r="414" spans="2:14" s="13" customFormat="1" x14ac:dyDescent="0.35">
      <c r="B414" s="25"/>
      <c r="E414" s="26"/>
      <c r="N414" s="42"/>
    </row>
    <row r="415" spans="2:14" s="13" customFormat="1" x14ac:dyDescent="0.35">
      <c r="B415" s="25"/>
      <c r="E415" s="26"/>
      <c r="N415" s="42"/>
    </row>
    <row r="416" spans="2:14" s="13" customFormat="1" x14ac:dyDescent="0.35">
      <c r="B416" s="25"/>
      <c r="E416" s="26"/>
      <c r="N416" s="42"/>
    </row>
    <row r="417" spans="2:14" s="13" customFormat="1" x14ac:dyDescent="0.35">
      <c r="B417" s="25"/>
      <c r="E417" s="26"/>
      <c r="N417" s="42"/>
    </row>
    <row r="418" spans="2:14" s="13" customFormat="1" x14ac:dyDescent="0.35">
      <c r="B418" s="25"/>
      <c r="E418" s="26"/>
      <c r="N418" s="42"/>
    </row>
    <row r="419" spans="2:14" s="13" customFormat="1" x14ac:dyDescent="0.35">
      <c r="B419" s="25"/>
      <c r="E419" s="26"/>
      <c r="N419" s="42"/>
    </row>
    <row r="420" spans="2:14" s="13" customFormat="1" x14ac:dyDescent="0.35">
      <c r="B420" s="25"/>
      <c r="E420" s="26"/>
      <c r="N420" s="42"/>
    </row>
    <row r="421" spans="2:14" s="13" customFormat="1" x14ac:dyDescent="0.35">
      <c r="B421" s="25"/>
      <c r="E421" s="26"/>
      <c r="N421" s="42"/>
    </row>
    <row r="422" spans="2:14" s="13" customFormat="1" x14ac:dyDescent="0.35">
      <c r="B422" s="25"/>
      <c r="E422" s="26"/>
      <c r="N422" s="42"/>
    </row>
    <row r="423" spans="2:14" s="13" customFormat="1" x14ac:dyDescent="0.35">
      <c r="B423" s="25"/>
      <c r="E423" s="26"/>
      <c r="N423" s="42"/>
    </row>
    <row r="424" spans="2:14" s="13" customFormat="1" x14ac:dyDescent="0.35">
      <c r="B424" s="25"/>
      <c r="E424" s="26"/>
      <c r="N424" s="42"/>
    </row>
    <row r="425" spans="2:14" s="13" customFormat="1" x14ac:dyDescent="0.35">
      <c r="B425" s="25"/>
      <c r="E425" s="26"/>
      <c r="N425" s="42"/>
    </row>
    <row r="426" spans="2:14" s="13" customFormat="1" x14ac:dyDescent="0.35">
      <c r="B426" s="25"/>
      <c r="E426" s="26"/>
      <c r="N426" s="42"/>
    </row>
    <row r="427" spans="2:14" s="13" customFormat="1" x14ac:dyDescent="0.35">
      <c r="B427" s="25"/>
      <c r="E427" s="26"/>
      <c r="N427" s="42"/>
    </row>
    <row r="428" spans="2:14" s="13" customFormat="1" x14ac:dyDescent="0.35">
      <c r="B428" s="25"/>
      <c r="E428" s="26"/>
      <c r="N428" s="42"/>
    </row>
    <row r="429" spans="2:14" s="13" customFormat="1" x14ac:dyDescent="0.35">
      <c r="B429" s="25"/>
      <c r="E429" s="26"/>
      <c r="N429" s="42"/>
    </row>
    <row r="430" spans="2:14" s="13" customFormat="1" x14ac:dyDescent="0.35">
      <c r="B430" s="25"/>
      <c r="E430" s="26"/>
      <c r="N430" s="42"/>
    </row>
    <row r="431" spans="2:14" s="13" customFormat="1" x14ac:dyDescent="0.35">
      <c r="B431" s="25"/>
      <c r="E431" s="26"/>
      <c r="N431" s="42"/>
    </row>
    <row r="432" spans="2:14" s="13" customFormat="1" x14ac:dyDescent="0.35">
      <c r="B432" s="25"/>
      <c r="E432" s="26"/>
      <c r="N432" s="42"/>
    </row>
    <row r="433" spans="2:14" s="13" customFormat="1" x14ac:dyDescent="0.35">
      <c r="B433" s="25"/>
      <c r="E433" s="26"/>
      <c r="N433" s="42"/>
    </row>
    <row r="434" spans="2:14" s="13" customFormat="1" x14ac:dyDescent="0.35">
      <c r="B434" s="25"/>
      <c r="E434" s="26"/>
      <c r="N434" s="42"/>
    </row>
    <row r="435" spans="2:14" s="13" customFormat="1" x14ac:dyDescent="0.35">
      <c r="B435" s="25"/>
      <c r="E435" s="26"/>
      <c r="N435" s="42"/>
    </row>
    <row r="436" spans="2:14" s="13" customFormat="1" x14ac:dyDescent="0.35">
      <c r="B436" s="25"/>
      <c r="E436" s="26"/>
      <c r="N436" s="42"/>
    </row>
    <row r="437" spans="2:14" s="13" customFormat="1" x14ac:dyDescent="0.35">
      <c r="B437" s="25"/>
      <c r="E437" s="26"/>
      <c r="N437" s="42"/>
    </row>
    <row r="438" spans="2:14" s="13" customFormat="1" x14ac:dyDescent="0.35">
      <c r="B438" s="25"/>
      <c r="E438" s="26"/>
      <c r="N438" s="42"/>
    </row>
    <row r="439" spans="2:14" s="13" customFormat="1" x14ac:dyDescent="0.35">
      <c r="B439" s="25"/>
      <c r="E439" s="26"/>
      <c r="N439" s="42"/>
    </row>
    <row r="440" spans="2:14" s="13" customFormat="1" x14ac:dyDescent="0.35">
      <c r="B440" s="25"/>
      <c r="E440" s="26"/>
      <c r="N440" s="42"/>
    </row>
    <row r="441" spans="2:14" s="13" customFormat="1" x14ac:dyDescent="0.35">
      <c r="B441" s="25"/>
      <c r="E441" s="26"/>
      <c r="N441" s="42"/>
    </row>
    <row r="442" spans="2:14" s="13" customFormat="1" x14ac:dyDescent="0.35">
      <c r="B442" s="25"/>
      <c r="E442" s="26"/>
      <c r="N442" s="42"/>
    </row>
    <row r="443" spans="2:14" s="13" customFormat="1" x14ac:dyDescent="0.35">
      <c r="B443" s="25"/>
      <c r="E443" s="26"/>
      <c r="N443" s="42"/>
    </row>
    <row r="444" spans="2:14" s="13" customFormat="1" x14ac:dyDescent="0.35">
      <c r="B444" s="25"/>
      <c r="E444" s="26"/>
      <c r="N444" s="42"/>
    </row>
    <row r="445" spans="2:14" s="13" customFormat="1" x14ac:dyDescent="0.35">
      <c r="B445" s="25"/>
      <c r="E445" s="26"/>
      <c r="N445" s="42"/>
    </row>
    <row r="446" spans="2:14" s="13" customFormat="1" x14ac:dyDescent="0.35">
      <c r="B446" s="25"/>
      <c r="E446" s="26"/>
      <c r="N446" s="42"/>
    </row>
    <row r="447" spans="2:14" s="13" customFormat="1" x14ac:dyDescent="0.35">
      <c r="B447" s="25"/>
      <c r="E447" s="26"/>
      <c r="N447" s="42"/>
    </row>
    <row r="448" spans="2:14" s="13" customFormat="1" x14ac:dyDescent="0.35">
      <c r="B448" s="25"/>
      <c r="E448" s="26"/>
      <c r="N448" s="42"/>
    </row>
    <row r="449" spans="2:14" s="13" customFormat="1" x14ac:dyDescent="0.35">
      <c r="B449" s="25"/>
      <c r="E449" s="26"/>
      <c r="N449" s="42"/>
    </row>
    <row r="450" spans="2:14" s="13" customFormat="1" x14ac:dyDescent="0.35">
      <c r="B450" s="25"/>
      <c r="E450" s="26"/>
      <c r="N450" s="42"/>
    </row>
    <row r="451" spans="2:14" s="13" customFormat="1" x14ac:dyDescent="0.35">
      <c r="B451" s="25"/>
      <c r="E451" s="26"/>
      <c r="N451" s="42"/>
    </row>
    <row r="452" spans="2:14" s="13" customFormat="1" x14ac:dyDescent="0.35">
      <c r="B452" s="25"/>
      <c r="E452" s="26"/>
      <c r="N452" s="42"/>
    </row>
    <row r="453" spans="2:14" s="13" customFormat="1" x14ac:dyDescent="0.35">
      <c r="B453" s="25"/>
      <c r="E453" s="26"/>
      <c r="N453" s="42"/>
    </row>
    <row r="454" spans="2:14" s="13" customFormat="1" x14ac:dyDescent="0.35">
      <c r="B454" s="25"/>
      <c r="E454" s="26"/>
      <c r="N454" s="42"/>
    </row>
    <row r="455" spans="2:14" s="13" customFormat="1" x14ac:dyDescent="0.35">
      <c r="B455" s="25"/>
      <c r="E455" s="26"/>
      <c r="N455" s="42"/>
    </row>
    <row r="456" spans="2:14" s="13" customFormat="1" x14ac:dyDescent="0.35">
      <c r="B456" s="25"/>
      <c r="E456" s="26"/>
      <c r="N456" s="42"/>
    </row>
    <row r="457" spans="2:14" s="13" customFormat="1" x14ac:dyDescent="0.35">
      <c r="B457" s="25"/>
      <c r="E457" s="26"/>
      <c r="N457" s="42"/>
    </row>
    <row r="458" spans="2:14" s="13" customFormat="1" x14ac:dyDescent="0.35">
      <c r="B458" s="25"/>
      <c r="E458" s="26"/>
      <c r="N458" s="42"/>
    </row>
    <row r="459" spans="2:14" s="13" customFormat="1" x14ac:dyDescent="0.35">
      <c r="B459" s="25"/>
      <c r="E459" s="26"/>
      <c r="N459" s="42"/>
    </row>
    <row r="460" spans="2:14" s="13" customFormat="1" x14ac:dyDescent="0.35">
      <c r="B460" s="25"/>
      <c r="E460" s="26"/>
      <c r="N460" s="42"/>
    </row>
    <row r="461" spans="2:14" s="13" customFormat="1" x14ac:dyDescent="0.35">
      <c r="B461" s="25"/>
      <c r="E461" s="26"/>
      <c r="N461" s="42"/>
    </row>
    <row r="462" spans="2:14" s="13" customFormat="1" x14ac:dyDescent="0.35">
      <c r="B462" s="25"/>
      <c r="E462" s="26"/>
      <c r="N462" s="42"/>
    </row>
    <row r="463" spans="2:14" s="13" customFormat="1" x14ac:dyDescent="0.35">
      <c r="B463" s="25"/>
      <c r="E463" s="26"/>
      <c r="N463" s="42"/>
    </row>
    <row r="464" spans="2:14" s="13" customFormat="1" x14ac:dyDescent="0.35">
      <c r="B464" s="25"/>
      <c r="E464" s="26"/>
      <c r="N464" s="42"/>
    </row>
    <row r="465" spans="2:14" s="13" customFormat="1" x14ac:dyDescent="0.35">
      <c r="B465" s="25"/>
      <c r="E465" s="26"/>
      <c r="N465" s="42"/>
    </row>
    <row r="466" spans="2:14" s="13" customFormat="1" x14ac:dyDescent="0.35">
      <c r="B466" s="25"/>
      <c r="E466" s="26"/>
      <c r="N466" s="42"/>
    </row>
    <row r="467" spans="2:14" s="13" customFormat="1" x14ac:dyDescent="0.35">
      <c r="B467" s="25"/>
      <c r="E467" s="26"/>
      <c r="N467" s="42"/>
    </row>
    <row r="468" spans="2:14" s="13" customFormat="1" x14ac:dyDescent="0.35">
      <c r="B468" s="25"/>
      <c r="E468" s="26"/>
      <c r="N468" s="42"/>
    </row>
    <row r="469" spans="2:14" s="13" customFormat="1" x14ac:dyDescent="0.35">
      <c r="B469" s="25"/>
      <c r="E469" s="26"/>
      <c r="N469" s="42"/>
    </row>
    <row r="470" spans="2:14" s="13" customFormat="1" x14ac:dyDescent="0.35">
      <c r="B470" s="25"/>
      <c r="E470" s="26"/>
      <c r="N470" s="42"/>
    </row>
    <row r="471" spans="2:14" s="13" customFormat="1" x14ac:dyDescent="0.35">
      <c r="B471" s="25"/>
      <c r="E471" s="26"/>
      <c r="N471" s="42"/>
    </row>
    <row r="472" spans="2:14" s="13" customFormat="1" x14ac:dyDescent="0.35">
      <c r="B472" s="25"/>
      <c r="E472" s="26"/>
      <c r="N472" s="42"/>
    </row>
    <row r="473" spans="2:14" s="13" customFormat="1" x14ac:dyDescent="0.35">
      <c r="B473" s="25"/>
      <c r="E473" s="26"/>
      <c r="N473" s="42"/>
    </row>
    <row r="474" spans="2:14" s="13" customFormat="1" x14ac:dyDescent="0.35">
      <c r="B474" s="25"/>
      <c r="E474" s="26"/>
      <c r="N474" s="42"/>
    </row>
    <row r="475" spans="2:14" s="13" customFormat="1" x14ac:dyDescent="0.35">
      <c r="B475" s="25"/>
      <c r="E475" s="26"/>
      <c r="N475" s="42"/>
    </row>
    <row r="476" spans="2:14" s="13" customFormat="1" x14ac:dyDescent="0.35">
      <c r="B476" s="25"/>
      <c r="E476" s="26"/>
      <c r="N476" s="42"/>
    </row>
    <row r="477" spans="2:14" s="13" customFormat="1" x14ac:dyDescent="0.35">
      <c r="B477" s="25"/>
      <c r="E477" s="26"/>
      <c r="N477" s="42"/>
    </row>
    <row r="478" spans="2:14" s="13" customFormat="1" x14ac:dyDescent="0.35">
      <c r="B478" s="25"/>
      <c r="E478" s="26"/>
      <c r="N478" s="42"/>
    </row>
    <row r="479" spans="2:14" s="13" customFormat="1" x14ac:dyDescent="0.35">
      <c r="B479" s="25"/>
      <c r="E479" s="26"/>
      <c r="N479" s="42"/>
    </row>
    <row r="480" spans="2:14" s="13" customFormat="1" x14ac:dyDescent="0.35">
      <c r="B480" s="25"/>
      <c r="E480" s="26"/>
      <c r="N480" s="42"/>
    </row>
    <row r="481" spans="2:14" s="13" customFormat="1" x14ac:dyDescent="0.35">
      <c r="B481" s="25"/>
      <c r="E481" s="26"/>
      <c r="N481" s="42"/>
    </row>
    <row r="482" spans="2:14" s="13" customFormat="1" x14ac:dyDescent="0.35">
      <c r="B482" s="25"/>
      <c r="E482" s="26"/>
      <c r="N482" s="42"/>
    </row>
    <row r="483" spans="2:14" s="13" customFormat="1" x14ac:dyDescent="0.35">
      <c r="B483" s="25"/>
      <c r="E483" s="26"/>
      <c r="N483" s="42"/>
    </row>
    <row r="484" spans="2:14" s="13" customFormat="1" x14ac:dyDescent="0.35">
      <c r="B484" s="25"/>
      <c r="E484" s="26"/>
      <c r="N484" s="42"/>
    </row>
    <row r="485" spans="2:14" s="13" customFormat="1" x14ac:dyDescent="0.35">
      <c r="B485" s="25"/>
      <c r="E485" s="26"/>
      <c r="N485" s="42"/>
    </row>
    <row r="486" spans="2:14" s="13" customFormat="1" x14ac:dyDescent="0.35">
      <c r="B486" s="25"/>
      <c r="E486" s="26"/>
      <c r="N486" s="42"/>
    </row>
    <row r="487" spans="2:14" s="13" customFormat="1" x14ac:dyDescent="0.35">
      <c r="B487" s="25"/>
      <c r="E487" s="26"/>
      <c r="N487" s="42"/>
    </row>
    <row r="488" spans="2:14" s="13" customFormat="1" x14ac:dyDescent="0.35">
      <c r="B488" s="25"/>
      <c r="E488" s="26"/>
      <c r="N488" s="42"/>
    </row>
    <row r="489" spans="2:14" s="13" customFormat="1" x14ac:dyDescent="0.35">
      <c r="B489" s="25"/>
      <c r="E489" s="26"/>
      <c r="N489" s="42"/>
    </row>
    <row r="490" spans="2:14" s="13" customFormat="1" x14ac:dyDescent="0.35">
      <c r="B490" s="25"/>
      <c r="E490" s="26"/>
      <c r="N490" s="42"/>
    </row>
    <row r="491" spans="2:14" s="13" customFormat="1" x14ac:dyDescent="0.35">
      <c r="B491" s="25"/>
      <c r="E491" s="26"/>
      <c r="N491" s="42"/>
    </row>
    <row r="492" spans="2:14" s="13" customFormat="1" x14ac:dyDescent="0.35">
      <c r="B492" s="25"/>
      <c r="E492" s="26"/>
      <c r="N492" s="42"/>
    </row>
    <row r="493" spans="2:14" s="13" customFormat="1" x14ac:dyDescent="0.35">
      <c r="B493" s="25"/>
      <c r="E493" s="26"/>
      <c r="N493" s="42"/>
    </row>
    <row r="494" spans="2:14" s="13" customFormat="1" x14ac:dyDescent="0.35">
      <c r="B494" s="25"/>
      <c r="E494" s="26"/>
      <c r="N494" s="42"/>
    </row>
    <row r="495" spans="2:14" s="13" customFormat="1" x14ac:dyDescent="0.35">
      <c r="B495" s="25"/>
      <c r="E495" s="26"/>
      <c r="N495" s="42"/>
    </row>
    <row r="496" spans="2:14" s="13" customFormat="1" x14ac:dyDescent="0.35">
      <c r="B496" s="25"/>
      <c r="E496" s="26"/>
      <c r="N496" s="42"/>
    </row>
    <row r="497" spans="2:14" s="13" customFormat="1" x14ac:dyDescent="0.35">
      <c r="B497" s="25"/>
      <c r="E497" s="26"/>
      <c r="N497" s="42"/>
    </row>
    <row r="498" spans="2:14" s="13" customFormat="1" x14ac:dyDescent="0.35">
      <c r="B498" s="25"/>
      <c r="E498" s="26"/>
      <c r="N498" s="42"/>
    </row>
    <row r="499" spans="2:14" s="13" customFormat="1" x14ac:dyDescent="0.35">
      <c r="B499" s="25"/>
      <c r="E499" s="26"/>
      <c r="N499" s="42"/>
    </row>
    <row r="500" spans="2:14" s="13" customFormat="1" x14ac:dyDescent="0.35">
      <c r="B500" s="25"/>
      <c r="E500" s="26"/>
      <c r="N500" s="42"/>
    </row>
    <row r="501" spans="2:14" s="13" customFormat="1" x14ac:dyDescent="0.35">
      <c r="B501" s="25"/>
      <c r="E501" s="26"/>
      <c r="N501" s="42"/>
    </row>
    <row r="502" spans="2:14" s="13" customFormat="1" x14ac:dyDescent="0.35">
      <c r="B502" s="25"/>
      <c r="E502" s="26"/>
      <c r="N502" s="42"/>
    </row>
    <row r="503" spans="2:14" s="13" customFormat="1" x14ac:dyDescent="0.35">
      <c r="B503" s="25"/>
      <c r="E503" s="26"/>
      <c r="N503" s="42"/>
    </row>
    <row r="504" spans="2:14" s="13" customFormat="1" x14ac:dyDescent="0.35">
      <c r="B504" s="25"/>
      <c r="E504" s="26"/>
      <c r="N504" s="42"/>
    </row>
    <row r="505" spans="2:14" s="13" customFormat="1" x14ac:dyDescent="0.35">
      <c r="B505" s="25"/>
      <c r="E505" s="26"/>
      <c r="N505" s="42"/>
    </row>
    <row r="506" spans="2:14" s="13" customFormat="1" x14ac:dyDescent="0.35">
      <c r="B506" s="25"/>
      <c r="E506" s="26"/>
      <c r="N506" s="42"/>
    </row>
    <row r="507" spans="2:14" s="13" customFormat="1" x14ac:dyDescent="0.35">
      <c r="B507" s="25"/>
      <c r="E507" s="26"/>
      <c r="N507" s="42"/>
    </row>
    <row r="508" spans="2:14" s="13" customFormat="1" x14ac:dyDescent="0.35">
      <c r="B508" s="25"/>
      <c r="E508" s="26"/>
      <c r="N508" s="42"/>
    </row>
    <row r="509" spans="2:14" s="13" customFormat="1" x14ac:dyDescent="0.35">
      <c r="B509" s="25"/>
      <c r="E509" s="26"/>
      <c r="N509" s="42"/>
    </row>
    <row r="510" spans="2:14" s="13" customFormat="1" x14ac:dyDescent="0.35">
      <c r="B510" s="25"/>
      <c r="E510" s="26"/>
      <c r="N510" s="42"/>
    </row>
    <row r="511" spans="2:14" s="13" customFormat="1" x14ac:dyDescent="0.35">
      <c r="B511" s="25"/>
      <c r="E511" s="26"/>
      <c r="N511" s="42"/>
    </row>
    <row r="512" spans="2:14" s="13" customFormat="1" x14ac:dyDescent="0.35">
      <c r="B512" s="25"/>
      <c r="E512" s="26"/>
      <c r="N512" s="42"/>
    </row>
    <row r="513" spans="2:14" s="13" customFormat="1" x14ac:dyDescent="0.35">
      <c r="B513" s="25"/>
      <c r="E513" s="26"/>
      <c r="N513" s="42"/>
    </row>
    <row r="514" spans="2:14" s="13" customFormat="1" x14ac:dyDescent="0.35">
      <c r="B514" s="25"/>
      <c r="E514" s="26"/>
      <c r="N514" s="42"/>
    </row>
    <row r="515" spans="2:14" s="13" customFormat="1" x14ac:dyDescent="0.35">
      <c r="B515" s="25"/>
      <c r="E515" s="26"/>
      <c r="N515" s="42"/>
    </row>
    <row r="516" spans="2:14" s="13" customFormat="1" x14ac:dyDescent="0.35">
      <c r="B516" s="25"/>
      <c r="E516" s="26"/>
      <c r="N516" s="42"/>
    </row>
    <row r="517" spans="2:14" s="13" customFormat="1" x14ac:dyDescent="0.35">
      <c r="B517" s="25"/>
      <c r="E517" s="26"/>
      <c r="N517" s="42"/>
    </row>
    <row r="518" spans="2:14" s="13" customFormat="1" x14ac:dyDescent="0.35">
      <c r="B518" s="25"/>
      <c r="E518" s="26"/>
      <c r="N518" s="42"/>
    </row>
    <row r="519" spans="2:14" s="13" customFormat="1" x14ac:dyDescent="0.35">
      <c r="B519" s="25"/>
      <c r="E519" s="26"/>
      <c r="N519" s="42"/>
    </row>
    <row r="520" spans="2:14" s="13" customFormat="1" x14ac:dyDescent="0.35">
      <c r="B520" s="25"/>
      <c r="E520" s="26"/>
      <c r="N520" s="42"/>
    </row>
    <row r="521" spans="2:14" s="13" customFormat="1" x14ac:dyDescent="0.35">
      <c r="B521" s="25"/>
      <c r="E521" s="26"/>
      <c r="N521" s="42"/>
    </row>
    <row r="522" spans="2:14" s="13" customFormat="1" x14ac:dyDescent="0.35">
      <c r="B522" s="25"/>
      <c r="E522" s="26"/>
      <c r="N522" s="42"/>
    </row>
    <row r="523" spans="2:14" s="13" customFormat="1" x14ac:dyDescent="0.35">
      <c r="B523" s="25"/>
      <c r="E523" s="26"/>
      <c r="N523" s="42"/>
    </row>
    <row r="524" spans="2:14" s="13" customFormat="1" x14ac:dyDescent="0.35">
      <c r="B524" s="25"/>
      <c r="E524" s="26"/>
      <c r="N524" s="42"/>
    </row>
    <row r="525" spans="2:14" s="13" customFormat="1" x14ac:dyDescent="0.35">
      <c r="B525" s="25"/>
      <c r="E525" s="26"/>
      <c r="N525" s="42"/>
    </row>
    <row r="526" spans="2:14" s="13" customFormat="1" x14ac:dyDescent="0.35">
      <c r="B526" s="25"/>
      <c r="E526" s="26"/>
      <c r="N526" s="42"/>
    </row>
    <row r="527" spans="2:14" s="13" customFormat="1" x14ac:dyDescent="0.35">
      <c r="B527" s="25"/>
      <c r="E527" s="26"/>
      <c r="N527" s="42"/>
    </row>
    <row r="528" spans="2:14" s="13" customFormat="1" x14ac:dyDescent="0.35">
      <c r="B528" s="25"/>
      <c r="E528" s="26"/>
      <c r="N528" s="42"/>
    </row>
    <row r="529" spans="2:14" s="13" customFormat="1" x14ac:dyDescent="0.35">
      <c r="B529" s="25"/>
      <c r="E529" s="26"/>
      <c r="N529" s="42"/>
    </row>
    <row r="530" spans="2:14" s="13" customFormat="1" x14ac:dyDescent="0.35">
      <c r="B530" s="25"/>
      <c r="E530" s="26"/>
      <c r="N530" s="42"/>
    </row>
    <row r="531" spans="2:14" s="13" customFormat="1" x14ac:dyDescent="0.35">
      <c r="B531" s="25"/>
      <c r="E531" s="26"/>
      <c r="N531" s="42"/>
    </row>
    <row r="532" spans="2:14" s="13" customFormat="1" x14ac:dyDescent="0.35">
      <c r="B532" s="25"/>
      <c r="E532" s="26"/>
      <c r="N532" s="42"/>
    </row>
    <row r="533" spans="2:14" s="13" customFormat="1" x14ac:dyDescent="0.35">
      <c r="B533" s="25"/>
      <c r="E533" s="26"/>
      <c r="N533" s="42"/>
    </row>
    <row r="534" spans="2:14" s="13" customFormat="1" x14ac:dyDescent="0.35">
      <c r="B534" s="25"/>
      <c r="E534" s="26"/>
      <c r="N534" s="42"/>
    </row>
    <row r="535" spans="2:14" s="13" customFormat="1" x14ac:dyDescent="0.35">
      <c r="B535" s="25"/>
      <c r="E535" s="26"/>
      <c r="N535" s="42"/>
    </row>
    <row r="536" spans="2:14" s="13" customFormat="1" x14ac:dyDescent="0.35">
      <c r="B536" s="25"/>
      <c r="E536" s="26"/>
      <c r="N536" s="42"/>
    </row>
    <row r="537" spans="2:14" s="13" customFormat="1" x14ac:dyDescent="0.35">
      <c r="B537" s="25"/>
      <c r="E537" s="26"/>
      <c r="N537" s="42"/>
    </row>
    <row r="538" spans="2:14" s="13" customFormat="1" x14ac:dyDescent="0.35">
      <c r="B538" s="25"/>
      <c r="E538" s="26"/>
      <c r="N538" s="42"/>
    </row>
    <row r="539" spans="2:14" s="13" customFormat="1" x14ac:dyDescent="0.35">
      <c r="B539" s="25"/>
      <c r="E539" s="26"/>
      <c r="N539" s="42"/>
    </row>
    <row r="540" spans="2:14" s="13" customFormat="1" x14ac:dyDescent="0.35">
      <c r="B540" s="25"/>
      <c r="E540" s="26"/>
      <c r="N540" s="42"/>
    </row>
    <row r="541" spans="2:14" s="13" customFormat="1" x14ac:dyDescent="0.35">
      <c r="B541" s="25"/>
      <c r="E541" s="26"/>
      <c r="N541" s="42"/>
    </row>
    <row r="542" spans="2:14" s="13" customFormat="1" x14ac:dyDescent="0.35">
      <c r="B542" s="25"/>
      <c r="E542" s="26"/>
      <c r="N542" s="42"/>
    </row>
    <row r="543" spans="2:14" s="13" customFormat="1" x14ac:dyDescent="0.35">
      <c r="B543" s="25"/>
      <c r="E543" s="26"/>
      <c r="N543" s="42"/>
    </row>
    <row r="544" spans="2:14" s="13" customFormat="1" x14ac:dyDescent="0.35">
      <c r="B544" s="25"/>
      <c r="E544" s="26"/>
      <c r="N544" s="42"/>
    </row>
    <row r="545" spans="2:14" s="13" customFormat="1" x14ac:dyDescent="0.35">
      <c r="B545" s="25"/>
      <c r="E545" s="26"/>
      <c r="N545" s="42"/>
    </row>
    <row r="546" spans="2:14" s="13" customFormat="1" x14ac:dyDescent="0.35">
      <c r="B546" s="25"/>
      <c r="E546" s="26"/>
      <c r="N546" s="42"/>
    </row>
    <row r="547" spans="2:14" s="13" customFormat="1" x14ac:dyDescent="0.35">
      <c r="B547" s="25"/>
      <c r="E547" s="26"/>
      <c r="N547" s="42"/>
    </row>
    <row r="548" spans="2:14" s="13" customFormat="1" x14ac:dyDescent="0.35">
      <c r="B548" s="25"/>
      <c r="E548" s="26"/>
      <c r="N548" s="42"/>
    </row>
    <row r="549" spans="2:14" s="13" customFormat="1" x14ac:dyDescent="0.35">
      <c r="B549" s="25"/>
      <c r="E549" s="26"/>
      <c r="N549" s="42"/>
    </row>
    <row r="550" spans="2:14" s="13" customFormat="1" x14ac:dyDescent="0.35">
      <c r="B550" s="25"/>
      <c r="E550" s="26"/>
      <c r="N550" s="42"/>
    </row>
    <row r="551" spans="2:14" s="13" customFormat="1" x14ac:dyDescent="0.35">
      <c r="B551" s="25"/>
      <c r="E551" s="26"/>
      <c r="N551" s="42"/>
    </row>
    <row r="552" spans="2:14" s="13" customFormat="1" x14ac:dyDescent="0.35">
      <c r="B552" s="25"/>
      <c r="E552" s="26"/>
      <c r="N552" s="42"/>
    </row>
    <row r="553" spans="2:14" s="13" customFormat="1" x14ac:dyDescent="0.35">
      <c r="B553" s="25"/>
      <c r="E553" s="26"/>
      <c r="N553" s="42"/>
    </row>
    <row r="554" spans="2:14" s="13" customFormat="1" x14ac:dyDescent="0.35">
      <c r="B554" s="25"/>
      <c r="E554" s="26"/>
      <c r="N554" s="42"/>
    </row>
    <row r="555" spans="2:14" s="13" customFormat="1" x14ac:dyDescent="0.35">
      <c r="B555" s="25"/>
      <c r="E555" s="26"/>
      <c r="N555" s="42"/>
    </row>
    <row r="556" spans="2:14" s="13" customFormat="1" x14ac:dyDescent="0.35">
      <c r="B556" s="25"/>
      <c r="E556" s="26"/>
      <c r="N556" s="42"/>
    </row>
    <row r="557" spans="2:14" s="13" customFormat="1" x14ac:dyDescent="0.35">
      <c r="B557" s="25"/>
      <c r="E557" s="26"/>
      <c r="N557" s="42"/>
    </row>
    <row r="558" spans="2:14" s="13" customFormat="1" x14ac:dyDescent="0.35">
      <c r="B558" s="25"/>
      <c r="E558" s="26"/>
      <c r="N558" s="42"/>
    </row>
    <row r="559" spans="2:14" s="13" customFormat="1" x14ac:dyDescent="0.35">
      <c r="B559" s="25"/>
      <c r="E559" s="26"/>
      <c r="N559" s="42"/>
    </row>
    <row r="560" spans="2:14" s="13" customFormat="1" x14ac:dyDescent="0.35">
      <c r="B560" s="25"/>
      <c r="E560" s="26"/>
      <c r="N560" s="42"/>
    </row>
    <row r="561" spans="2:14" s="13" customFormat="1" x14ac:dyDescent="0.35">
      <c r="B561" s="25"/>
      <c r="E561" s="26"/>
      <c r="N561" s="42"/>
    </row>
    <row r="562" spans="2:14" s="13" customFormat="1" x14ac:dyDescent="0.35">
      <c r="B562" s="25"/>
      <c r="E562" s="26"/>
      <c r="N562" s="42"/>
    </row>
    <row r="563" spans="2:14" s="13" customFormat="1" x14ac:dyDescent="0.35">
      <c r="B563" s="25"/>
      <c r="E563" s="26"/>
      <c r="N563" s="42"/>
    </row>
    <row r="564" spans="2:14" s="13" customFormat="1" x14ac:dyDescent="0.35">
      <c r="B564" s="25"/>
      <c r="E564" s="26"/>
      <c r="N564" s="42"/>
    </row>
    <row r="565" spans="2:14" s="13" customFormat="1" x14ac:dyDescent="0.35">
      <c r="B565" s="25"/>
      <c r="E565" s="26"/>
      <c r="N565" s="42"/>
    </row>
    <row r="566" spans="2:14" s="13" customFormat="1" x14ac:dyDescent="0.35">
      <c r="B566" s="25"/>
      <c r="E566" s="26"/>
      <c r="N566" s="42"/>
    </row>
    <row r="567" spans="2:14" s="13" customFormat="1" x14ac:dyDescent="0.35">
      <c r="B567" s="25"/>
      <c r="E567" s="26"/>
      <c r="N567" s="42"/>
    </row>
    <row r="568" spans="2:14" s="13" customFormat="1" x14ac:dyDescent="0.35">
      <c r="B568" s="25"/>
      <c r="E568" s="26"/>
      <c r="N568" s="42"/>
    </row>
    <row r="569" spans="2:14" s="13" customFormat="1" x14ac:dyDescent="0.35">
      <c r="B569" s="25"/>
      <c r="E569" s="26"/>
      <c r="N569" s="42"/>
    </row>
    <row r="570" spans="2:14" s="13" customFormat="1" x14ac:dyDescent="0.35">
      <c r="B570" s="25"/>
      <c r="E570" s="26"/>
      <c r="N570" s="42"/>
    </row>
    <row r="571" spans="2:14" s="13" customFormat="1" x14ac:dyDescent="0.35">
      <c r="B571" s="25"/>
      <c r="E571" s="26"/>
      <c r="N571" s="42"/>
    </row>
    <row r="572" spans="2:14" s="13" customFormat="1" x14ac:dyDescent="0.35">
      <c r="B572" s="25"/>
      <c r="E572" s="26"/>
      <c r="N572" s="42"/>
    </row>
    <row r="573" spans="2:14" s="13" customFormat="1" x14ac:dyDescent="0.35">
      <c r="B573" s="25"/>
      <c r="E573" s="26"/>
      <c r="N573" s="42"/>
    </row>
    <row r="574" spans="2:14" s="13" customFormat="1" x14ac:dyDescent="0.35">
      <c r="B574" s="25"/>
      <c r="E574" s="26"/>
      <c r="N574" s="42"/>
    </row>
    <row r="575" spans="2:14" s="13" customFormat="1" x14ac:dyDescent="0.35">
      <c r="B575" s="25"/>
      <c r="E575" s="26"/>
      <c r="N575" s="42"/>
    </row>
    <row r="576" spans="2:14" s="13" customFormat="1" x14ac:dyDescent="0.35">
      <c r="B576" s="25"/>
      <c r="E576" s="26"/>
      <c r="N576" s="42"/>
    </row>
    <row r="577" spans="2:14" s="13" customFormat="1" x14ac:dyDescent="0.35">
      <c r="B577" s="25"/>
      <c r="E577" s="26"/>
      <c r="N577" s="42"/>
    </row>
    <row r="578" spans="2:14" s="13" customFormat="1" x14ac:dyDescent="0.35">
      <c r="B578" s="25"/>
      <c r="E578" s="26"/>
      <c r="N578" s="42"/>
    </row>
    <row r="579" spans="2:14" s="13" customFormat="1" x14ac:dyDescent="0.35">
      <c r="B579" s="25"/>
      <c r="E579" s="26"/>
      <c r="N579" s="42"/>
    </row>
    <row r="580" spans="2:14" s="13" customFormat="1" x14ac:dyDescent="0.35">
      <c r="B580" s="25"/>
      <c r="E580" s="26"/>
      <c r="N580" s="42"/>
    </row>
    <row r="581" spans="2:14" s="13" customFormat="1" x14ac:dyDescent="0.35">
      <c r="B581" s="25"/>
      <c r="E581" s="26"/>
      <c r="N581" s="42"/>
    </row>
    <row r="582" spans="2:14" s="13" customFormat="1" x14ac:dyDescent="0.35">
      <c r="B582" s="25"/>
      <c r="E582" s="26"/>
      <c r="N582" s="42"/>
    </row>
    <row r="583" spans="2:14" s="13" customFormat="1" x14ac:dyDescent="0.35">
      <c r="B583" s="25"/>
      <c r="E583" s="26"/>
      <c r="N583" s="42"/>
    </row>
    <row r="584" spans="2:14" s="13" customFormat="1" x14ac:dyDescent="0.35">
      <c r="B584" s="25"/>
      <c r="E584" s="26"/>
      <c r="N584" s="42"/>
    </row>
    <row r="585" spans="2:14" s="13" customFormat="1" x14ac:dyDescent="0.35">
      <c r="B585" s="25"/>
      <c r="E585" s="26"/>
      <c r="N585" s="42"/>
    </row>
    <row r="586" spans="2:14" s="13" customFormat="1" x14ac:dyDescent="0.35">
      <c r="B586" s="25"/>
      <c r="E586" s="26"/>
      <c r="N586" s="42"/>
    </row>
    <row r="587" spans="2:14" s="13" customFormat="1" x14ac:dyDescent="0.35">
      <c r="B587" s="25"/>
      <c r="E587" s="26"/>
      <c r="N587" s="42"/>
    </row>
    <row r="588" spans="2:14" s="13" customFormat="1" x14ac:dyDescent="0.35">
      <c r="B588" s="25"/>
      <c r="E588" s="26"/>
      <c r="N588" s="42"/>
    </row>
    <row r="589" spans="2:14" s="13" customFormat="1" x14ac:dyDescent="0.35">
      <c r="B589" s="25"/>
      <c r="E589" s="26"/>
      <c r="N589" s="42"/>
    </row>
    <row r="590" spans="2:14" s="13" customFormat="1" x14ac:dyDescent="0.35">
      <c r="B590" s="25"/>
      <c r="E590" s="26"/>
      <c r="N590" s="42"/>
    </row>
    <row r="591" spans="2:14" s="13" customFormat="1" x14ac:dyDescent="0.35">
      <c r="B591" s="25"/>
      <c r="E591" s="26"/>
      <c r="N591" s="42"/>
    </row>
    <row r="592" spans="2:14" s="13" customFormat="1" x14ac:dyDescent="0.35">
      <c r="B592" s="25"/>
      <c r="E592" s="26"/>
      <c r="N592" s="42"/>
    </row>
    <row r="593" spans="2:14" s="13" customFormat="1" x14ac:dyDescent="0.35">
      <c r="B593" s="25"/>
      <c r="E593" s="26"/>
      <c r="N593" s="42"/>
    </row>
    <row r="594" spans="2:14" s="13" customFormat="1" x14ac:dyDescent="0.35">
      <c r="B594" s="25"/>
      <c r="E594" s="26"/>
      <c r="N594" s="42"/>
    </row>
    <row r="595" spans="2:14" s="13" customFormat="1" x14ac:dyDescent="0.35">
      <c r="B595" s="25"/>
      <c r="E595" s="26"/>
      <c r="N595" s="42"/>
    </row>
    <row r="596" spans="2:14" s="13" customFormat="1" x14ac:dyDescent="0.35">
      <c r="B596" s="25"/>
      <c r="E596" s="26"/>
      <c r="N596" s="42"/>
    </row>
    <row r="597" spans="2:14" s="13" customFormat="1" x14ac:dyDescent="0.35">
      <c r="B597" s="25"/>
      <c r="E597" s="26"/>
      <c r="N597" s="42"/>
    </row>
    <row r="598" spans="2:14" s="13" customFormat="1" x14ac:dyDescent="0.35">
      <c r="B598" s="25"/>
      <c r="E598" s="26"/>
      <c r="N598" s="42"/>
    </row>
    <row r="599" spans="2:14" s="13" customFormat="1" x14ac:dyDescent="0.35">
      <c r="B599" s="25"/>
      <c r="E599" s="26"/>
      <c r="N599" s="42"/>
    </row>
    <row r="600" spans="2:14" s="13" customFormat="1" x14ac:dyDescent="0.35">
      <c r="B600" s="25"/>
      <c r="E600" s="26"/>
      <c r="N600" s="42"/>
    </row>
    <row r="601" spans="2:14" s="13" customFormat="1" x14ac:dyDescent="0.35">
      <c r="B601" s="25"/>
      <c r="E601" s="26"/>
      <c r="N601" s="42"/>
    </row>
    <row r="602" spans="2:14" s="13" customFormat="1" x14ac:dyDescent="0.35">
      <c r="B602" s="25"/>
      <c r="E602" s="26"/>
      <c r="N602" s="42"/>
    </row>
    <row r="603" spans="2:14" s="13" customFormat="1" x14ac:dyDescent="0.35">
      <c r="B603" s="25"/>
      <c r="E603" s="26"/>
      <c r="N603" s="42"/>
    </row>
    <row r="604" spans="2:14" s="13" customFormat="1" x14ac:dyDescent="0.35">
      <c r="B604" s="25"/>
      <c r="E604" s="26"/>
      <c r="N604" s="42"/>
    </row>
    <row r="605" spans="2:14" s="13" customFormat="1" x14ac:dyDescent="0.35">
      <c r="B605" s="25"/>
      <c r="E605" s="26"/>
      <c r="N605" s="42"/>
    </row>
    <row r="606" spans="2:14" s="13" customFormat="1" x14ac:dyDescent="0.35">
      <c r="B606" s="25"/>
      <c r="E606" s="26"/>
      <c r="N606" s="42"/>
    </row>
    <row r="607" spans="2:14" s="13" customFormat="1" x14ac:dyDescent="0.35">
      <c r="B607" s="25"/>
      <c r="E607" s="26"/>
      <c r="N607" s="42"/>
    </row>
    <row r="608" spans="2:14" s="13" customFormat="1" x14ac:dyDescent="0.35">
      <c r="B608" s="25"/>
      <c r="E608" s="26"/>
      <c r="N608" s="42"/>
    </row>
    <row r="609" spans="2:14" s="13" customFormat="1" x14ac:dyDescent="0.35">
      <c r="B609" s="25"/>
      <c r="E609" s="26"/>
      <c r="N609" s="42"/>
    </row>
    <row r="610" spans="2:14" s="13" customFormat="1" x14ac:dyDescent="0.35">
      <c r="B610" s="25"/>
      <c r="E610" s="26"/>
      <c r="N610" s="42"/>
    </row>
    <row r="611" spans="2:14" s="13" customFormat="1" x14ac:dyDescent="0.35">
      <c r="B611" s="25"/>
      <c r="E611" s="26"/>
      <c r="N611" s="42"/>
    </row>
    <row r="612" spans="2:14" s="13" customFormat="1" x14ac:dyDescent="0.35">
      <c r="B612" s="25"/>
      <c r="E612" s="26"/>
      <c r="N612" s="42"/>
    </row>
    <row r="613" spans="2:14" s="13" customFormat="1" x14ac:dyDescent="0.35">
      <c r="B613" s="25"/>
      <c r="E613" s="26"/>
      <c r="N613" s="42"/>
    </row>
    <row r="614" spans="2:14" s="13" customFormat="1" x14ac:dyDescent="0.35">
      <c r="B614" s="25"/>
      <c r="E614" s="26"/>
      <c r="N614" s="42"/>
    </row>
    <row r="615" spans="2:14" s="13" customFormat="1" x14ac:dyDescent="0.35">
      <c r="B615" s="25"/>
      <c r="E615" s="26"/>
      <c r="N615" s="42"/>
    </row>
    <row r="616" spans="2:14" s="13" customFormat="1" x14ac:dyDescent="0.35">
      <c r="B616" s="25"/>
      <c r="E616" s="26"/>
      <c r="N616" s="42"/>
    </row>
    <row r="617" spans="2:14" s="13" customFormat="1" x14ac:dyDescent="0.35">
      <c r="B617" s="25"/>
      <c r="E617" s="26"/>
      <c r="N617" s="42"/>
    </row>
    <row r="618" spans="2:14" s="13" customFormat="1" x14ac:dyDescent="0.35">
      <c r="B618" s="25"/>
      <c r="E618" s="26"/>
      <c r="N618" s="42"/>
    </row>
    <row r="619" spans="2:14" s="13" customFormat="1" x14ac:dyDescent="0.35">
      <c r="B619" s="25"/>
      <c r="E619" s="26"/>
      <c r="N619" s="42"/>
    </row>
    <row r="620" spans="2:14" s="13" customFormat="1" x14ac:dyDescent="0.35">
      <c r="B620" s="25"/>
      <c r="E620" s="26"/>
      <c r="N620" s="42"/>
    </row>
    <row r="621" spans="2:14" s="13" customFormat="1" x14ac:dyDescent="0.35">
      <c r="B621" s="25"/>
      <c r="E621" s="26"/>
      <c r="N621" s="42"/>
    </row>
    <row r="622" spans="2:14" s="13" customFormat="1" x14ac:dyDescent="0.35">
      <c r="B622" s="25"/>
      <c r="E622" s="26"/>
      <c r="N622" s="42"/>
    </row>
    <row r="623" spans="2:14" s="13" customFormat="1" x14ac:dyDescent="0.35">
      <c r="B623" s="25"/>
      <c r="E623" s="26"/>
      <c r="N623" s="42"/>
    </row>
    <row r="624" spans="2:14" s="13" customFormat="1" x14ac:dyDescent="0.35">
      <c r="B624" s="25"/>
      <c r="E624" s="26"/>
      <c r="N624" s="42"/>
    </row>
    <row r="625" spans="2:14" s="13" customFormat="1" x14ac:dyDescent="0.35">
      <c r="B625" s="25"/>
      <c r="E625" s="26"/>
      <c r="N625" s="42"/>
    </row>
    <row r="626" spans="2:14" s="13" customFormat="1" x14ac:dyDescent="0.35">
      <c r="B626" s="25"/>
      <c r="E626" s="26"/>
      <c r="N626" s="42"/>
    </row>
    <row r="627" spans="2:14" s="13" customFormat="1" x14ac:dyDescent="0.35">
      <c r="B627" s="25"/>
      <c r="E627" s="26"/>
      <c r="N627" s="42"/>
    </row>
    <row r="628" spans="2:14" s="13" customFormat="1" x14ac:dyDescent="0.35">
      <c r="B628" s="25"/>
      <c r="E628" s="26"/>
      <c r="N628" s="42"/>
    </row>
    <row r="629" spans="2:14" s="13" customFormat="1" x14ac:dyDescent="0.35">
      <c r="B629" s="25"/>
      <c r="E629" s="26"/>
      <c r="N629" s="42"/>
    </row>
    <row r="630" spans="2:14" s="13" customFormat="1" x14ac:dyDescent="0.35">
      <c r="B630" s="25"/>
      <c r="E630" s="26"/>
      <c r="N630" s="42"/>
    </row>
    <row r="631" spans="2:14" s="13" customFormat="1" x14ac:dyDescent="0.35">
      <c r="B631" s="25"/>
      <c r="E631" s="26"/>
      <c r="N631" s="42"/>
    </row>
    <row r="632" spans="2:14" s="13" customFormat="1" x14ac:dyDescent="0.35">
      <c r="B632" s="25"/>
      <c r="E632" s="26"/>
      <c r="N632" s="42"/>
    </row>
    <row r="633" spans="2:14" s="13" customFormat="1" x14ac:dyDescent="0.35">
      <c r="B633" s="25"/>
      <c r="E633" s="26"/>
      <c r="N633" s="42"/>
    </row>
    <row r="634" spans="2:14" s="13" customFormat="1" x14ac:dyDescent="0.35">
      <c r="B634" s="25"/>
      <c r="E634" s="26"/>
      <c r="N634" s="42"/>
    </row>
    <row r="635" spans="2:14" s="13" customFormat="1" x14ac:dyDescent="0.35">
      <c r="B635" s="25"/>
      <c r="E635" s="26"/>
      <c r="N635" s="42"/>
    </row>
    <row r="636" spans="2:14" s="13" customFormat="1" x14ac:dyDescent="0.35">
      <c r="B636" s="25"/>
      <c r="E636" s="26"/>
      <c r="N636" s="42"/>
    </row>
    <row r="637" spans="2:14" s="13" customFormat="1" x14ac:dyDescent="0.35">
      <c r="B637" s="25"/>
      <c r="E637" s="26"/>
      <c r="N637" s="42"/>
    </row>
    <row r="638" spans="2:14" s="13" customFormat="1" x14ac:dyDescent="0.35">
      <c r="B638" s="25"/>
      <c r="E638" s="26"/>
      <c r="N638" s="42"/>
    </row>
    <row r="639" spans="2:14" s="13" customFormat="1" x14ac:dyDescent="0.35">
      <c r="B639" s="25"/>
      <c r="E639" s="26"/>
      <c r="N639" s="42"/>
    </row>
    <row r="640" spans="2:14" s="13" customFormat="1" x14ac:dyDescent="0.35">
      <c r="B640" s="25"/>
      <c r="E640" s="26"/>
      <c r="N640" s="42"/>
    </row>
    <row r="641" spans="2:14" s="13" customFormat="1" x14ac:dyDescent="0.35">
      <c r="B641" s="25"/>
      <c r="E641" s="26"/>
      <c r="N641" s="42"/>
    </row>
    <row r="642" spans="2:14" s="13" customFormat="1" x14ac:dyDescent="0.35">
      <c r="B642" s="25"/>
      <c r="E642" s="26"/>
      <c r="N642" s="42"/>
    </row>
    <row r="643" spans="2:14" s="13" customFormat="1" x14ac:dyDescent="0.35">
      <c r="B643" s="25"/>
      <c r="E643" s="26"/>
      <c r="N643" s="42"/>
    </row>
    <row r="644" spans="2:14" s="13" customFormat="1" x14ac:dyDescent="0.35">
      <c r="B644" s="25"/>
      <c r="E644" s="26"/>
      <c r="N644" s="42"/>
    </row>
    <row r="645" spans="2:14" s="13" customFormat="1" x14ac:dyDescent="0.35">
      <c r="B645" s="25"/>
      <c r="E645" s="26"/>
      <c r="N645" s="42"/>
    </row>
    <row r="646" spans="2:14" s="13" customFormat="1" x14ac:dyDescent="0.35">
      <c r="B646" s="25"/>
      <c r="E646" s="26"/>
      <c r="N646" s="42"/>
    </row>
    <row r="647" spans="2:14" s="13" customFormat="1" x14ac:dyDescent="0.35">
      <c r="B647" s="25"/>
      <c r="E647" s="26"/>
      <c r="N647" s="42"/>
    </row>
  </sheetData>
  <sheetProtection algorithmName="SHA-512" hashValue="Kn6ahRo43bXmnlpSPpZmW5f0El0usUaq6BInFgRFwFdLL1b1ofZ5uazHyHqEwi0X0SXp4ddUDLThMvvQDFfgEw==" saltValue="bao7eJBp8HlyrW+ICJMtZQ==" spinCount="100000" sheet="1" formatCells="0" formatColumns="0" formatRows="0"/>
  <mergeCells count="4">
    <mergeCell ref="A7:A14"/>
    <mergeCell ref="B7:B14"/>
    <mergeCell ref="C7:C14"/>
    <mergeCell ref="D7:D14"/>
  </mergeCells>
  <dataValidations count="1">
    <dataValidation type="list" allowBlank="1" showInputMessage="1" showErrorMessage="1" errorTitle="ASVS Test Result" error="Invalid selection!" promptTitle="ASVS Test Result" prompt="Please select test result from the list." sqref="G7:G14" xr:uid="{F03CCE83-CEF9-4A54-9056-86335F1D5AE2}">
      <formula1>testResult</formula1>
    </dataValidation>
  </dataValidations>
  <hyperlinks>
    <hyperlink ref="F13" r:id="rId1" location="tab=Formal_Numbering" display="https://www.owasp.org/index.php/OWASP_Proactive_Controls - tab=Formal_Numbering" xr:uid="{4BB0A0E1-DD39-453A-8A62-6FA76D993A9B}"/>
  </hyperlinks>
  <pageMargins left="0.7" right="0.7" top="0.75" bottom="0.75" header="0.3" footer="0.3"/>
  <pageSetup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7649" r:id="rId5" name="Button 1">
              <controlPr defaultSize="0" print="0" autoFill="0" autoPict="0" macro="[0]!Sheet9.Confirm_Reset_Answers_V11">
                <anchor moveWithCells="1" sizeWithCells="1">
                  <from>
                    <xdr:col>0</xdr:col>
                    <xdr:colOff>146050</xdr:colOff>
                    <xdr:row>0</xdr:row>
                    <xdr:rowOff>38100</xdr:rowOff>
                  </from>
                  <to>
                    <xdr:col>1</xdr:col>
                    <xdr:colOff>1504950</xdr:colOff>
                    <xdr:row>2</xdr:row>
                    <xdr:rowOff>50800</xdr:rowOff>
                  </to>
                </anchor>
              </controlPr>
            </control>
          </mc:Choice>
        </mc:AlternateContent>
        <mc:AlternateContent xmlns:mc="http://schemas.openxmlformats.org/markup-compatibility/2006">
          <mc:Choice Requires="x14">
            <control shapeId="27652" r:id="rId6" name="Button 4">
              <controlPr defaultSize="0" print="0" autoFill="0" autoPict="0" macro="[0]!Confirm_Reset_All_Answers">
                <anchor moveWithCells="1" sizeWithCells="1">
                  <from>
                    <xdr:col>0</xdr:col>
                    <xdr:colOff>146050</xdr:colOff>
                    <xdr:row>2</xdr:row>
                    <xdr:rowOff>107950</xdr:rowOff>
                  </from>
                  <to>
                    <xdr:col>1</xdr:col>
                    <xdr:colOff>1504950</xdr:colOff>
                    <xdr:row>4</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93C64-E6D7-4616-9889-4E64780E1B1C}">
  <sheetPr codeName="Sheet16">
    <tabColor theme="7" tint="-0.499984740745262"/>
  </sheetPr>
  <dimension ref="A1:CRF639"/>
  <sheetViews>
    <sheetView showGridLines="0" showRowColHeaders="0" workbookViewId="0">
      <pane ySplit="6" topLeftCell="A7" activePane="bottomLeft" state="frozen"/>
      <selection pane="bottomLeft" activeCell="A7" sqref="A7:A21"/>
    </sheetView>
  </sheetViews>
  <sheetFormatPr defaultRowHeight="15" x14ac:dyDescent="0.4"/>
  <cols>
    <col min="1" max="1" width="10.54296875" customWidth="1"/>
    <col min="2" max="2" width="24.1796875" style="20" customWidth="1"/>
    <col min="3" max="3" width="10.1796875" customWidth="1"/>
    <col min="4" max="4" width="31.81640625" customWidth="1"/>
    <col min="5" max="5" width="9.1796875" style="21"/>
    <col min="6" max="6" width="56.1796875" customWidth="1"/>
    <col min="7" max="7" width="19.1796875" style="55" customWidth="1"/>
    <col min="8" max="10" width="3.7265625" bestFit="1" customWidth="1"/>
    <col min="12" max="13" width="13.1796875"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0</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0</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TOTAL_ASVS_V12</f>
        <v>15</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s="13" customFormat="1" ht="26" x14ac:dyDescent="0.35">
      <c r="A7" s="116" t="s">
        <v>661</v>
      </c>
      <c r="B7" s="116" t="s">
        <v>660</v>
      </c>
      <c r="C7" s="113" t="s">
        <v>662</v>
      </c>
      <c r="D7" s="109" t="s">
        <v>663</v>
      </c>
      <c r="E7" s="22" t="s">
        <v>664</v>
      </c>
      <c r="F7" s="4" t="s">
        <v>665</v>
      </c>
      <c r="G7" s="91" t="s">
        <v>32</v>
      </c>
      <c r="H7" s="38" t="s">
        <v>812</v>
      </c>
      <c r="I7" s="39" t="s">
        <v>812</v>
      </c>
      <c r="J7" s="40" t="s">
        <v>812</v>
      </c>
      <c r="K7" s="5">
        <v>400</v>
      </c>
      <c r="L7" s="24"/>
      <c r="M7" s="24"/>
      <c r="N7" s="41"/>
    </row>
    <row r="8" spans="1:2502" s="13" customFormat="1" ht="39" x14ac:dyDescent="0.35">
      <c r="A8" s="117"/>
      <c r="B8" s="117"/>
      <c r="C8" s="114"/>
      <c r="D8" s="110"/>
      <c r="E8" s="22" t="s">
        <v>666</v>
      </c>
      <c r="F8" s="4" t="s">
        <v>667</v>
      </c>
      <c r="G8" s="91" t="s">
        <v>32</v>
      </c>
      <c r="H8" s="4"/>
      <c r="I8" s="39" t="s">
        <v>812</v>
      </c>
      <c r="J8" s="40" t="s">
        <v>812</v>
      </c>
      <c r="K8" s="5">
        <v>409</v>
      </c>
      <c r="L8" s="24"/>
      <c r="M8" s="24"/>
      <c r="N8" s="41"/>
    </row>
    <row r="9" spans="1:2502" s="13" customFormat="1" ht="39" x14ac:dyDescent="0.35">
      <c r="A9" s="117"/>
      <c r="B9" s="117"/>
      <c r="C9" s="115"/>
      <c r="D9" s="111"/>
      <c r="E9" s="22" t="s">
        <v>668</v>
      </c>
      <c r="F9" s="4" t="s">
        <v>669</v>
      </c>
      <c r="G9" s="91" t="s">
        <v>32</v>
      </c>
      <c r="H9" s="4"/>
      <c r="I9" s="39" t="s">
        <v>812</v>
      </c>
      <c r="J9" s="40" t="s">
        <v>812</v>
      </c>
      <c r="K9" s="5">
        <v>770</v>
      </c>
      <c r="L9" s="24"/>
      <c r="M9" s="24"/>
      <c r="N9" s="41"/>
    </row>
    <row r="10" spans="1:2502" s="13" customFormat="1" ht="26" x14ac:dyDescent="0.35">
      <c r="A10" s="117"/>
      <c r="B10" s="117"/>
      <c r="C10" s="47" t="s">
        <v>670</v>
      </c>
      <c r="D10" s="48" t="s">
        <v>671</v>
      </c>
      <c r="E10" s="22" t="s">
        <v>672</v>
      </c>
      <c r="F10" s="4" t="s">
        <v>673</v>
      </c>
      <c r="G10" s="91" t="s">
        <v>32</v>
      </c>
      <c r="H10" s="4"/>
      <c r="I10" s="39" t="s">
        <v>812</v>
      </c>
      <c r="J10" s="40" t="s">
        <v>812</v>
      </c>
      <c r="K10" s="5">
        <v>434</v>
      </c>
      <c r="L10" s="24"/>
      <c r="M10" s="24"/>
      <c r="N10" s="41"/>
    </row>
    <row r="11" spans="1:2502" s="13" customFormat="1" ht="26" x14ac:dyDescent="0.35">
      <c r="A11" s="117"/>
      <c r="B11" s="117"/>
      <c r="C11" s="113" t="s">
        <v>674</v>
      </c>
      <c r="D11" s="109" t="s">
        <v>675</v>
      </c>
      <c r="E11" s="22" t="s">
        <v>676</v>
      </c>
      <c r="F11" s="4" t="s">
        <v>677</v>
      </c>
      <c r="G11" s="91" t="s">
        <v>32</v>
      </c>
      <c r="H11" s="38" t="s">
        <v>812</v>
      </c>
      <c r="I11" s="39" t="s">
        <v>812</v>
      </c>
      <c r="J11" s="40" t="s">
        <v>812</v>
      </c>
      <c r="K11" s="5">
        <v>22</v>
      </c>
      <c r="L11" s="24"/>
      <c r="M11" s="24"/>
      <c r="N11" s="41"/>
    </row>
    <row r="12" spans="1:2502" s="13" customFormat="1" ht="39" x14ac:dyDescent="0.35">
      <c r="A12" s="117"/>
      <c r="B12" s="117"/>
      <c r="C12" s="114"/>
      <c r="D12" s="110"/>
      <c r="E12" s="22" t="s">
        <v>678</v>
      </c>
      <c r="F12" s="4" t="s">
        <v>679</v>
      </c>
      <c r="G12" s="91" t="s">
        <v>32</v>
      </c>
      <c r="H12" s="38" t="s">
        <v>812</v>
      </c>
      <c r="I12" s="39" t="s">
        <v>812</v>
      </c>
      <c r="J12" s="40" t="s">
        <v>812</v>
      </c>
      <c r="K12" s="5">
        <v>73</v>
      </c>
      <c r="L12" s="24"/>
      <c r="M12" s="24"/>
      <c r="N12" s="41"/>
    </row>
    <row r="13" spans="1:2502" s="13" customFormat="1" ht="39" x14ac:dyDescent="0.35">
      <c r="A13" s="117"/>
      <c r="B13" s="117"/>
      <c r="C13" s="114"/>
      <c r="D13" s="110"/>
      <c r="E13" s="22" t="s">
        <v>680</v>
      </c>
      <c r="F13" s="4" t="s">
        <v>681</v>
      </c>
      <c r="G13" s="91" t="s">
        <v>32</v>
      </c>
      <c r="H13" s="38" t="s">
        <v>812</v>
      </c>
      <c r="I13" s="39" t="s">
        <v>812</v>
      </c>
      <c r="J13" s="40" t="s">
        <v>812</v>
      </c>
      <c r="K13" s="5">
        <v>98</v>
      </c>
      <c r="L13" s="24"/>
      <c r="M13" s="24"/>
      <c r="N13" s="41"/>
    </row>
    <row r="14" spans="1:2502" s="13" customFormat="1" ht="65" x14ac:dyDescent="0.35">
      <c r="A14" s="117"/>
      <c r="B14" s="117"/>
      <c r="C14" s="114"/>
      <c r="D14" s="110"/>
      <c r="E14" s="22" t="s">
        <v>682</v>
      </c>
      <c r="F14" s="4" t="s">
        <v>683</v>
      </c>
      <c r="G14" s="91" t="s">
        <v>32</v>
      </c>
      <c r="H14" s="38" t="s">
        <v>812</v>
      </c>
      <c r="I14" s="39" t="s">
        <v>812</v>
      </c>
      <c r="J14" s="40" t="s">
        <v>812</v>
      </c>
      <c r="K14" s="5">
        <v>641</v>
      </c>
      <c r="L14" s="24"/>
      <c r="M14" s="24"/>
      <c r="N14" s="41"/>
    </row>
    <row r="15" spans="1:2502" s="13" customFormat="1" ht="26" x14ac:dyDescent="0.35">
      <c r="A15" s="117"/>
      <c r="B15" s="117"/>
      <c r="C15" s="114"/>
      <c r="D15" s="110"/>
      <c r="E15" s="22" t="s">
        <v>684</v>
      </c>
      <c r="F15" s="4" t="s">
        <v>685</v>
      </c>
      <c r="G15" s="91" t="s">
        <v>32</v>
      </c>
      <c r="H15" s="38" t="s">
        <v>812</v>
      </c>
      <c r="I15" s="39" t="s">
        <v>812</v>
      </c>
      <c r="J15" s="40" t="s">
        <v>812</v>
      </c>
      <c r="K15" s="5">
        <v>78</v>
      </c>
      <c r="L15" s="24"/>
      <c r="M15" s="24"/>
      <c r="N15" s="41"/>
    </row>
    <row r="16" spans="1:2502" s="13" customFormat="1" ht="39" x14ac:dyDescent="0.35">
      <c r="A16" s="117"/>
      <c r="B16" s="117"/>
      <c r="C16" s="115"/>
      <c r="D16" s="111"/>
      <c r="E16" s="22" t="s">
        <v>686</v>
      </c>
      <c r="F16" s="4" t="s">
        <v>687</v>
      </c>
      <c r="G16" s="91" t="s">
        <v>32</v>
      </c>
      <c r="H16" s="38" t="s">
        <v>812</v>
      </c>
      <c r="I16" s="39" t="s">
        <v>812</v>
      </c>
      <c r="J16" s="40" t="s">
        <v>812</v>
      </c>
      <c r="K16" s="5">
        <v>829</v>
      </c>
      <c r="L16" s="24"/>
      <c r="M16" s="24"/>
      <c r="N16" s="41"/>
    </row>
    <row r="17" spans="1:14" s="13" customFormat="1" ht="39" x14ac:dyDescent="0.35">
      <c r="A17" s="117"/>
      <c r="B17" s="117"/>
      <c r="C17" s="113" t="s">
        <v>819</v>
      </c>
      <c r="D17" s="109" t="s">
        <v>824</v>
      </c>
      <c r="E17" s="22" t="s">
        <v>825</v>
      </c>
      <c r="F17" s="4" t="s">
        <v>826</v>
      </c>
      <c r="G17" s="91" t="s">
        <v>32</v>
      </c>
      <c r="H17" s="38" t="s">
        <v>812</v>
      </c>
      <c r="I17" s="39" t="s">
        <v>812</v>
      </c>
      <c r="J17" s="40" t="s">
        <v>812</v>
      </c>
      <c r="K17" s="5">
        <v>922</v>
      </c>
      <c r="L17" s="24"/>
      <c r="M17" s="24"/>
      <c r="N17" s="41"/>
    </row>
    <row r="18" spans="1:14" s="13" customFormat="1" ht="26" x14ac:dyDescent="0.35">
      <c r="A18" s="117"/>
      <c r="B18" s="117"/>
      <c r="C18" s="114"/>
      <c r="D18" s="110"/>
      <c r="E18" s="22" t="s">
        <v>827</v>
      </c>
      <c r="F18" s="4" t="s">
        <v>828</v>
      </c>
      <c r="G18" s="91" t="s">
        <v>32</v>
      </c>
      <c r="H18" s="38" t="s">
        <v>812</v>
      </c>
      <c r="I18" s="39" t="s">
        <v>812</v>
      </c>
      <c r="J18" s="40" t="s">
        <v>812</v>
      </c>
      <c r="K18" s="5">
        <v>509</v>
      </c>
      <c r="L18" s="24"/>
      <c r="M18" s="24"/>
      <c r="N18" s="41"/>
    </row>
    <row r="19" spans="1:14" s="13" customFormat="1" ht="65" x14ac:dyDescent="0.35">
      <c r="A19" s="117"/>
      <c r="B19" s="117"/>
      <c r="C19" s="113" t="s">
        <v>820</v>
      </c>
      <c r="D19" s="109" t="s">
        <v>823</v>
      </c>
      <c r="E19" s="22" t="s">
        <v>829</v>
      </c>
      <c r="F19" s="4" t="s">
        <v>830</v>
      </c>
      <c r="G19" s="91" t="s">
        <v>32</v>
      </c>
      <c r="H19" s="38" t="s">
        <v>812</v>
      </c>
      <c r="I19" s="39" t="s">
        <v>812</v>
      </c>
      <c r="J19" s="40" t="s">
        <v>812</v>
      </c>
      <c r="K19" s="5">
        <v>552</v>
      </c>
      <c r="L19" s="24"/>
      <c r="M19" s="24"/>
      <c r="N19" s="41"/>
    </row>
    <row r="20" spans="1:14" s="13" customFormat="1" ht="26" x14ac:dyDescent="0.35">
      <c r="A20" s="117"/>
      <c r="B20" s="117"/>
      <c r="C20" s="115"/>
      <c r="D20" s="111"/>
      <c r="E20" s="22" t="s">
        <v>831</v>
      </c>
      <c r="F20" s="4" t="s">
        <v>832</v>
      </c>
      <c r="G20" s="91" t="s">
        <v>32</v>
      </c>
      <c r="H20" s="38" t="s">
        <v>812</v>
      </c>
      <c r="I20" s="39" t="s">
        <v>812</v>
      </c>
      <c r="J20" s="40" t="s">
        <v>812</v>
      </c>
      <c r="K20" s="5">
        <v>434</v>
      </c>
      <c r="L20" s="24"/>
      <c r="M20" s="24"/>
      <c r="N20" s="41"/>
    </row>
    <row r="21" spans="1:14" s="13" customFormat="1" ht="39" x14ac:dyDescent="0.35">
      <c r="A21" s="118"/>
      <c r="B21" s="118"/>
      <c r="C21" s="47" t="s">
        <v>821</v>
      </c>
      <c r="D21" s="48" t="s">
        <v>822</v>
      </c>
      <c r="E21" s="22" t="s">
        <v>833</v>
      </c>
      <c r="F21" s="4" t="s">
        <v>834</v>
      </c>
      <c r="G21" s="91" t="s">
        <v>32</v>
      </c>
      <c r="H21" s="38" t="s">
        <v>812</v>
      </c>
      <c r="I21" s="39" t="s">
        <v>812</v>
      </c>
      <c r="J21" s="40" t="s">
        <v>812</v>
      </c>
      <c r="K21" s="5">
        <v>918</v>
      </c>
      <c r="L21" s="24"/>
      <c r="M21" s="24"/>
      <c r="N21" s="41"/>
    </row>
    <row r="22" spans="1:14" s="13" customFormat="1" x14ac:dyDescent="0.4">
      <c r="B22" s="25"/>
      <c r="E22" s="26"/>
      <c r="G22" s="54"/>
      <c r="N22" s="42"/>
    </row>
    <row r="23" spans="1:14" s="13" customFormat="1" x14ac:dyDescent="0.4">
      <c r="B23" s="25"/>
      <c r="E23" s="26"/>
      <c r="G23" s="54"/>
      <c r="N23" s="42"/>
    </row>
    <row r="24" spans="1:14" s="13" customFormat="1" x14ac:dyDescent="0.4">
      <c r="B24" s="25"/>
      <c r="E24" s="26"/>
      <c r="G24" s="54"/>
      <c r="N24" s="42"/>
    </row>
    <row r="25" spans="1:14" s="13" customFormat="1" x14ac:dyDescent="0.4">
      <c r="B25" s="25"/>
      <c r="E25" s="26"/>
      <c r="G25" s="54"/>
      <c r="N25" s="42"/>
    </row>
    <row r="26" spans="1:14" s="13" customFormat="1" x14ac:dyDescent="0.4">
      <c r="B26" s="25"/>
      <c r="E26" s="26"/>
      <c r="G26" s="54"/>
      <c r="N26" s="42"/>
    </row>
    <row r="27" spans="1:14" s="13" customFormat="1" x14ac:dyDescent="0.4">
      <c r="B27" s="25"/>
      <c r="E27" s="26"/>
      <c r="G27" s="54"/>
      <c r="N27" s="42"/>
    </row>
    <row r="28" spans="1:14" s="13" customFormat="1" x14ac:dyDescent="0.4">
      <c r="B28" s="25"/>
      <c r="E28" s="26"/>
      <c r="G28" s="54"/>
      <c r="N28" s="42"/>
    </row>
    <row r="29" spans="1:14" s="13" customFormat="1" x14ac:dyDescent="0.4">
      <c r="B29" s="25"/>
      <c r="E29" s="26"/>
      <c r="G29" s="54"/>
      <c r="N29" s="42"/>
    </row>
    <row r="30" spans="1:14" s="13" customFormat="1" x14ac:dyDescent="0.4">
      <c r="B30" s="25"/>
      <c r="E30" s="26"/>
      <c r="G30" s="54"/>
      <c r="N30" s="42"/>
    </row>
    <row r="31" spans="1:14" s="13" customFormat="1" x14ac:dyDescent="0.4">
      <c r="B31" s="25"/>
      <c r="E31" s="26"/>
      <c r="G31" s="54"/>
      <c r="N31" s="42"/>
    </row>
    <row r="32" spans="1:14" s="13" customFormat="1" x14ac:dyDescent="0.4">
      <c r="B32" s="25"/>
      <c r="E32" s="26"/>
      <c r="G32" s="54"/>
      <c r="N32" s="42"/>
    </row>
    <row r="33" spans="2:14" s="13" customFormat="1" x14ac:dyDescent="0.4">
      <c r="B33" s="25"/>
      <c r="E33" s="26"/>
      <c r="G33" s="54"/>
      <c r="N33" s="42"/>
    </row>
    <row r="34" spans="2:14" s="13" customFormat="1" x14ac:dyDescent="0.4">
      <c r="B34" s="25"/>
      <c r="E34" s="26"/>
      <c r="G34" s="54"/>
      <c r="N34" s="42"/>
    </row>
    <row r="35" spans="2:14" s="13" customFormat="1" x14ac:dyDescent="0.4">
      <c r="B35" s="25"/>
      <c r="E35" s="26"/>
      <c r="G35" s="54"/>
      <c r="N35" s="42"/>
    </row>
    <row r="36" spans="2:14" s="13" customFormat="1" x14ac:dyDescent="0.4">
      <c r="B36" s="25"/>
      <c r="E36" s="26"/>
      <c r="G36" s="54"/>
      <c r="N36" s="42"/>
    </row>
    <row r="37" spans="2:14" s="13" customFormat="1" x14ac:dyDescent="0.4">
      <c r="B37" s="25"/>
      <c r="E37" s="26"/>
      <c r="G37" s="54"/>
      <c r="N37" s="42"/>
    </row>
    <row r="38" spans="2:14" s="13" customFormat="1" x14ac:dyDescent="0.4">
      <c r="B38" s="25"/>
      <c r="E38" s="26"/>
      <c r="G38" s="54"/>
      <c r="N38" s="42"/>
    </row>
    <row r="39" spans="2:14" s="13" customFormat="1" x14ac:dyDescent="0.4">
      <c r="B39" s="25"/>
      <c r="E39" s="26"/>
      <c r="G39" s="54"/>
      <c r="N39" s="42"/>
    </row>
    <row r="40" spans="2:14" s="13" customFormat="1" x14ac:dyDescent="0.4">
      <c r="B40" s="25"/>
      <c r="E40" s="26"/>
      <c r="G40" s="54"/>
      <c r="N40" s="42"/>
    </row>
    <row r="41" spans="2:14" s="13" customFormat="1" x14ac:dyDescent="0.4">
      <c r="B41" s="25"/>
      <c r="E41" s="26"/>
      <c r="G41" s="54"/>
      <c r="N41" s="42"/>
    </row>
    <row r="42" spans="2:14" s="13" customFormat="1" x14ac:dyDescent="0.4">
      <c r="B42" s="25"/>
      <c r="E42" s="26"/>
      <c r="G42" s="54"/>
      <c r="N42" s="42"/>
    </row>
    <row r="43" spans="2:14" s="13" customFormat="1" x14ac:dyDescent="0.4">
      <c r="B43" s="25"/>
      <c r="E43" s="26"/>
      <c r="G43" s="54"/>
      <c r="N43" s="42"/>
    </row>
    <row r="44" spans="2:14" s="13" customFormat="1" x14ac:dyDescent="0.4">
      <c r="B44" s="25"/>
      <c r="E44" s="26"/>
      <c r="G44" s="54"/>
      <c r="N44" s="42"/>
    </row>
    <row r="45" spans="2:14" s="13" customFormat="1" x14ac:dyDescent="0.4">
      <c r="B45" s="25"/>
      <c r="E45" s="26"/>
      <c r="G45" s="54"/>
      <c r="N45" s="42"/>
    </row>
    <row r="46" spans="2:14" s="13" customFormat="1" x14ac:dyDescent="0.4">
      <c r="B46" s="25"/>
      <c r="E46" s="26"/>
      <c r="G46" s="54"/>
      <c r="N46" s="42"/>
    </row>
    <row r="47" spans="2:14" s="13" customFormat="1" x14ac:dyDescent="0.4">
      <c r="B47" s="25"/>
      <c r="E47" s="26"/>
      <c r="G47" s="54"/>
      <c r="N47" s="42"/>
    </row>
    <row r="48" spans="2:14" s="13" customFormat="1" x14ac:dyDescent="0.4">
      <c r="B48" s="25"/>
      <c r="E48" s="26"/>
      <c r="G48" s="54"/>
      <c r="N48" s="42"/>
    </row>
    <row r="49" spans="2:14" s="13" customFormat="1" x14ac:dyDescent="0.4">
      <c r="B49" s="25"/>
      <c r="E49" s="26"/>
      <c r="G49" s="54"/>
      <c r="N49" s="42"/>
    </row>
    <row r="50" spans="2:14" s="13" customFormat="1" x14ac:dyDescent="0.4">
      <c r="B50" s="25"/>
      <c r="E50" s="26"/>
      <c r="G50" s="54"/>
      <c r="N50" s="42"/>
    </row>
    <row r="51" spans="2:14" s="13" customFormat="1" x14ac:dyDescent="0.4">
      <c r="B51" s="25"/>
      <c r="E51" s="26"/>
      <c r="G51" s="54"/>
      <c r="N51" s="42"/>
    </row>
    <row r="52" spans="2:14" s="13" customFormat="1" x14ac:dyDescent="0.4">
      <c r="B52" s="25"/>
      <c r="E52" s="26"/>
      <c r="G52" s="54"/>
      <c r="N52" s="42"/>
    </row>
    <row r="53" spans="2:14" s="13" customFormat="1" x14ac:dyDescent="0.4">
      <c r="B53" s="25"/>
      <c r="E53" s="26"/>
      <c r="G53" s="54"/>
      <c r="N53" s="42"/>
    </row>
    <row r="54" spans="2:14" s="13" customFormat="1" x14ac:dyDescent="0.4">
      <c r="B54" s="25"/>
      <c r="E54" s="26"/>
      <c r="G54" s="54"/>
      <c r="N54" s="42"/>
    </row>
    <row r="55" spans="2:14" s="13" customFormat="1" x14ac:dyDescent="0.4">
      <c r="B55" s="25"/>
      <c r="E55" s="26"/>
      <c r="G55" s="54"/>
      <c r="N55" s="42"/>
    </row>
    <row r="56" spans="2:14" s="13" customFormat="1" x14ac:dyDescent="0.4">
      <c r="B56" s="25"/>
      <c r="E56" s="26"/>
      <c r="G56" s="54"/>
      <c r="N56" s="42"/>
    </row>
    <row r="57" spans="2:14" s="13" customFormat="1" x14ac:dyDescent="0.4">
      <c r="B57" s="25"/>
      <c r="E57" s="26"/>
      <c r="G57" s="54"/>
      <c r="N57" s="42"/>
    </row>
    <row r="58" spans="2:14" s="13" customFormat="1" x14ac:dyDescent="0.4">
      <c r="B58" s="25"/>
      <c r="E58" s="26"/>
      <c r="G58" s="54"/>
      <c r="N58" s="42"/>
    </row>
    <row r="59" spans="2:14" s="13" customFormat="1" x14ac:dyDescent="0.4">
      <c r="B59" s="25"/>
      <c r="E59" s="26"/>
      <c r="G59" s="54"/>
      <c r="N59" s="42"/>
    </row>
    <row r="60" spans="2:14" s="13" customFormat="1" x14ac:dyDescent="0.4">
      <c r="B60" s="25"/>
      <c r="E60" s="26"/>
      <c r="G60" s="54"/>
      <c r="N60" s="42"/>
    </row>
    <row r="61" spans="2:14" s="13" customFormat="1" x14ac:dyDescent="0.4">
      <c r="B61" s="25"/>
      <c r="E61" s="26"/>
      <c r="G61" s="54"/>
      <c r="N61" s="42"/>
    </row>
    <row r="62" spans="2:14" s="13" customFormat="1" x14ac:dyDescent="0.4">
      <c r="B62" s="25"/>
      <c r="E62" s="26"/>
      <c r="G62" s="54"/>
      <c r="N62" s="42"/>
    </row>
    <row r="63" spans="2:14" s="13" customFormat="1" x14ac:dyDescent="0.4">
      <c r="B63" s="25"/>
      <c r="E63" s="26"/>
      <c r="G63" s="54"/>
      <c r="N63" s="42"/>
    </row>
    <row r="64" spans="2:14" s="13" customFormat="1" x14ac:dyDescent="0.4">
      <c r="B64" s="25"/>
      <c r="E64" s="26"/>
      <c r="G64" s="54"/>
      <c r="N64" s="42"/>
    </row>
    <row r="65" spans="2:14" s="13" customFormat="1" x14ac:dyDescent="0.4">
      <c r="B65" s="25"/>
      <c r="E65" s="26"/>
      <c r="G65" s="54"/>
      <c r="N65" s="42"/>
    </row>
    <row r="66" spans="2:14" s="13" customFormat="1" x14ac:dyDescent="0.4">
      <c r="B66" s="25"/>
      <c r="E66" s="26"/>
      <c r="G66" s="54"/>
      <c r="N66" s="42"/>
    </row>
    <row r="67" spans="2:14" s="13" customFormat="1" x14ac:dyDescent="0.4">
      <c r="B67" s="25"/>
      <c r="E67" s="26"/>
      <c r="G67" s="54"/>
      <c r="N67" s="42"/>
    </row>
    <row r="68" spans="2:14" s="13" customFormat="1" x14ac:dyDescent="0.4">
      <c r="B68" s="25"/>
      <c r="E68" s="26"/>
      <c r="G68" s="54"/>
      <c r="N68" s="42"/>
    </row>
    <row r="69" spans="2:14" s="13" customFormat="1" x14ac:dyDescent="0.4">
      <c r="B69" s="25"/>
      <c r="E69" s="26"/>
      <c r="G69" s="54"/>
      <c r="N69" s="42"/>
    </row>
    <row r="70" spans="2:14" s="13" customFormat="1" x14ac:dyDescent="0.4">
      <c r="B70" s="25"/>
      <c r="E70" s="26"/>
      <c r="G70" s="54"/>
      <c r="N70" s="42"/>
    </row>
    <row r="71" spans="2:14" s="13" customFormat="1" x14ac:dyDescent="0.4">
      <c r="B71" s="25"/>
      <c r="E71" s="26"/>
      <c r="G71" s="54"/>
      <c r="N71" s="42"/>
    </row>
    <row r="72" spans="2:14" s="13" customFormat="1" x14ac:dyDescent="0.4">
      <c r="B72" s="25"/>
      <c r="E72" s="26"/>
      <c r="G72" s="54"/>
      <c r="N72" s="42"/>
    </row>
    <row r="73" spans="2:14" s="13" customFormat="1" x14ac:dyDescent="0.4">
      <c r="B73" s="25"/>
      <c r="E73" s="26"/>
      <c r="G73" s="54"/>
      <c r="N73" s="42"/>
    </row>
    <row r="74" spans="2:14" s="13" customFormat="1" x14ac:dyDescent="0.4">
      <c r="B74" s="25"/>
      <c r="E74" s="26"/>
      <c r="G74" s="54"/>
      <c r="N74" s="42"/>
    </row>
    <row r="75" spans="2:14" s="13" customFormat="1" x14ac:dyDescent="0.4">
      <c r="B75" s="25"/>
      <c r="E75" s="26"/>
      <c r="G75" s="54"/>
      <c r="N75" s="42"/>
    </row>
    <row r="76" spans="2:14" s="13" customFormat="1" x14ac:dyDescent="0.4">
      <c r="B76" s="25"/>
      <c r="E76" s="26"/>
      <c r="G76" s="54"/>
      <c r="N76" s="42"/>
    </row>
    <row r="77" spans="2:14" s="13" customFormat="1" x14ac:dyDescent="0.4">
      <c r="B77" s="25"/>
      <c r="E77" s="26"/>
      <c r="G77" s="54"/>
      <c r="N77" s="42"/>
    </row>
    <row r="78" spans="2:14" s="13" customFormat="1" x14ac:dyDescent="0.4">
      <c r="B78" s="25"/>
      <c r="E78" s="26"/>
      <c r="G78" s="54"/>
      <c r="N78" s="42"/>
    </row>
    <row r="79" spans="2:14" s="13" customFormat="1" x14ac:dyDescent="0.4">
      <c r="B79" s="25"/>
      <c r="E79" s="26"/>
      <c r="G79" s="54"/>
      <c r="N79" s="42"/>
    </row>
    <row r="80" spans="2:14" s="13" customFormat="1" x14ac:dyDescent="0.4">
      <c r="B80" s="25"/>
      <c r="E80" s="26"/>
      <c r="G80" s="54"/>
      <c r="N80" s="42"/>
    </row>
    <row r="81" spans="2:14" s="13" customFormat="1" x14ac:dyDescent="0.4">
      <c r="B81" s="25"/>
      <c r="E81" s="26"/>
      <c r="G81" s="54"/>
      <c r="N81" s="42"/>
    </row>
    <row r="82" spans="2:14" s="13" customFormat="1" x14ac:dyDescent="0.4">
      <c r="B82" s="25"/>
      <c r="E82" s="26"/>
      <c r="G82" s="54"/>
      <c r="N82" s="42"/>
    </row>
    <row r="83" spans="2:14" s="13" customFormat="1" x14ac:dyDescent="0.4">
      <c r="B83" s="25"/>
      <c r="E83" s="26"/>
      <c r="G83" s="54"/>
      <c r="N83" s="42"/>
    </row>
    <row r="84" spans="2:14" s="13" customFormat="1" x14ac:dyDescent="0.4">
      <c r="B84" s="25"/>
      <c r="E84" s="26"/>
      <c r="G84" s="54"/>
      <c r="N84" s="42"/>
    </row>
    <row r="85" spans="2:14" s="13" customFormat="1" x14ac:dyDescent="0.4">
      <c r="B85" s="25"/>
      <c r="E85" s="26"/>
      <c r="G85" s="54"/>
      <c r="N85" s="42"/>
    </row>
    <row r="86" spans="2:14" s="13" customFormat="1" x14ac:dyDescent="0.4">
      <c r="B86" s="25"/>
      <c r="E86" s="26"/>
      <c r="G86" s="54"/>
      <c r="N86" s="42"/>
    </row>
    <row r="87" spans="2:14" s="13" customFormat="1" x14ac:dyDescent="0.4">
      <c r="B87" s="25"/>
      <c r="E87" s="26"/>
      <c r="G87" s="54"/>
      <c r="N87" s="42"/>
    </row>
    <row r="88" spans="2:14" s="13" customFormat="1" x14ac:dyDescent="0.4">
      <c r="B88" s="25"/>
      <c r="E88" s="26"/>
      <c r="G88" s="54"/>
      <c r="N88" s="42"/>
    </row>
    <row r="89" spans="2:14" s="13" customFormat="1" x14ac:dyDescent="0.4">
      <c r="B89" s="25"/>
      <c r="E89" s="26"/>
      <c r="G89" s="54"/>
      <c r="N89" s="42"/>
    </row>
    <row r="90" spans="2:14" s="13" customFormat="1" x14ac:dyDescent="0.4">
      <c r="B90" s="25"/>
      <c r="E90" s="26"/>
      <c r="G90" s="54"/>
      <c r="N90" s="42"/>
    </row>
    <row r="91" spans="2:14" s="13" customFormat="1" x14ac:dyDescent="0.4">
      <c r="B91" s="25"/>
      <c r="E91" s="26"/>
      <c r="G91" s="54"/>
      <c r="N91" s="42"/>
    </row>
    <row r="92" spans="2:14" s="13" customFormat="1" x14ac:dyDescent="0.4">
      <c r="B92" s="25"/>
      <c r="E92" s="26"/>
      <c r="G92" s="54"/>
      <c r="N92" s="42"/>
    </row>
    <row r="93" spans="2:14" s="13" customFormat="1" x14ac:dyDescent="0.4">
      <c r="B93" s="25"/>
      <c r="E93" s="26"/>
      <c r="G93" s="54"/>
      <c r="N93" s="42"/>
    </row>
    <row r="94" spans="2:14" s="13" customFormat="1" x14ac:dyDescent="0.4">
      <c r="B94" s="25"/>
      <c r="E94" s="26"/>
      <c r="G94" s="54"/>
      <c r="N94" s="42"/>
    </row>
    <row r="95" spans="2:14" s="13" customFormat="1" x14ac:dyDescent="0.4">
      <c r="B95" s="25"/>
      <c r="E95" s="26"/>
      <c r="G95" s="54"/>
      <c r="N95" s="42"/>
    </row>
    <row r="96" spans="2:14" s="13" customFormat="1" x14ac:dyDescent="0.4">
      <c r="B96" s="25"/>
      <c r="E96" s="26"/>
      <c r="G96" s="54"/>
      <c r="N96" s="42"/>
    </row>
    <row r="97" spans="2:14" s="13" customFormat="1" x14ac:dyDescent="0.4">
      <c r="B97" s="25"/>
      <c r="E97" s="26"/>
      <c r="G97" s="54"/>
      <c r="N97" s="42"/>
    </row>
    <row r="98" spans="2:14" s="13" customFormat="1" x14ac:dyDescent="0.4">
      <c r="B98" s="25"/>
      <c r="E98" s="26"/>
      <c r="G98" s="54"/>
      <c r="N98" s="42"/>
    </row>
    <row r="99" spans="2:14" s="13" customFormat="1" x14ac:dyDescent="0.4">
      <c r="B99" s="25"/>
      <c r="E99" s="26"/>
      <c r="G99" s="54"/>
      <c r="N99" s="42"/>
    </row>
    <row r="100" spans="2:14" s="13" customFormat="1" x14ac:dyDescent="0.4">
      <c r="B100" s="25"/>
      <c r="E100" s="26"/>
      <c r="G100" s="54"/>
      <c r="N100" s="42"/>
    </row>
    <row r="101" spans="2:14" s="13" customFormat="1" x14ac:dyDescent="0.4">
      <c r="B101" s="25"/>
      <c r="E101" s="26"/>
      <c r="G101" s="54"/>
      <c r="N101" s="42"/>
    </row>
    <row r="102" spans="2:14" s="13" customFormat="1" x14ac:dyDescent="0.4">
      <c r="B102" s="25"/>
      <c r="E102" s="26"/>
      <c r="G102" s="54"/>
      <c r="N102" s="42"/>
    </row>
    <row r="103" spans="2:14" s="13" customFormat="1" x14ac:dyDescent="0.4">
      <c r="B103" s="25"/>
      <c r="E103" s="26"/>
      <c r="G103" s="54"/>
      <c r="N103" s="42"/>
    </row>
    <row r="104" spans="2:14" s="13" customFormat="1" x14ac:dyDescent="0.4">
      <c r="B104" s="25"/>
      <c r="E104" s="26"/>
      <c r="G104" s="54"/>
      <c r="N104" s="42"/>
    </row>
    <row r="105" spans="2:14" s="13" customFormat="1" x14ac:dyDescent="0.4">
      <c r="B105" s="25"/>
      <c r="E105" s="26"/>
      <c r="G105" s="54"/>
      <c r="N105" s="42"/>
    </row>
    <row r="106" spans="2:14" s="13" customFormat="1" x14ac:dyDescent="0.4">
      <c r="B106" s="25"/>
      <c r="E106" s="26"/>
      <c r="G106" s="54"/>
      <c r="N106" s="42"/>
    </row>
    <row r="107" spans="2:14" s="13" customFormat="1" x14ac:dyDescent="0.4">
      <c r="B107" s="25"/>
      <c r="E107" s="26"/>
      <c r="G107" s="54"/>
      <c r="N107" s="42"/>
    </row>
    <row r="108" spans="2:14" s="13" customFormat="1" x14ac:dyDescent="0.4">
      <c r="B108" s="25"/>
      <c r="E108" s="26"/>
      <c r="G108" s="54"/>
      <c r="N108" s="42"/>
    </row>
    <row r="109" spans="2:14" s="13" customFormat="1" x14ac:dyDescent="0.4">
      <c r="B109" s="25"/>
      <c r="E109" s="26"/>
      <c r="G109" s="54"/>
      <c r="N109" s="42"/>
    </row>
    <row r="110" spans="2:14" s="13" customFormat="1" x14ac:dyDescent="0.4">
      <c r="B110" s="25"/>
      <c r="E110" s="26"/>
      <c r="G110" s="54"/>
      <c r="N110" s="42"/>
    </row>
    <row r="111" spans="2:14" s="13" customFormat="1" x14ac:dyDescent="0.4">
      <c r="B111" s="25"/>
      <c r="E111" s="26"/>
      <c r="G111" s="54"/>
      <c r="N111" s="42"/>
    </row>
    <row r="112" spans="2:14" s="13" customFormat="1" x14ac:dyDescent="0.4">
      <c r="B112" s="25"/>
      <c r="E112" s="26"/>
      <c r="G112" s="54"/>
      <c r="N112" s="42"/>
    </row>
    <row r="113" spans="2:14" s="13" customFormat="1" x14ac:dyDescent="0.4">
      <c r="B113" s="25"/>
      <c r="E113" s="26"/>
      <c r="G113" s="54"/>
      <c r="N113" s="42"/>
    </row>
    <row r="114" spans="2:14" s="13" customFormat="1" x14ac:dyDescent="0.4">
      <c r="B114" s="25"/>
      <c r="E114" s="26"/>
      <c r="G114" s="54"/>
      <c r="N114" s="42"/>
    </row>
    <row r="115" spans="2:14" s="13" customFormat="1" x14ac:dyDescent="0.4">
      <c r="B115" s="25"/>
      <c r="E115" s="26"/>
      <c r="G115" s="54"/>
      <c r="N115" s="42"/>
    </row>
    <row r="116" spans="2:14" s="13" customFormat="1" x14ac:dyDescent="0.4">
      <c r="B116" s="25"/>
      <c r="E116" s="26"/>
      <c r="G116" s="54"/>
      <c r="N116" s="42"/>
    </row>
    <row r="117" spans="2:14" s="13" customFormat="1" x14ac:dyDescent="0.4">
      <c r="B117" s="25"/>
      <c r="E117" s="26"/>
      <c r="G117" s="54"/>
      <c r="N117" s="42"/>
    </row>
    <row r="118" spans="2:14" s="13" customFormat="1" x14ac:dyDescent="0.4">
      <c r="B118" s="25"/>
      <c r="E118" s="26"/>
      <c r="G118" s="54"/>
      <c r="N118" s="42"/>
    </row>
    <row r="119" spans="2:14" s="13" customFormat="1" x14ac:dyDescent="0.4">
      <c r="B119" s="25"/>
      <c r="E119" s="26"/>
      <c r="G119" s="54"/>
      <c r="N119" s="42"/>
    </row>
    <row r="120" spans="2:14" s="13" customFormat="1" x14ac:dyDescent="0.4">
      <c r="B120" s="25"/>
      <c r="E120" s="26"/>
      <c r="G120" s="54"/>
      <c r="N120" s="42"/>
    </row>
    <row r="121" spans="2:14" s="13" customFormat="1" x14ac:dyDescent="0.4">
      <c r="B121" s="25"/>
      <c r="E121" s="26"/>
      <c r="G121" s="54"/>
      <c r="N121" s="42"/>
    </row>
    <row r="122" spans="2:14" s="13" customFormat="1" x14ac:dyDescent="0.4">
      <c r="B122" s="25"/>
      <c r="E122" s="26"/>
      <c r="G122" s="54"/>
      <c r="N122" s="42"/>
    </row>
    <row r="123" spans="2:14" s="13" customFormat="1" x14ac:dyDescent="0.4">
      <c r="B123" s="25"/>
      <c r="E123" s="26"/>
      <c r="G123" s="54"/>
      <c r="N123" s="42"/>
    </row>
    <row r="124" spans="2:14" s="13" customFormat="1" x14ac:dyDescent="0.4">
      <c r="B124" s="25"/>
      <c r="E124" s="26"/>
      <c r="G124" s="54"/>
      <c r="N124" s="42"/>
    </row>
    <row r="125" spans="2:14" s="13" customFormat="1" x14ac:dyDescent="0.4">
      <c r="B125" s="25"/>
      <c r="E125" s="26"/>
      <c r="G125" s="54"/>
      <c r="N125" s="42"/>
    </row>
    <row r="126" spans="2:14" s="13" customFormat="1" x14ac:dyDescent="0.4">
      <c r="B126" s="25"/>
      <c r="E126" s="26"/>
      <c r="G126" s="54"/>
      <c r="N126" s="42"/>
    </row>
    <row r="127" spans="2:14" s="13" customFormat="1" x14ac:dyDescent="0.4">
      <c r="B127" s="25"/>
      <c r="E127" s="26"/>
      <c r="G127" s="54"/>
      <c r="N127" s="42"/>
    </row>
    <row r="128" spans="2:14" s="13" customFormat="1" x14ac:dyDescent="0.4">
      <c r="B128" s="25"/>
      <c r="E128" s="26"/>
      <c r="G128" s="54"/>
      <c r="N128" s="42"/>
    </row>
    <row r="129" spans="2:14" s="13" customFormat="1" x14ac:dyDescent="0.4">
      <c r="B129" s="25"/>
      <c r="E129" s="26"/>
      <c r="G129" s="54"/>
      <c r="N129" s="42"/>
    </row>
    <row r="130" spans="2:14" s="13" customFormat="1" x14ac:dyDescent="0.4">
      <c r="B130" s="25"/>
      <c r="E130" s="26"/>
      <c r="G130" s="54"/>
      <c r="N130" s="42"/>
    </row>
    <row r="131" spans="2:14" s="13" customFormat="1" x14ac:dyDescent="0.4">
      <c r="B131" s="25"/>
      <c r="E131" s="26"/>
      <c r="G131" s="54"/>
      <c r="N131" s="42"/>
    </row>
    <row r="132" spans="2:14" s="13" customFormat="1" x14ac:dyDescent="0.4">
      <c r="B132" s="25"/>
      <c r="E132" s="26"/>
      <c r="G132" s="54"/>
      <c r="N132" s="42"/>
    </row>
    <row r="133" spans="2:14" s="13" customFormat="1" x14ac:dyDescent="0.4">
      <c r="B133" s="25"/>
      <c r="E133" s="26"/>
      <c r="G133" s="54"/>
      <c r="N133" s="42"/>
    </row>
    <row r="134" spans="2:14" s="13" customFormat="1" x14ac:dyDescent="0.4">
      <c r="B134" s="25"/>
      <c r="E134" s="26"/>
      <c r="G134" s="54"/>
      <c r="N134" s="42"/>
    </row>
    <row r="135" spans="2:14" s="13" customFormat="1" x14ac:dyDescent="0.4">
      <c r="B135" s="25"/>
      <c r="E135" s="26"/>
      <c r="G135" s="54"/>
      <c r="N135" s="42"/>
    </row>
    <row r="136" spans="2:14" s="13" customFormat="1" x14ac:dyDescent="0.4">
      <c r="B136" s="25"/>
      <c r="E136" s="26"/>
      <c r="G136" s="54"/>
      <c r="N136" s="42"/>
    </row>
    <row r="137" spans="2:14" s="13" customFormat="1" x14ac:dyDescent="0.4">
      <c r="B137" s="25"/>
      <c r="E137" s="26"/>
      <c r="G137" s="54"/>
      <c r="N137" s="42"/>
    </row>
    <row r="138" spans="2:14" s="13" customFormat="1" x14ac:dyDescent="0.4">
      <c r="B138" s="25"/>
      <c r="E138" s="26"/>
      <c r="G138" s="54"/>
      <c r="N138" s="42"/>
    </row>
    <row r="139" spans="2:14" s="13" customFormat="1" x14ac:dyDescent="0.4">
      <c r="B139" s="25"/>
      <c r="E139" s="26"/>
      <c r="G139" s="54"/>
      <c r="N139" s="42"/>
    </row>
    <row r="140" spans="2:14" s="13" customFormat="1" x14ac:dyDescent="0.4">
      <c r="B140" s="25"/>
      <c r="E140" s="26"/>
      <c r="G140" s="54"/>
      <c r="N140" s="42"/>
    </row>
    <row r="141" spans="2:14" s="13" customFormat="1" x14ac:dyDescent="0.4">
      <c r="B141" s="25"/>
      <c r="E141" s="26"/>
      <c r="G141" s="54"/>
      <c r="N141" s="42"/>
    </row>
    <row r="142" spans="2:14" s="13" customFormat="1" x14ac:dyDescent="0.4">
      <c r="B142" s="25"/>
      <c r="E142" s="26"/>
      <c r="G142" s="54"/>
      <c r="N142" s="42"/>
    </row>
    <row r="143" spans="2:14" s="13" customFormat="1" x14ac:dyDescent="0.4">
      <c r="B143" s="25"/>
      <c r="E143" s="26"/>
      <c r="G143" s="54"/>
      <c r="N143" s="42"/>
    </row>
    <row r="144" spans="2:14" s="13" customFormat="1" x14ac:dyDescent="0.4">
      <c r="B144" s="25"/>
      <c r="E144" s="26"/>
      <c r="G144" s="54"/>
      <c r="N144" s="42"/>
    </row>
    <row r="145" spans="2:14" s="13" customFormat="1" x14ac:dyDescent="0.4">
      <c r="B145" s="25"/>
      <c r="E145" s="26"/>
      <c r="G145" s="54"/>
      <c r="N145" s="42"/>
    </row>
    <row r="146" spans="2:14" s="13" customFormat="1" x14ac:dyDescent="0.4">
      <c r="B146" s="25"/>
      <c r="E146" s="26"/>
      <c r="G146" s="54"/>
      <c r="N146" s="42"/>
    </row>
    <row r="147" spans="2:14" s="13" customFormat="1" x14ac:dyDescent="0.4">
      <c r="B147" s="25"/>
      <c r="E147" s="26"/>
      <c r="G147" s="54"/>
      <c r="N147" s="42"/>
    </row>
    <row r="148" spans="2:14" s="13" customFormat="1" x14ac:dyDescent="0.4">
      <c r="B148" s="25"/>
      <c r="E148" s="26"/>
      <c r="G148" s="54"/>
      <c r="N148" s="42"/>
    </row>
    <row r="149" spans="2:14" s="13" customFormat="1" x14ac:dyDescent="0.4">
      <c r="B149" s="25"/>
      <c r="E149" s="26"/>
      <c r="G149" s="54"/>
      <c r="N149" s="42"/>
    </row>
    <row r="150" spans="2:14" s="13" customFormat="1" x14ac:dyDescent="0.4">
      <c r="B150" s="25"/>
      <c r="E150" s="26"/>
      <c r="G150" s="54"/>
      <c r="N150" s="42"/>
    </row>
    <row r="151" spans="2:14" s="13" customFormat="1" x14ac:dyDescent="0.4">
      <c r="B151" s="25"/>
      <c r="E151" s="26"/>
      <c r="G151" s="54"/>
      <c r="N151" s="42"/>
    </row>
    <row r="152" spans="2:14" s="13" customFormat="1" x14ac:dyDescent="0.4">
      <c r="B152" s="25"/>
      <c r="E152" s="26"/>
      <c r="G152" s="54"/>
      <c r="N152" s="42"/>
    </row>
    <row r="153" spans="2:14" s="13" customFormat="1" x14ac:dyDescent="0.4">
      <c r="B153" s="25"/>
      <c r="E153" s="26"/>
      <c r="G153" s="54"/>
      <c r="N153" s="42"/>
    </row>
    <row r="154" spans="2:14" s="13" customFormat="1" x14ac:dyDescent="0.4">
      <c r="B154" s="25"/>
      <c r="E154" s="26"/>
      <c r="G154" s="54"/>
      <c r="N154" s="42"/>
    </row>
    <row r="155" spans="2:14" s="13" customFormat="1" x14ac:dyDescent="0.4">
      <c r="B155" s="25"/>
      <c r="E155" s="26"/>
      <c r="G155" s="54"/>
      <c r="N155" s="42"/>
    </row>
    <row r="156" spans="2:14" s="13" customFormat="1" x14ac:dyDescent="0.4">
      <c r="B156" s="25"/>
      <c r="E156" s="26"/>
      <c r="G156" s="54"/>
      <c r="N156" s="42"/>
    </row>
    <row r="157" spans="2:14" s="13" customFormat="1" x14ac:dyDescent="0.4">
      <c r="B157" s="25"/>
      <c r="E157" s="26"/>
      <c r="G157" s="54"/>
      <c r="N157" s="42"/>
    </row>
    <row r="158" spans="2:14" s="13" customFormat="1" x14ac:dyDescent="0.4">
      <c r="B158" s="25"/>
      <c r="E158" s="26"/>
      <c r="G158" s="54"/>
      <c r="N158" s="42"/>
    </row>
    <row r="159" spans="2:14" s="13" customFormat="1" x14ac:dyDescent="0.4">
      <c r="B159" s="25"/>
      <c r="E159" s="26"/>
      <c r="G159" s="54"/>
      <c r="N159" s="42"/>
    </row>
    <row r="160" spans="2:14" s="13" customFormat="1" x14ac:dyDescent="0.4">
      <c r="B160" s="25"/>
      <c r="E160" s="26"/>
      <c r="G160" s="54"/>
      <c r="N160" s="42"/>
    </row>
    <row r="161" spans="2:14" s="13" customFormat="1" x14ac:dyDescent="0.4">
      <c r="B161" s="25"/>
      <c r="E161" s="26"/>
      <c r="G161" s="54"/>
      <c r="N161" s="42"/>
    </row>
    <row r="162" spans="2:14" s="13" customFormat="1" x14ac:dyDescent="0.4">
      <c r="B162" s="25"/>
      <c r="E162" s="26"/>
      <c r="G162" s="54"/>
      <c r="N162" s="42"/>
    </row>
    <row r="163" spans="2:14" s="13" customFormat="1" x14ac:dyDescent="0.4">
      <c r="B163" s="25"/>
      <c r="E163" s="26"/>
      <c r="G163" s="54"/>
      <c r="N163" s="42"/>
    </row>
    <row r="164" spans="2:14" s="13" customFormat="1" x14ac:dyDescent="0.4">
      <c r="B164" s="25"/>
      <c r="E164" s="26"/>
      <c r="G164" s="54"/>
      <c r="N164" s="42"/>
    </row>
    <row r="165" spans="2:14" s="13" customFormat="1" x14ac:dyDescent="0.4">
      <c r="B165" s="25"/>
      <c r="E165" s="26"/>
      <c r="G165" s="54"/>
      <c r="N165" s="42"/>
    </row>
    <row r="166" spans="2:14" s="13" customFormat="1" x14ac:dyDescent="0.4">
      <c r="B166" s="25"/>
      <c r="E166" s="26"/>
      <c r="G166" s="54"/>
      <c r="N166" s="42"/>
    </row>
    <row r="167" spans="2:14" s="13" customFormat="1" x14ac:dyDescent="0.4">
      <c r="B167" s="25"/>
      <c r="E167" s="26"/>
      <c r="G167" s="54"/>
      <c r="N167" s="42"/>
    </row>
    <row r="168" spans="2:14" s="13" customFormat="1" x14ac:dyDescent="0.4">
      <c r="B168" s="25"/>
      <c r="E168" s="26"/>
      <c r="G168" s="54"/>
      <c r="N168" s="42"/>
    </row>
    <row r="169" spans="2:14" s="13" customFormat="1" x14ac:dyDescent="0.4">
      <c r="B169" s="25"/>
      <c r="E169" s="26"/>
      <c r="G169" s="54"/>
      <c r="N169" s="42"/>
    </row>
    <row r="170" spans="2:14" s="13" customFormat="1" x14ac:dyDescent="0.4">
      <c r="B170" s="25"/>
      <c r="E170" s="26"/>
      <c r="G170" s="54"/>
      <c r="N170" s="42"/>
    </row>
    <row r="171" spans="2:14" s="13" customFormat="1" x14ac:dyDescent="0.4">
      <c r="B171" s="25"/>
      <c r="E171" s="26"/>
      <c r="G171" s="54"/>
      <c r="N171" s="42"/>
    </row>
    <row r="172" spans="2:14" s="13" customFormat="1" x14ac:dyDescent="0.4">
      <c r="B172" s="25"/>
      <c r="E172" s="26"/>
      <c r="G172" s="54"/>
      <c r="N172" s="42"/>
    </row>
    <row r="173" spans="2:14" s="13" customFormat="1" x14ac:dyDescent="0.4">
      <c r="B173" s="25"/>
      <c r="E173" s="26"/>
      <c r="G173" s="54"/>
      <c r="N173" s="42"/>
    </row>
    <row r="174" spans="2:14" s="13" customFormat="1" x14ac:dyDescent="0.4">
      <c r="B174" s="25"/>
      <c r="E174" s="26"/>
      <c r="G174" s="54"/>
      <c r="N174" s="42"/>
    </row>
    <row r="175" spans="2:14" s="13" customFormat="1" x14ac:dyDescent="0.4">
      <c r="B175" s="25"/>
      <c r="E175" s="26"/>
      <c r="G175" s="54"/>
      <c r="N175" s="42"/>
    </row>
    <row r="176" spans="2:14" s="13" customFormat="1" x14ac:dyDescent="0.4">
      <c r="B176" s="25"/>
      <c r="E176" s="26"/>
      <c r="G176" s="54"/>
      <c r="N176" s="42"/>
    </row>
    <row r="177" spans="2:14" s="13" customFormat="1" x14ac:dyDescent="0.4">
      <c r="B177" s="25"/>
      <c r="E177" s="26"/>
      <c r="G177" s="54"/>
      <c r="N177" s="42"/>
    </row>
    <row r="178" spans="2:14" s="13" customFormat="1" x14ac:dyDescent="0.4">
      <c r="B178" s="25"/>
      <c r="E178" s="26"/>
      <c r="G178" s="54"/>
      <c r="N178" s="42"/>
    </row>
    <row r="179" spans="2:14" s="13" customFormat="1" x14ac:dyDescent="0.4">
      <c r="B179" s="25"/>
      <c r="E179" s="26"/>
      <c r="G179" s="54"/>
      <c r="N179" s="42"/>
    </row>
    <row r="180" spans="2:14" s="13" customFormat="1" x14ac:dyDescent="0.4">
      <c r="B180" s="25"/>
      <c r="E180" s="26"/>
      <c r="G180" s="54"/>
      <c r="N180" s="42"/>
    </row>
    <row r="181" spans="2:14" s="13" customFormat="1" x14ac:dyDescent="0.4">
      <c r="B181" s="25"/>
      <c r="E181" s="26"/>
      <c r="G181" s="54"/>
      <c r="N181" s="42"/>
    </row>
    <row r="182" spans="2:14" s="13" customFormat="1" x14ac:dyDescent="0.4">
      <c r="B182" s="25"/>
      <c r="E182" s="26"/>
      <c r="G182" s="54"/>
      <c r="N182" s="42"/>
    </row>
    <row r="183" spans="2:14" s="13" customFormat="1" x14ac:dyDescent="0.4">
      <c r="B183" s="25"/>
      <c r="E183" s="26"/>
      <c r="G183" s="54"/>
      <c r="N183" s="42"/>
    </row>
    <row r="184" spans="2:14" s="13" customFormat="1" x14ac:dyDescent="0.4">
      <c r="B184" s="25"/>
      <c r="E184" s="26"/>
      <c r="G184" s="54"/>
      <c r="N184" s="42"/>
    </row>
    <row r="185" spans="2:14" s="13" customFormat="1" x14ac:dyDescent="0.4">
      <c r="B185" s="25"/>
      <c r="E185" s="26"/>
      <c r="G185" s="54"/>
      <c r="N185" s="42"/>
    </row>
    <row r="186" spans="2:14" s="13" customFormat="1" x14ac:dyDescent="0.4">
      <c r="B186" s="25"/>
      <c r="E186" s="26"/>
      <c r="G186" s="54"/>
      <c r="N186" s="42"/>
    </row>
    <row r="187" spans="2:14" s="13" customFormat="1" x14ac:dyDescent="0.4">
      <c r="B187" s="25"/>
      <c r="E187" s="26"/>
      <c r="G187" s="54"/>
      <c r="N187" s="42"/>
    </row>
    <row r="188" spans="2:14" s="13" customFormat="1" x14ac:dyDescent="0.4">
      <c r="B188" s="25"/>
      <c r="E188" s="26"/>
      <c r="G188" s="54"/>
      <c r="N188" s="42"/>
    </row>
    <row r="189" spans="2:14" s="13" customFormat="1" x14ac:dyDescent="0.4">
      <c r="B189" s="25"/>
      <c r="E189" s="26"/>
      <c r="G189" s="54"/>
      <c r="N189" s="42"/>
    </row>
    <row r="190" spans="2:14" s="13" customFormat="1" x14ac:dyDescent="0.4">
      <c r="B190" s="25"/>
      <c r="E190" s="26"/>
      <c r="G190" s="54"/>
      <c r="N190" s="42"/>
    </row>
    <row r="191" spans="2:14" s="13" customFormat="1" x14ac:dyDescent="0.4">
      <c r="B191" s="25"/>
      <c r="E191" s="26"/>
      <c r="G191" s="54"/>
      <c r="N191" s="42"/>
    </row>
    <row r="192" spans="2:14" s="13" customFormat="1" x14ac:dyDescent="0.4">
      <c r="B192" s="25"/>
      <c r="E192" s="26"/>
      <c r="G192" s="54"/>
      <c r="N192" s="42"/>
    </row>
    <row r="193" spans="2:14" s="13" customFormat="1" x14ac:dyDescent="0.4">
      <c r="B193" s="25"/>
      <c r="E193" s="26"/>
      <c r="G193" s="54"/>
      <c r="N193" s="42"/>
    </row>
    <row r="194" spans="2:14" s="13" customFormat="1" x14ac:dyDescent="0.4">
      <c r="B194" s="25"/>
      <c r="E194" s="26"/>
      <c r="G194" s="54"/>
      <c r="N194" s="42"/>
    </row>
    <row r="195" spans="2:14" s="13" customFormat="1" x14ac:dyDescent="0.4">
      <c r="B195" s="25"/>
      <c r="E195" s="26"/>
      <c r="G195" s="54"/>
      <c r="N195" s="42"/>
    </row>
    <row r="196" spans="2:14" s="13" customFormat="1" x14ac:dyDescent="0.4">
      <c r="B196" s="25"/>
      <c r="E196" s="26"/>
      <c r="G196" s="54"/>
      <c r="N196" s="42"/>
    </row>
    <row r="197" spans="2:14" s="13" customFormat="1" x14ac:dyDescent="0.4">
      <c r="B197" s="25"/>
      <c r="E197" s="26"/>
      <c r="G197" s="54"/>
      <c r="N197" s="42"/>
    </row>
    <row r="198" spans="2:14" s="13" customFormat="1" x14ac:dyDescent="0.4">
      <c r="B198" s="25"/>
      <c r="E198" s="26"/>
      <c r="G198" s="54"/>
      <c r="N198" s="42"/>
    </row>
    <row r="199" spans="2:14" s="13" customFormat="1" x14ac:dyDescent="0.4">
      <c r="B199" s="25"/>
      <c r="E199" s="26"/>
      <c r="G199" s="54"/>
      <c r="N199" s="42"/>
    </row>
    <row r="200" spans="2:14" s="13" customFormat="1" x14ac:dyDescent="0.4">
      <c r="B200" s="25"/>
      <c r="E200" s="26"/>
      <c r="G200" s="54"/>
      <c r="N200" s="42"/>
    </row>
    <row r="201" spans="2:14" s="13" customFormat="1" x14ac:dyDescent="0.4">
      <c r="B201" s="25"/>
      <c r="E201" s="26"/>
      <c r="G201" s="54"/>
      <c r="N201" s="42"/>
    </row>
    <row r="202" spans="2:14" s="13" customFormat="1" x14ac:dyDescent="0.4">
      <c r="B202" s="25"/>
      <c r="E202" s="26"/>
      <c r="G202" s="54"/>
      <c r="N202" s="42"/>
    </row>
    <row r="203" spans="2:14" s="13" customFormat="1" x14ac:dyDescent="0.4">
      <c r="B203" s="25"/>
      <c r="E203" s="26"/>
      <c r="G203" s="54"/>
      <c r="N203" s="42"/>
    </row>
    <row r="204" spans="2:14" s="13" customFormat="1" x14ac:dyDescent="0.4">
      <c r="B204" s="25"/>
      <c r="E204" s="26"/>
      <c r="G204" s="54"/>
      <c r="N204" s="42"/>
    </row>
    <row r="205" spans="2:14" s="13" customFormat="1" x14ac:dyDescent="0.4">
      <c r="B205" s="25"/>
      <c r="E205" s="26"/>
      <c r="G205" s="54"/>
      <c r="N205" s="42"/>
    </row>
    <row r="206" spans="2:14" s="13" customFormat="1" x14ac:dyDescent="0.4">
      <c r="B206" s="25"/>
      <c r="E206" s="26"/>
      <c r="G206" s="54"/>
      <c r="N206" s="42"/>
    </row>
    <row r="207" spans="2:14" s="13" customFormat="1" x14ac:dyDescent="0.4">
      <c r="B207" s="25"/>
      <c r="E207" s="26"/>
      <c r="G207" s="54"/>
      <c r="N207" s="42"/>
    </row>
    <row r="208" spans="2:14" s="13" customFormat="1" x14ac:dyDescent="0.4">
      <c r="B208" s="25"/>
      <c r="E208" s="26"/>
      <c r="G208" s="54"/>
      <c r="N208" s="42"/>
    </row>
    <row r="209" spans="2:14" s="13" customFormat="1" x14ac:dyDescent="0.4">
      <c r="B209" s="25"/>
      <c r="E209" s="26"/>
      <c r="G209" s="54"/>
      <c r="N209" s="42"/>
    </row>
    <row r="210" spans="2:14" s="13" customFormat="1" x14ac:dyDescent="0.4">
      <c r="B210" s="25"/>
      <c r="E210" s="26"/>
      <c r="G210" s="54"/>
      <c r="N210" s="42"/>
    </row>
    <row r="211" spans="2:14" s="13" customFormat="1" x14ac:dyDescent="0.4">
      <c r="B211" s="25"/>
      <c r="E211" s="26"/>
      <c r="G211" s="54"/>
      <c r="N211" s="42"/>
    </row>
    <row r="212" spans="2:14" s="13" customFormat="1" x14ac:dyDescent="0.4">
      <c r="B212" s="25"/>
      <c r="E212" s="26"/>
      <c r="G212" s="54"/>
      <c r="N212" s="42"/>
    </row>
    <row r="213" spans="2:14" s="13" customFormat="1" x14ac:dyDescent="0.4">
      <c r="B213" s="25"/>
      <c r="E213" s="26"/>
      <c r="G213" s="54"/>
      <c r="N213" s="42"/>
    </row>
    <row r="214" spans="2:14" s="13" customFormat="1" x14ac:dyDescent="0.4">
      <c r="B214" s="25"/>
      <c r="E214" s="26"/>
      <c r="G214" s="54"/>
      <c r="N214" s="42"/>
    </row>
    <row r="215" spans="2:14" s="13" customFormat="1" x14ac:dyDescent="0.4">
      <c r="B215" s="25"/>
      <c r="E215" s="26"/>
      <c r="G215" s="54"/>
      <c r="N215" s="42"/>
    </row>
    <row r="216" spans="2:14" s="13" customFormat="1" x14ac:dyDescent="0.4">
      <c r="B216" s="25"/>
      <c r="E216" s="26"/>
      <c r="G216" s="54"/>
      <c r="N216" s="42"/>
    </row>
    <row r="217" spans="2:14" s="13" customFormat="1" x14ac:dyDescent="0.4">
      <c r="B217" s="25"/>
      <c r="E217" s="26"/>
      <c r="G217" s="54"/>
      <c r="N217" s="42"/>
    </row>
    <row r="218" spans="2:14" s="13" customFormat="1" x14ac:dyDescent="0.4">
      <c r="B218" s="25"/>
      <c r="E218" s="26"/>
      <c r="G218" s="54"/>
      <c r="N218" s="42"/>
    </row>
    <row r="219" spans="2:14" s="13" customFormat="1" x14ac:dyDescent="0.4">
      <c r="B219" s="25"/>
      <c r="E219" s="26"/>
      <c r="G219" s="54"/>
      <c r="N219" s="42"/>
    </row>
    <row r="220" spans="2:14" s="13" customFormat="1" x14ac:dyDescent="0.4">
      <c r="B220" s="25"/>
      <c r="E220" s="26"/>
      <c r="G220" s="54"/>
      <c r="N220" s="42"/>
    </row>
    <row r="221" spans="2:14" s="13" customFormat="1" x14ac:dyDescent="0.4">
      <c r="B221" s="25"/>
      <c r="E221" s="26"/>
      <c r="G221" s="54"/>
      <c r="N221" s="42"/>
    </row>
    <row r="222" spans="2:14" s="13" customFormat="1" x14ac:dyDescent="0.4">
      <c r="B222" s="25"/>
      <c r="E222" s="26"/>
      <c r="G222" s="54"/>
      <c r="N222" s="42"/>
    </row>
    <row r="223" spans="2:14" s="13" customFormat="1" x14ac:dyDescent="0.4">
      <c r="B223" s="25"/>
      <c r="E223" s="26"/>
      <c r="G223" s="54"/>
      <c r="N223" s="42"/>
    </row>
    <row r="224" spans="2:14" s="13" customFormat="1" x14ac:dyDescent="0.4">
      <c r="B224" s="25"/>
      <c r="E224" s="26"/>
      <c r="G224" s="54"/>
      <c r="N224" s="42"/>
    </row>
    <row r="225" spans="2:14" s="13" customFormat="1" x14ac:dyDescent="0.4">
      <c r="B225" s="25"/>
      <c r="E225" s="26"/>
      <c r="G225" s="54"/>
      <c r="N225" s="42"/>
    </row>
    <row r="226" spans="2:14" s="13" customFormat="1" x14ac:dyDescent="0.4">
      <c r="B226" s="25"/>
      <c r="E226" s="26"/>
      <c r="G226" s="54"/>
      <c r="N226" s="42"/>
    </row>
    <row r="227" spans="2:14" s="13" customFormat="1" x14ac:dyDescent="0.4">
      <c r="B227" s="25"/>
      <c r="E227" s="26"/>
      <c r="G227" s="54"/>
      <c r="N227" s="42"/>
    </row>
    <row r="228" spans="2:14" s="13" customFormat="1" x14ac:dyDescent="0.4">
      <c r="B228" s="25"/>
      <c r="E228" s="26"/>
      <c r="G228" s="54"/>
      <c r="N228" s="42"/>
    </row>
    <row r="229" spans="2:14" s="13" customFormat="1" x14ac:dyDescent="0.4">
      <c r="B229" s="25"/>
      <c r="E229" s="26"/>
      <c r="G229" s="54"/>
      <c r="N229" s="42"/>
    </row>
    <row r="230" spans="2:14" s="13" customFormat="1" x14ac:dyDescent="0.4">
      <c r="B230" s="25"/>
      <c r="E230" s="26"/>
      <c r="G230" s="54"/>
      <c r="N230" s="42"/>
    </row>
    <row r="231" spans="2:14" s="13" customFormat="1" x14ac:dyDescent="0.4">
      <c r="B231" s="25"/>
      <c r="E231" s="26"/>
      <c r="G231" s="54"/>
      <c r="N231" s="42"/>
    </row>
    <row r="232" spans="2:14" s="13" customFormat="1" x14ac:dyDescent="0.4">
      <c r="B232" s="25"/>
      <c r="E232" s="26"/>
      <c r="G232" s="54"/>
      <c r="N232" s="42"/>
    </row>
    <row r="233" spans="2:14" s="13" customFormat="1" x14ac:dyDescent="0.4">
      <c r="B233" s="25"/>
      <c r="E233" s="26"/>
      <c r="G233" s="54"/>
      <c r="N233" s="42"/>
    </row>
    <row r="234" spans="2:14" s="13" customFormat="1" x14ac:dyDescent="0.4">
      <c r="B234" s="25"/>
      <c r="E234" s="26"/>
      <c r="G234" s="54"/>
      <c r="N234" s="42"/>
    </row>
    <row r="235" spans="2:14" s="13" customFormat="1" x14ac:dyDescent="0.4">
      <c r="B235" s="25"/>
      <c r="E235" s="26"/>
      <c r="G235" s="54"/>
      <c r="N235" s="42"/>
    </row>
    <row r="236" spans="2:14" s="13" customFormat="1" x14ac:dyDescent="0.4">
      <c r="B236" s="25"/>
      <c r="E236" s="26"/>
      <c r="G236" s="54"/>
      <c r="N236" s="42"/>
    </row>
    <row r="237" spans="2:14" s="13" customFormat="1" x14ac:dyDescent="0.4">
      <c r="B237" s="25"/>
      <c r="E237" s="26"/>
      <c r="G237" s="54"/>
      <c r="N237" s="42"/>
    </row>
    <row r="238" spans="2:14" s="13" customFormat="1" x14ac:dyDescent="0.4">
      <c r="B238" s="25"/>
      <c r="E238" s="26"/>
      <c r="G238" s="54"/>
      <c r="N238" s="42"/>
    </row>
    <row r="239" spans="2:14" s="13" customFormat="1" x14ac:dyDescent="0.4">
      <c r="B239" s="25"/>
      <c r="E239" s="26"/>
      <c r="G239" s="54"/>
      <c r="N239" s="42"/>
    </row>
    <row r="240" spans="2:14" s="13" customFormat="1" x14ac:dyDescent="0.4">
      <c r="B240" s="25"/>
      <c r="E240" s="26"/>
      <c r="G240" s="54"/>
      <c r="N240" s="42"/>
    </row>
    <row r="241" spans="2:14" s="13" customFormat="1" x14ac:dyDescent="0.4">
      <c r="B241" s="25"/>
      <c r="E241" s="26"/>
      <c r="G241" s="54"/>
      <c r="N241" s="42"/>
    </row>
    <row r="242" spans="2:14" s="13" customFormat="1" x14ac:dyDescent="0.4">
      <c r="B242" s="25"/>
      <c r="E242" s="26"/>
      <c r="G242" s="54"/>
      <c r="N242" s="42"/>
    </row>
    <row r="243" spans="2:14" s="13" customFormat="1" x14ac:dyDescent="0.4">
      <c r="B243" s="25"/>
      <c r="E243" s="26"/>
      <c r="G243" s="54"/>
      <c r="N243" s="42"/>
    </row>
    <row r="244" spans="2:14" s="13" customFormat="1" x14ac:dyDescent="0.4">
      <c r="B244" s="25"/>
      <c r="E244" s="26"/>
      <c r="G244" s="54"/>
      <c r="N244" s="42"/>
    </row>
    <row r="245" spans="2:14" s="13" customFormat="1" x14ac:dyDescent="0.4">
      <c r="B245" s="25"/>
      <c r="E245" s="26"/>
      <c r="G245" s="54"/>
      <c r="N245" s="42"/>
    </row>
    <row r="246" spans="2:14" s="13" customFormat="1" x14ac:dyDescent="0.4">
      <c r="B246" s="25"/>
      <c r="E246" s="26"/>
      <c r="G246" s="54"/>
      <c r="N246" s="42"/>
    </row>
    <row r="247" spans="2:14" s="13" customFormat="1" x14ac:dyDescent="0.4">
      <c r="B247" s="25"/>
      <c r="E247" s="26"/>
      <c r="G247" s="54"/>
      <c r="N247" s="42"/>
    </row>
    <row r="248" spans="2:14" s="13" customFormat="1" x14ac:dyDescent="0.4">
      <c r="B248" s="25"/>
      <c r="E248" s="26"/>
      <c r="G248" s="54"/>
      <c r="N248" s="42"/>
    </row>
    <row r="249" spans="2:14" s="13" customFormat="1" x14ac:dyDescent="0.4">
      <c r="B249" s="25"/>
      <c r="E249" s="26"/>
      <c r="G249" s="54"/>
      <c r="N249" s="42"/>
    </row>
    <row r="250" spans="2:14" s="13" customFormat="1" x14ac:dyDescent="0.4">
      <c r="B250" s="25"/>
      <c r="E250" s="26"/>
      <c r="G250" s="54"/>
      <c r="N250" s="42"/>
    </row>
    <row r="251" spans="2:14" s="13" customFormat="1" x14ac:dyDescent="0.4">
      <c r="B251" s="25"/>
      <c r="E251" s="26"/>
      <c r="G251" s="54"/>
      <c r="N251" s="42"/>
    </row>
    <row r="252" spans="2:14" s="13" customFormat="1" x14ac:dyDescent="0.4">
      <c r="B252" s="25"/>
      <c r="E252" s="26"/>
      <c r="G252" s="54"/>
      <c r="N252" s="42"/>
    </row>
    <row r="253" spans="2:14" s="13" customFormat="1" x14ac:dyDescent="0.4">
      <c r="B253" s="25"/>
      <c r="E253" s="26"/>
      <c r="G253" s="54"/>
      <c r="N253" s="42"/>
    </row>
    <row r="254" spans="2:14" s="13" customFormat="1" x14ac:dyDescent="0.4">
      <c r="B254" s="25"/>
      <c r="E254" s="26"/>
      <c r="G254" s="54"/>
      <c r="N254" s="42"/>
    </row>
    <row r="255" spans="2:14" s="13" customFormat="1" x14ac:dyDescent="0.4">
      <c r="B255" s="25"/>
      <c r="E255" s="26"/>
      <c r="G255" s="54"/>
      <c r="N255" s="42"/>
    </row>
    <row r="256" spans="2:14" s="13" customFormat="1" x14ac:dyDescent="0.4">
      <c r="B256" s="25"/>
      <c r="E256" s="26"/>
      <c r="G256" s="54"/>
      <c r="N256" s="42"/>
    </row>
    <row r="257" spans="2:14" s="13" customFormat="1" x14ac:dyDescent="0.4">
      <c r="B257" s="25"/>
      <c r="E257" s="26"/>
      <c r="G257" s="54"/>
      <c r="N257" s="42"/>
    </row>
    <row r="258" spans="2:14" s="13" customFormat="1" x14ac:dyDescent="0.4">
      <c r="B258" s="25"/>
      <c r="E258" s="26"/>
      <c r="G258" s="54"/>
      <c r="N258" s="42"/>
    </row>
    <row r="259" spans="2:14" s="13" customFormat="1" x14ac:dyDescent="0.4">
      <c r="B259" s="25"/>
      <c r="E259" s="26"/>
      <c r="G259" s="54"/>
      <c r="N259" s="42"/>
    </row>
    <row r="260" spans="2:14" s="13" customFormat="1" x14ac:dyDescent="0.4">
      <c r="B260" s="25"/>
      <c r="E260" s="26"/>
      <c r="G260" s="54"/>
      <c r="N260" s="42"/>
    </row>
    <row r="261" spans="2:14" s="13" customFormat="1" x14ac:dyDescent="0.4">
      <c r="B261" s="25"/>
      <c r="E261" s="26"/>
      <c r="G261" s="54"/>
      <c r="N261" s="42"/>
    </row>
    <row r="262" spans="2:14" s="13" customFormat="1" x14ac:dyDescent="0.4">
      <c r="B262" s="25"/>
      <c r="E262" s="26"/>
      <c r="G262" s="54"/>
      <c r="N262" s="42"/>
    </row>
    <row r="263" spans="2:14" s="13" customFormat="1" x14ac:dyDescent="0.4">
      <c r="B263" s="25"/>
      <c r="E263" s="26"/>
      <c r="G263" s="54"/>
      <c r="N263" s="42"/>
    </row>
    <row r="264" spans="2:14" s="13" customFormat="1" x14ac:dyDescent="0.4">
      <c r="B264" s="25"/>
      <c r="E264" s="26"/>
      <c r="G264" s="54"/>
      <c r="N264" s="42"/>
    </row>
    <row r="265" spans="2:14" s="13" customFormat="1" x14ac:dyDescent="0.4">
      <c r="B265" s="25"/>
      <c r="E265" s="26"/>
      <c r="G265" s="54"/>
      <c r="N265" s="42"/>
    </row>
    <row r="266" spans="2:14" s="13" customFormat="1" x14ac:dyDescent="0.4">
      <c r="B266" s="25"/>
      <c r="E266" s="26"/>
      <c r="G266" s="54"/>
      <c r="N266" s="42"/>
    </row>
    <row r="267" spans="2:14" s="13" customFormat="1" x14ac:dyDescent="0.4">
      <c r="B267" s="25"/>
      <c r="E267" s="26"/>
      <c r="G267" s="54"/>
      <c r="N267" s="42"/>
    </row>
    <row r="268" spans="2:14" s="13" customFormat="1" x14ac:dyDescent="0.4">
      <c r="B268" s="25"/>
      <c r="E268" s="26"/>
      <c r="G268" s="54"/>
      <c r="N268" s="42"/>
    </row>
    <row r="269" spans="2:14" s="13" customFormat="1" x14ac:dyDescent="0.4">
      <c r="B269" s="25"/>
      <c r="E269" s="26"/>
      <c r="G269" s="54"/>
      <c r="N269" s="42"/>
    </row>
    <row r="270" spans="2:14" s="13" customFormat="1" x14ac:dyDescent="0.4">
      <c r="B270" s="25"/>
      <c r="E270" s="26"/>
      <c r="G270" s="54"/>
      <c r="N270" s="42"/>
    </row>
    <row r="271" spans="2:14" s="13" customFormat="1" x14ac:dyDescent="0.4">
      <c r="B271" s="25"/>
      <c r="E271" s="26"/>
      <c r="G271" s="54"/>
      <c r="N271" s="42"/>
    </row>
    <row r="272" spans="2:14" s="13" customFormat="1" x14ac:dyDescent="0.4">
      <c r="B272" s="25"/>
      <c r="E272" s="26"/>
      <c r="G272" s="54"/>
      <c r="N272" s="42"/>
    </row>
    <row r="273" spans="2:14" s="13" customFormat="1" x14ac:dyDescent="0.4">
      <c r="B273" s="25"/>
      <c r="E273" s="26"/>
      <c r="G273" s="54"/>
      <c r="N273" s="42"/>
    </row>
    <row r="274" spans="2:14" s="13" customFormat="1" x14ac:dyDescent="0.4">
      <c r="B274" s="25"/>
      <c r="E274" s="26"/>
      <c r="G274" s="54"/>
      <c r="N274" s="42"/>
    </row>
    <row r="275" spans="2:14" s="13" customFormat="1" x14ac:dyDescent="0.4">
      <c r="B275" s="25"/>
      <c r="E275" s="26"/>
      <c r="G275" s="54"/>
      <c r="N275" s="42"/>
    </row>
    <row r="276" spans="2:14" s="13" customFormat="1" x14ac:dyDescent="0.4">
      <c r="B276" s="25"/>
      <c r="E276" s="26"/>
      <c r="G276" s="54"/>
      <c r="N276" s="42"/>
    </row>
    <row r="277" spans="2:14" s="13" customFormat="1" x14ac:dyDescent="0.4">
      <c r="B277" s="25"/>
      <c r="E277" s="26"/>
      <c r="G277" s="54"/>
      <c r="N277" s="42"/>
    </row>
    <row r="278" spans="2:14" s="13" customFormat="1" x14ac:dyDescent="0.4">
      <c r="B278" s="25"/>
      <c r="E278" s="26"/>
      <c r="G278" s="54"/>
      <c r="N278" s="42"/>
    </row>
    <row r="279" spans="2:14" s="13" customFormat="1" x14ac:dyDescent="0.4">
      <c r="B279" s="25"/>
      <c r="E279" s="26"/>
      <c r="G279" s="54"/>
      <c r="N279" s="42"/>
    </row>
    <row r="280" spans="2:14" s="13" customFormat="1" x14ac:dyDescent="0.4">
      <c r="B280" s="25"/>
      <c r="E280" s="26"/>
      <c r="G280" s="54"/>
      <c r="N280" s="42"/>
    </row>
    <row r="281" spans="2:14" s="13" customFormat="1" x14ac:dyDescent="0.4">
      <c r="B281" s="25"/>
      <c r="E281" s="26"/>
      <c r="G281" s="54"/>
      <c r="N281" s="42"/>
    </row>
    <row r="282" spans="2:14" s="13" customFormat="1" x14ac:dyDescent="0.4">
      <c r="B282" s="25"/>
      <c r="E282" s="26"/>
      <c r="G282" s="54"/>
      <c r="N282" s="42"/>
    </row>
    <row r="283" spans="2:14" s="13" customFormat="1" x14ac:dyDescent="0.4">
      <c r="B283" s="25"/>
      <c r="E283" s="26"/>
      <c r="G283" s="54"/>
      <c r="N283" s="42"/>
    </row>
    <row r="284" spans="2:14" s="13" customFormat="1" x14ac:dyDescent="0.4">
      <c r="B284" s="25"/>
      <c r="E284" s="26"/>
      <c r="G284" s="54"/>
      <c r="N284" s="42"/>
    </row>
    <row r="285" spans="2:14" s="13" customFormat="1" x14ac:dyDescent="0.4">
      <c r="B285" s="25"/>
      <c r="E285" s="26"/>
      <c r="G285" s="54"/>
      <c r="N285" s="42"/>
    </row>
    <row r="286" spans="2:14" s="13" customFormat="1" x14ac:dyDescent="0.4">
      <c r="B286" s="25"/>
      <c r="E286" s="26"/>
      <c r="G286" s="54"/>
      <c r="N286" s="42"/>
    </row>
    <row r="287" spans="2:14" s="13" customFormat="1" x14ac:dyDescent="0.4">
      <c r="B287" s="25"/>
      <c r="E287" s="26"/>
      <c r="G287" s="54"/>
      <c r="N287" s="42"/>
    </row>
    <row r="288" spans="2:14" s="13" customFormat="1" x14ac:dyDescent="0.4">
      <c r="B288" s="25"/>
      <c r="E288" s="26"/>
      <c r="G288" s="54"/>
      <c r="N288" s="42"/>
    </row>
    <row r="289" spans="2:14" s="13" customFormat="1" x14ac:dyDescent="0.4">
      <c r="B289" s="25"/>
      <c r="E289" s="26"/>
      <c r="G289" s="54"/>
      <c r="N289" s="42"/>
    </row>
    <row r="290" spans="2:14" s="13" customFormat="1" x14ac:dyDescent="0.4">
      <c r="B290" s="25"/>
      <c r="E290" s="26"/>
      <c r="G290" s="54"/>
      <c r="N290" s="42"/>
    </row>
    <row r="291" spans="2:14" s="13" customFormat="1" x14ac:dyDescent="0.4">
      <c r="B291" s="25"/>
      <c r="E291" s="26"/>
      <c r="G291" s="54"/>
      <c r="N291" s="42"/>
    </row>
    <row r="292" spans="2:14" s="13" customFormat="1" x14ac:dyDescent="0.4">
      <c r="B292" s="25"/>
      <c r="E292" s="26"/>
      <c r="G292" s="54"/>
      <c r="N292" s="42"/>
    </row>
    <row r="293" spans="2:14" s="13" customFormat="1" x14ac:dyDescent="0.4">
      <c r="B293" s="25"/>
      <c r="E293" s="26"/>
      <c r="G293" s="54"/>
      <c r="N293" s="42"/>
    </row>
    <row r="294" spans="2:14" s="13" customFormat="1" x14ac:dyDescent="0.4">
      <c r="B294" s="25"/>
      <c r="E294" s="26"/>
      <c r="G294" s="54"/>
      <c r="N294" s="42"/>
    </row>
    <row r="295" spans="2:14" s="13" customFormat="1" x14ac:dyDescent="0.4">
      <c r="B295" s="25"/>
      <c r="E295" s="26"/>
      <c r="G295" s="54"/>
      <c r="N295" s="42"/>
    </row>
    <row r="296" spans="2:14" s="13" customFormat="1" x14ac:dyDescent="0.4">
      <c r="B296" s="25"/>
      <c r="E296" s="26"/>
      <c r="G296" s="54"/>
      <c r="N296" s="42"/>
    </row>
    <row r="297" spans="2:14" s="13" customFormat="1" x14ac:dyDescent="0.4">
      <c r="B297" s="25"/>
      <c r="E297" s="26"/>
      <c r="G297" s="54"/>
      <c r="N297" s="42"/>
    </row>
    <row r="298" spans="2:14" s="13" customFormat="1" x14ac:dyDescent="0.4">
      <c r="B298" s="25"/>
      <c r="E298" s="26"/>
      <c r="G298" s="54"/>
      <c r="N298" s="42"/>
    </row>
    <row r="299" spans="2:14" s="13" customFormat="1" x14ac:dyDescent="0.4">
      <c r="B299" s="25"/>
      <c r="E299" s="26"/>
      <c r="G299" s="54"/>
      <c r="N299" s="42"/>
    </row>
    <row r="300" spans="2:14" s="13" customFormat="1" x14ac:dyDescent="0.4">
      <c r="B300" s="25"/>
      <c r="E300" s="26"/>
      <c r="G300" s="54"/>
      <c r="N300" s="42"/>
    </row>
    <row r="301" spans="2:14" s="13" customFormat="1" x14ac:dyDescent="0.4">
      <c r="B301" s="25"/>
      <c r="E301" s="26"/>
      <c r="G301" s="54"/>
      <c r="N301" s="42"/>
    </row>
    <row r="302" spans="2:14" s="13" customFormat="1" x14ac:dyDescent="0.4">
      <c r="B302" s="25"/>
      <c r="E302" s="26"/>
      <c r="G302" s="54"/>
      <c r="N302" s="42"/>
    </row>
    <row r="303" spans="2:14" s="13" customFormat="1" x14ac:dyDescent="0.4">
      <c r="B303" s="25"/>
      <c r="E303" s="26"/>
      <c r="G303" s="54"/>
      <c r="N303" s="42"/>
    </row>
    <row r="304" spans="2:14" s="13" customFormat="1" x14ac:dyDescent="0.4">
      <c r="B304" s="25"/>
      <c r="E304" s="26"/>
      <c r="G304" s="54"/>
      <c r="N304" s="42"/>
    </row>
    <row r="305" spans="2:14" s="13" customFormat="1" x14ac:dyDescent="0.4">
      <c r="B305" s="25"/>
      <c r="E305" s="26"/>
      <c r="G305" s="54"/>
      <c r="N305" s="42"/>
    </row>
    <row r="306" spans="2:14" s="13" customFormat="1" x14ac:dyDescent="0.4">
      <c r="B306" s="25"/>
      <c r="E306" s="26"/>
      <c r="G306" s="54"/>
      <c r="N306" s="42"/>
    </row>
    <row r="307" spans="2:14" s="13" customFormat="1" x14ac:dyDescent="0.4">
      <c r="B307" s="25"/>
      <c r="E307" s="26"/>
      <c r="G307" s="54"/>
      <c r="N307" s="42"/>
    </row>
    <row r="308" spans="2:14" s="13" customFormat="1" x14ac:dyDescent="0.4">
      <c r="B308" s="25"/>
      <c r="E308" s="26"/>
      <c r="G308" s="54"/>
      <c r="N308" s="42"/>
    </row>
    <row r="309" spans="2:14" s="13" customFormat="1" x14ac:dyDescent="0.4">
      <c r="B309" s="25"/>
      <c r="E309" s="26"/>
      <c r="G309" s="54"/>
      <c r="N309" s="42"/>
    </row>
    <row r="310" spans="2:14" s="13" customFormat="1" x14ac:dyDescent="0.4">
      <c r="B310" s="25"/>
      <c r="E310" s="26"/>
      <c r="G310" s="54"/>
      <c r="N310" s="42"/>
    </row>
    <row r="311" spans="2:14" s="13" customFormat="1" x14ac:dyDescent="0.4">
      <c r="B311" s="25"/>
      <c r="E311" s="26"/>
      <c r="G311" s="54"/>
      <c r="N311" s="42"/>
    </row>
    <row r="312" spans="2:14" s="13" customFormat="1" x14ac:dyDescent="0.4">
      <c r="B312" s="25"/>
      <c r="E312" s="26"/>
      <c r="G312" s="54"/>
      <c r="N312" s="42"/>
    </row>
    <row r="313" spans="2:14" s="13" customFormat="1" x14ac:dyDescent="0.4">
      <c r="B313" s="25"/>
      <c r="E313" s="26"/>
      <c r="G313" s="54"/>
      <c r="N313" s="42"/>
    </row>
    <row r="314" spans="2:14" s="13" customFormat="1" x14ac:dyDescent="0.4">
      <c r="B314" s="25"/>
      <c r="E314" s="26"/>
      <c r="G314" s="54"/>
      <c r="N314" s="42"/>
    </row>
    <row r="315" spans="2:14" s="13" customFormat="1" x14ac:dyDescent="0.4">
      <c r="B315" s="25"/>
      <c r="E315" s="26"/>
      <c r="G315" s="54"/>
      <c r="N315" s="42"/>
    </row>
    <row r="316" spans="2:14" s="13" customFormat="1" x14ac:dyDescent="0.4">
      <c r="B316" s="25"/>
      <c r="E316" s="26"/>
      <c r="G316" s="54"/>
      <c r="N316" s="42"/>
    </row>
    <row r="317" spans="2:14" s="13" customFormat="1" x14ac:dyDescent="0.4">
      <c r="B317" s="25"/>
      <c r="E317" s="26"/>
      <c r="G317" s="54"/>
      <c r="N317" s="42"/>
    </row>
    <row r="318" spans="2:14" s="13" customFormat="1" x14ac:dyDescent="0.4">
      <c r="B318" s="25"/>
      <c r="E318" s="26"/>
      <c r="G318" s="54"/>
      <c r="N318" s="42"/>
    </row>
    <row r="319" spans="2:14" s="13" customFormat="1" x14ac:dyDescent="0.4">
      <c r="B319" s="25"/>
      <c r="E319" s="26"/>
      <c r="G319" s="54"/>
      <c r="N319" s="42"/>
    </row>
    <row r="320" spans="2:14" s="13" customFormat="1" x14ac:dyDescent="0.4">
      <c r="B320" s="25"/>
      <c r="E320" s="26"/>
      <c r="G320" s="54"/>
      <c r="N320" s="42"/>
    </row>
    <row r="321" spans="2:14" s="13" customFormat="1" x14ac:dyDescent="0.4">
      <c r="B321" s="25"/>
      <c r="E321" s="26"/>
      <c r="G321" s="54"/>
      <c r="N321" s="42"/>
    </row>
    <row r="322" spans="2:14" s="13" customFormat="1" x14ac:dyDescent="0.4">
      <c r="B322" s="25"/>
      <c r="E322" s="26"/>
      <c r="G322" s="54"/>
      <c r="N322" s="42"/>
    </row>
    <row r="323" spans="2:14" s="13" customFormat="1" x14ac:dyDescent="0.4">
      <c r="B323" s="25"/>
      <c r="E323" s="26"/>
      <c r="G323" s="54"/>
      <c r="N323" s="42"/>
    </row>
    <row r="324" spans="2:14" s="13" customFormat="1" x14ac:dyDescent="0.4">
      <c r="B324" s="25"/>
      <c r="E324" s="26"/>
      <c r="G324" s="54"/>
      <c r="N324" s="42"/>
    </row>
    <row r="325" spans="2:14" s="13" customFormat="1" x14ac:dyDescent="0.4">
      <c r="B325" s="25"/>
      <c r="E325" s="26"/>
      <c r="G325" s="54"/>
      <c r="N325" s="42"/>
    </row>
    <row r="326" spans="2:14" s="13" customFormat="1" x14ac:dyDescent="0.4">
      <c r="B326" s="25"/>
      <c r="E326" s="26"/>
      <c r="G326" s="54"/>
      <c r="N326" s="42"/>
    </row>
    <row r="327" spans="2:14" s="13" customFormat="1" x14ac:dyDescent="0.4">
      <c r="B327" s="25"/>
      <c r="E327" s="26"/>
      <c r="G327" s="54"/>
      <c r="N327" s="42"/>
    </row>
    <row r="328" spans="2:14" s="13" customFormat="1" x14ac:dyDescent="0.4">
      <c r="B328" s="25"/>
      <c r="E328" s="26"/>
      <c r="G328" s="54"/>
      <c r="N328" s="42"/>
    </row>
    <row r="329" spans="2:14" s="13" customFormat="1" x14ac:dyDescent="0.4">
      <c r="B329" s="25"/>
      <c r="E329" s="26"/>
      <c r="G329" s="54"/>
      <c r="N329" s="42"/>
    </row>
    <row r="330" spans="2:14" s="13" customFormat="1" x14ac:dyDescent="0.4">
      <c r="B330" s="25"/>
      <c r="E330" s="26"/>
      <c r="G330" s="54"/>
      <c r="N330" s="42"/>
    </row>
    <row r="331" spans="2:14" s="13" customFormat="1" x14ac:dyDescent="0.4">
      <c r="B331" s="25"/>
      <c r="E331" s="26"/>
      <c r="G331" s="54"/>
      <c r="N331" s="42"/>
    </row>
    <row r="332" spans="2:14" s="13" customFormat="1" x14ac:dyDescent="0.4">
      <c r="B332" s="25"/>
      <c r="E332" s="26"/>
      <c r="G332" s="54"/>
      <c r="N332" s="42"/>
    </row>
    <row r="333" spans="2:14" s="13" customFormat="1" x14ac:dyDescent="0.4">
      <c r="B333" s="25"/>
      <c r="E333" s="26"/>
      <c r="G333" s="54"/>
      <c r="N333" s="42"/>
    </row>
    <row r="334" spans="2:14" s="13" customFormat="1" x14ac:dyDescent="0.4">
      <c r="B334" s="25"/>
      <c r="E334" s="26"/>
      <c r="G334" s="54"/>
      <c r="N334" s="42"/>
    </row>
    <row r="335" spans="2:14" s="13" customFormat="1" x14ac:dyDescent="0.4">
      <c r="B335" s="25"/>
      <c r="E335" s="26"/>
      <c r="G335" s="54"/>
      <c r="N335" s="42"/>
    </row>
    <row r="336" spans="2:14" s="13" customFormat="1" x14ac:dyDescent="0.4">
      <c r="B336" s="25"/>
      <c r="E336" s="26"/>
      <c r="G336" s="54"/>
      <c r="N336" s="42"/>
    </row>
    <row r="337" spans="2:14" s="13" customFormat="1" x14ac:dyDescent="0.4">
      <c r="B337" s="25"/>
      <c r="E337" s="26"/>
      <c r="G337" s="54"/>
      <c r="N337" s="42"/>
    </row>
    <row r="338" spans="2:14" s="13" customFormat="1" x14ac:dyDescent="0.4">
      <c r="B338" s="25"/>
      <c r="E338" s="26"/>
      <c r="G338" s="54"/>
      <c r="N338" s="42"/>
    </row>
    <row r="339" spans="2:14" s="13" customFormat="1" x14ac:dyDescent="0.4">
      <c r="B339" s="25"/>
      <c r="E339" s="26"/>
      <c r="G339" s="54"/>
      <c r="N339" s="42"/>
    </row>
    <row r="340" spans="2:14" s="13" customFormat="1" x14ac:dyDescent="0.4">
      <c r="B340" s="25"/>
      <c r="E340" s="26"/>
      <c r="G340" s="54"/>
      <c r="N340" s="42"/>
    </row>
    <row r="341" spans="2:14" s="13" customFormat="1" x14ac:dyDescent="0.4">
      <c r="B341" s="25"/>
      <c r="E341" s="26"/>
      <c r="G341" s="54"/>
      <c r="N341" s="42"/>
    </row>
    <row r="342" spans="2:14" s="13" customFormat="1" x14ac:dyDescent="0.4">
      <c r="B342" s="25"/>
      <c r="E342" s="26"/>
      <c r="G342" s="54"/>
      <c r="N342" s="42"/>
    </row>
    <row r="343" spans="2:14" s="13" customFormat="1" x14ac:dyDescent="0.4">
      <c r="B343" s="25"/>
      <c r="E343" s="26"/>
      <c r="G343" s="54"/>
      <c r="N343" s="42"/>
    </row>
    <row r="344" spans="2:14" s="13" customFormat="1" x14ac:dyDescent="0.4">
      <c r="B344" s="25"/>
      <c r="E344" s="26"/>
      <c r="G344" s="54"/>
      <c r="N344" s="42"/>
    </row>
    <row r="345" spans="2:14" s="13" customFormat="1" x14ac:dyDescent="0.4">
      <c r="B345" s="25"/>
      <c r="E345" s="26"/>
      <c r="G345" s="54"/>
      <c r="N345" s="42"/>
    </row>
    <row r="346" spans="2:14" s="13" customFormat="1" x14ac:dyDescent="0.4">
      <c r="B346" s="25"/>
      <c r="E346" s="26"/>
      <c r="G346" s="54"/>
      <c r="N346" s="42"/>
    </row>
    <row r="347" spans="2:14" s="13" customFormat="1" x14ac:dyDescent="0.4">
      <c r="B347" s="25"/>
      <c r="E347" s="26"/>
      <c r="G347" s="54"/>
      <c r="N347" s="42"/>
    </row>
    <row r="348" spans="2:14" s="13" customFormat="1" x14ac:dyDescent="0.4">
      <c r="B348" s="25"/>
      <c r="E348" s="26"/>
      <c r="G348" s="54"/>
      <c r="N348" s="42"/>
    </row>
    <row r="349" spans="2:14" s="13" customFormat="1" x14ac:dyDescent="0.4">
      <c r="B349" s="25"/>
      <c r="E349" s="26"/>
      <c r="G349" s="54"/>
      <c r="N349" s="42"/>
    </row>
    <row r="350" spans="2:14" s="13" customFormat="1" x14ac:dyDescent="0.4">
      <c r="B350" s="25"/>
      <c r="E350" s="26"/>
      <c r="G350" s="54"/>
      <c r="N350" s="42"/>
    </row>
    <row r="351" spans="2:14" s="13" customFormat="1" x14ac:dyDescent="0.4">
      <c r="B351" s="25"/>
      <c r="E351" s="26"/>
      <c r="G351" s="54"/>
      <c r="N351" s="42"/>
    </row>
    <row r="352" spans="2:14" s="13" customFormat="1" x14ac:dyDescent="0.4">
      <c r="B352" s="25"/>
      <c r="E352" s="26"/>
      <c r="G352" s="54"/>
      <c r="N352" s="42"/>
    </row>
    <row r="353" spans="2:14" s="13" customFormat="1" x14ac:dyDescent="0.4">
      <c r="B353" s="25"/>
      <c r="E353" s="26"/>
      <c r="G353" s="54"/>
      <c r="N353" s="42"/>
    </row>
    <row r="354" spans="2:14" s="13" customFormat="1" x14ac:dyDescent="0.4">
      <c r="B354" s="25"/>
      <c r="E354" s="26"/>
      <c r="G354" s="54"/>
      <c r="N354" s="42"/>
    </row>
    <row r="355" spans="2:14" s="13" customFormat="1" x14ac:dyDescent="0.4">
      <c r="B355" s="25"/>
      <c r="E355" s="26"/>
      <c r="G355" s="54"/>
      <c r="N355" s="42"/>
    </row>
    <row r="356" spans="2:14" s="13" customFormat="1" x14ac:dyDescent="0.4">
      <c r="B356" s="25"/>
      <c r="E356" s="26"/>
      <c r="G356" s="54"/>
      <c r="N356" s="42"/>
    </row>
    <row r="357" spans="2:14" s="13" customFormat="1" x14ac:dyDescent="0.4">
      <c r="B357" s="25"/>
      <c r="E357" s="26"/>
      <c r="G357" s="54"/>
      <c r="N357" s="42"/>
    </row>
    <row r="358" spans="2:14" s="13" customFormat="1" x14ac:dyDescent="0.4">
      <c r="B358" s="25"/>
      <c r="E358" s="26"/>
      <c r="G358" s="54"/>
      <c r="N358" s="42"/>
    </row>
    <row r="359" spans="2:14" s="13" customFormat="1" x14ac:dyDescent="0.4">
      <c r="B359" s="25"/>
      <c r="E359" s="26"/>
      <c r="G359" s="54"/>
      <c r="N359" s="42"/>
    </row>
    <row r="360" spans="2:14" s="13" customFormat="1" x14ac:dyDescent="0.4">
      <c r="B360" s="25"/>
      <c r="E360" s="26"/>
      <c r="G360" s="54"/>
      <c r="N360" s="42"/>
    </row>
    <row r="361" spans="2:14" s="13" customFormat="1" x14ac:dyDescent="0.4">
      <c r="B361" s="25"/>
      <c r="E361" s="26"/>
      <c r="G361" s="54"/>
      <c r="N361" s="42"/>
    </row>
    <row r="362" spans="2:14" s="13" customFormat="1" x14ac:dyDescent="0.4">
      <c r="B362" s="25"/>
      <c r="E362" s="26"/>
      <c r="G362" s="54"/>
      <c r="N362" s="42"/>
    </row>
    <row r="363" spans="2:14" s="13" customFormat="1" x14ac:dyDescent="0.4">
      <c r="B363" s="25"/>
      <c r="E363" s="26"/>
      <c r="G363" s="54"/>
      <c r="N363" s="42"/>
    </row>
    <row r="364" spans="2:14" s="13" customFormat="1" x14ac:dyDescent="0.4">
      <c r="B364" s="25"/>
      <c r="E364" s="26"/>
      <c r="G364" s="54"/>
      <c r="N364" s="42"/>
    </row>
    <row r="365" spans="2:14" s="13" customFormat="1" x14ac:dyDescent="0.4">
      <c r="B365" s="25"/>
      <c r="E365" s="26"/>
      <c r="G365" s="54"/>
      <c r="N365" s="42"/>
    </row>
    <row r="366" spans="2:14" s="13" customFormat="1" x14ac:dyDescent="0.4">
      <c r="B366" s="25"/>
      <c r="E366" s="26"/>
      <c r="G366" s="54"/>
      <c r="N366" s="42"/>
    </row>
    <row r="367" spans="2:14" s="13" customFormat="1" x14ac:dyDescent="0.4">
      <c r="B367" s="25"/>
      <c r="E367" s="26"/>
      <c r="G367" s="54"/>
      <c r="N367" s="42"/>
    </row>
    <row r="368" spans="2:14" s="13" customFormat="1" x14ac:dyDescent="0.4">
      <c r="B368" s="25"/>
      <c r="E368" s="26"/>
      <c r="G368" s="54"/>
      <c r="N368" s="42"/>
    </row>
    <row r="369" spans="2:14" s="13" customFormat="1" x14ac:dyDescent="0.4">
      <c r="B369" s="25"/>
      <c r="E369" s="26"/>
      <c r="G369" s="54"/>
      <c r="N369" s="42"/>
    </row>
    <row r="370" spans="2:14" s="13" customFormat="1" x14ac:dyDescent="0.4">
      <c r="B370" s="25"/>
      <c r="E370" s="26"/>
      <c r="G370" s="54"/>
      <c r="N370" s="42"/>
    </row>
    <row r="371" spans="2:14" s="13" customFormat="1" x14ac:dyDescent="0.4">
      <c r="B371" s="25"/>
      <c r="E371" s="26"/>
      <c r="G371" s="54"/>
      <c r="N371" s="42"/>
    </row>
    <row r="372" spans="2:14" s="13" customFormat="1" x14ac:dyDescent="0.4">
      <c r="B372" s="25"/>
      <c r="E372" s="26"/>
      <c r="G372" s="54"/>
      <c r="N372" s="42"/>
    </row>
    <row r="373" spans="2:14" s="13" customFormat="1" x14ac:dyDescent="0.4">
      <c r="B373" s="25"/>
      <c r="E373" s="26"/>
      <c r="G373" s="54"/>
      <c r="N373" s="42"/>
    </row>
    <row r="374" spans="2:14" s="13" customFormat="1" x14ac:dyDescent="0.4">
      <c r="B374" s="25"/>
      <c r="E374" s="26"/>
      <c r="G374" s="54"/>
      <c r="N374" s="42"/>
    </row>
    <row r="375" spans="2:14" s="13" customFormat="1" x14ac:dyDescent="0.4">
      <c r="B375" s="25"/>
      <c r="E375" s="26"/>
      <c r="G375" s="54"/>
      <c r="N375" s="42"/>
    </row>
    <row r="376" spans="2:14" s="13" customFormat="1" x14ac:dyDescent="0.4">
      <c r="B376" s="25"/>
      <c r="E376" s="26"/>
      <c r="G376" s="54"/>
      <c r="N376" s="42"/>
    </row>
    <row r="377" spans="2:14" s="13" customFormat="1" x14ac:dyDescent="0.4">
      <c r="B377" s="25"/>
      <c r="E377" s="26"/>
      <c r="G377" s="54"/>
      <c r="N377" s="42"/>
    </row>
    <row r="378" spans="2:14" s="13" customFormat="1" x14ac:dyDescent="0.4">
      <c r="B378" s="25"/>
      <c r="E378" s="26"/>
      <c r="G378" s="54"/>
      <c r="N378" s="42"/>
    </row>
    <row r="379" spans="2:14" s="13" customFormat="1" x14ac:dyDescent="0.4">
      <c r="B379" s="25"/>
      <c r="E379" s="26"/>
      <c r="G379" s="54"/>
      <c r="N379" s="42"/>
    </row>
    <row r="380" spans="2:14" s="13" customFormat="1" x14ac:dyDescent="0.4">
      <c r="B380" s="25"/>
      <c r="E380" s="26"/>
      <c r="G380" s="54"/>
      <c r="N380" s="42"/>
    </row>
    <row r="381" spans="2:14" s="13" customFormat="1" x14ac:dyDescent="0.4">
      <c r="B381" s="25"/>
      <c r="E381" s="26"/>
      <c r="G381" s="54"/>
      <c r="N381" s="42"/>
    </row>
    <row r="382" spans="2:14" s="13" customFormat="1" x14ac:dyDescent="0.4">
      <c r="B382" s="25"/>
      <c r="E382" s="26"/>
      <c r="G382" s="54"/>
      <c r="N382" s="42"/>
    </row>
    <row r="383" spans="2:14" s="13" customFormat="1" x14ac:dyDescent="0.4">
      <c r="B383" s="25"/>
      <c r="E383" s="26"/>
      <c r="G383" s="54"/>
      <c r="N383" s="42"/>
    </row>
    <row r="384" spans="2:14" s="13" customFormat="1" x14ac:dyDescent="0.4">
      <c r="B384" s="25"/>
      <c r="E384" s="26"/>
      <c r="G384" s="54"/>
      <c r="N384" s="42"/>
    </row>
    <row r="385" spans="2:14" s="13" customFormat="1" x14ac:dyDescent="0.4">
      <c r="B385" s="25"/>
      <c r="E385" s="26"/>
      <c r="G385" s="54"/>
      <c r="N385" s="42"/>
    </row>
    <row r="386" spans="2:14" s="13" customFormat="1" x14ac:dyDescent="0.4">
      <c r="B386" s="25"/>
      <c r="E386" s="26"/>
      <c r="G386" s="54"/>
      <c r="N386" s="42"/>
    </row>
    <row r="387" spans="2:14" s="13" customFormat="1" x14ac:dyDescent="0.4">
      <c r="B387" s="25"/>
      <c r="E387" s="26"/>
      <c r="G387" s="54"/>
      <c r="N387" s="42"/>
    </row>
    <row r="388" spans="2:14" s="13" customFormat="1" x14ac:dyDescent="0.4">
      <c r="B388" s="25"/>
      <c r="E388" s="26"/>
      <c r="G388" s="54"/>
      <c r="N388" s="42"/>
    </row>
    <row r="389" spans="2:14" s="13" customFormat="1" x14ac:dyDescent="0.4">
      <c r="B389" s="25"/>
      <c r="E389" s="26"/>
      <c r="G389" s="54"/>
      <c r="N389" s="42"/>
    </row>
    <row r="390" spans="2:14" s="13" customFormat="1" x14ac:dyDescent="0.4">
      <c r="B390" s="25"/>
      <c r="E390" s="26"/>
      <c r="G390" s="54"/>
      <c r="N390" s="42"/>
    </row>
    <row r="391" spans="2:14" s="13" customFormat="1" x14ac:dyDescent="0.4">
      <c r="B391" s="25"/>
      <c r="E391" s="26"/>
      <c r="G391" s="54"/>
      <c r="N391" s="42"/>
    </row>
    <row r="392" spans="2:14" s="13" customFormat="1" x14ac:dyDescent="0.4">
      <c r="B392" s="25"/>
      <c r="E392" s="26"/>
      <c r="G392" s="54"/>
      <c r="N392" s="42"/>
    </row>
    <row r="393" spans="2:14" s="13" customFormat="1" x14ac:dyDescent="0.4">
      <c r="B393" s="25"/>
      <c r="E393" s="26"/>
      <c r="G393" s="54"/>
      <c r="N393" s="42"/>
    </row>
    <row r="394" spans="2:14" s="13" customFormat="1" x14ac:dyDescent="0.4">
      <c r="B394" s="25"/>
      <c r="E394" s="26"/>
      <c r="G394" s="54"/>
      <c r="N394" s="42"/>
    </row>
    <row r="395" spans="2:14" s="13" customFormat="1" x14ac:dyDescent="0.4">
      <c r="B395" s="25"/>
      <c r="E395" s="26"/>
      <c r="G395" s="54"/>
      <c r="N395" s="42"/>
    </row>
    <row r="396" spans="2:14" s="13" customFormat="1" x14ac:dyDescent="0.4">
      <c r="B396" s="25"/>
      <c r="E396" s="26"/>
      <c r="G396" s="54"/>
      <c r="N396" s="42"/>
    </row>
    <row r="397" spans="2:14" s="13" customFormat="1" x14ac:dyDescent="0.4">
      <c r="B397" s="25"/>
      <c r="E397" s="26"/>
      <c r="G397" s="54"/>
      <c r="N397" s="42"/>
    </row>
    <row r="398" spans="2:14" s="13" customFormat="1" x14ac:dyDescent="0.4">
      <c r="B398" s="25"/>
      <c r="E398" s="26"/>
      <c r="G398" s="54"/>
      <c r="N398" s="42"/>
    </row>
    <row r="399" spans="2:14" s="13" customFormat="1" x14ac:dyDescent="0.4">
      <c r="B399" s="25"/>
      <c r="E399" s="26"/>
      <c r="G399" s="54"/>
      <c r="N399" s="42"/>
    </row>
    <row r="400" spans="2:14" s="13" customFormat="1" x14ac:dyDescent="0.4">
      <c r="B400" s="25"/>
      <c r="E400" s="26"/>
      <c r="G400" s="54"/>
      <c r="N400" s="42"/>
    </row>
    <row r="401" spans="2:14" s="13" customFormat="1" x14ac:dyDescent="0.4">
      <c r="B401" s="25"/>
      <c r="E401" s="26"/>
      <c r="G401" s="54"/>
      <c r="N401" s="42"/>
    </row>
    <row r="402" spans="2:14" s="13" customFormat="1" x14ac:dyDescent="0.4">
      <c r="B402" s="25"/>
      <c r="E402" s="26"/>
      <c r="G402" s="54"/>
      <c r="N402" s="42"/>
    </row>
    <row r="403" spans="2:14" s="13" customFormat="1" x14ac:dyDescent="0.4">
      <c r="B403" s="25"/>
      <c r="E403" s="26"/>
      <c r="G403" s="54"/>
      <c r="N403" s="42"/>
    </row>
    <row r="404" spans="2:14" s="13" customFormat="1" x14ac:dyDescent="0.4">
      <c r="B404" s="25"/>
      <c r="E404" s="26"/>
      <c r="G404" s="54"/>
      <c r="N404" s="42"/>
    </row>
    <row r="405" spans="2:14" s="13" customFormat="1" x14ac:dyDescent="0.4">
      <c r="B405" s="25"/>
      <c r="E405" s="26"/>
      <c r="G405" s="54"/>
      <c r="N405" s="42"/>
    </row>
    <row r="406" spans="2:14" s="13" customFormat="1" x14ac:dyDescent="0.4">
      <c r="B406" s="25"/>
      <c r="E406" s="26"/>
      <c r="G406" s="54"/>
      <c r="N406" s="42"/>
    </row>
    <row r="407" spans="2:14" s="13" customFormat="1" x14ac:dyDescent="0.4">
      <c r="B407" s="25"/>
      <c r="E407" s="26"/>
      <c r="G407" s="54"/>
      <c r="N407" s="42"/>
    </row>
    <row r="408" spans="2:14" s="13" customFormat="1" x14ac:dyDescent="0.4">
      <c r="B408" s="25"/>
      <c r="E408" s="26"/>
      <c r="G408" s="54"/>
      <c r="N408" s="42"/>
    </row>
    <row r="409" spans="2:14" s="13" customFormat="1" x14ac:dyDescent="0.4">
      <c r="B409" s="25"/>
      <c r="E409" s="26"/>
      <c r="G409" s="54"/>
      <c r="N409" s="42"/>
    </row>
    <row r="410" spans="2:14" s="13" customFormat="1" x14ac:dyDescent="0.4">
      <c r="B410" s="25"/>
      <c r="E410" s="26"/>
      <c r="G410" s="54"/>
      <c r="N410" s="42"/>
    </row>
    <row r="411" spans="2:14" s="13" customFormat="1" x14ac:dyDescent="0.4">
      <c r="B411" s="25"/>
      <c r="E411" s="26"/>
      <c r="G411" s="54"/>
      <c r="N411" s="42"/>
    </row>
    <row r="412" spans="2:14" s="13" customFormat="1" x14ac:dyDescent="0.4">
      <c r="B412" s="25"/>
      <c r="E412" s="26"/>
      <c r="G412" s="54"/>
      <c r="N412" s="42"/>
    </row>
    <row r="413" spans="2:14" s="13" customFormat="1" x14ac:dyDescent="0.4">
      <c r="B413" s="25"/>
      <c r="E413" s="26"/>
      <c r="G413" s="54"/>
      <c r="N413" s="42"/>
    </row>
    <row r="414" spans="2:14" s="13" customFormat="1" x14ac:dyDescent="0.4">
      <c r="B414" s="25"/>
      <c r="E414" s="26"/>
      <c r="G414" s="54"/>
      <c r="N414" s="42"/>
    </row>
    <row r="415" spans="2:14" s="13" customFormat="1" x14ac:dyDescent="0.4">
      <c r="B415" s="25"/>
      <c r="E415" s="26"/>
      <c r="G415" s="54"/>
      <c r="N415" s="42"/>
    </row>
    <row r="416" spans="2:14" s="13" customFormat="1" x14ac:dyDescent="0.4">
      <c r="B416" s="25"/>
      <c r="E416" s="26"/>
      <c r="G416" s="54"/>
      <c r="N416" s="42"/>
    </row>
    <row r="417" spans="2:14" s="13" customFormat="1" x14ac:dyDescent="0.4">
      <c r="B417" s="25"/>
      <c r="E417" s="26"/>
      <c r="G417" s="54"/>
      <c r="N417" s="42"/>
    </row>
    <row r="418" spans="2:14" s="13" customFormat="1" x14ac:dyDescent="0.4">
      <c r="B418" s="25"/>
      <c r="E418" s="26"/>
      <c r="G418" s="54"/>
      <c r="N418" s="42"/>
    </row>
    <row r="419" spans="2:14" s="13" customFormat="1" x14ac:dyDescent="0.4">
      <c r="B419" s="25"/>
      <c r="E419" s="26"/>
      <c r="G419" s="54"/>
      <c r="N419" s="42"/>
    </row>
    <row r="420" spans="2:14" s="13" customFormat="1" x14ac:dyDescent="0.4">
      <c r="B420" s="25"/>
      <c r="E420" s="26"/>
      <c r="G420" s="54"/>
      <c r="N420" s="42"/>
    </row>
    <row r="421" spans="2:14" s="13" customFormat="1" x14ac:dyDescent="0.4">
      <c r="B421" s="25"/>
      <c r="E421" s="26"/>
      <c r="G421" s="54"/>
      <c r="N421" s="42"/>
    </row>
    <row r="422" spans="2:14" s="13" customFormat="1" x14ac:dyDescent="0.4">
      <c r="B422" s="25"/>
      <c r="E422" s="26"/>
      <c r="G422" s="54"/>
      <c r="N422" s="42"/>
    </row>
    <row r="423" spans="2:14" s="13" customFormat="1" x14ac:dyDescent="0.4">
      <c r="B423" s="25"/>
      <c r="E423" s="26"/>
      <c r="G423" s="54"/>
      <c r="N423" s="42"/>
    </row>
    <row r="424" spans="2:14" s="13" customFormat="1" x14ac:dyDescent="0.4">
      <c r="B424" s="25"/>
      <c r="E424" s="26"/>
      <c r="G424" s="54"/>
      <c r="N424" s="42"/>
    </row>
    <row r="425" spans="2:14" s="13" customFormat="1" x14ac:dyDescent="0.4">
      <c r="B425" s="25"/>
      <c r="E425" s="26"/>
      <c r="G425" s="54"/>
      <c r="N425" s="42"/>
    </row>
    <row r="426" spans="2:14" s="13" customFormat="1" x14ac:dyDescent="0.4">
      <c r="B426" s="25"/>
      <c r="E426" s="26"/>
      <c r="G426" s="54"/>
      <c r="N426" s="42"/>
    </row>
    <row r="427" spans="2:14" s="13" customFormat="1" x14ac:dyDescent="0.4">
      <c r="B427" s="25"/>
      <c r="E427" s="26"/>
      <c r="G427" s="54"/>
      <c r="N427" s="42"/>
    </row>
    <row r="428" spans="2:14" s="13" customFormat="1" x14ac:dyDescent="0.4">
      <c r="B428" s="25"/>
      <c r="E428" s="26"/>
      <c r="G428" s="54"/>
      <c r="N428" s="42"/>
    </row>
    <row r="429" spans="2:14" s="13" customFormat="1" x14ac:dyDescent="0.4">
      <c r="B429" s="25"/>
      <c r="E429" s="26"/>
      <c r="G429" s="54"/>
      <c r="N429" s="42"/>
    </row>
    <row r="430" spans="2:14" s="13" customFormat="1" x14ac:dyDescent="0.4">
      <c r="B430" s="25"/>
      <c r="E430" s="26"/>
      <c r="G430" s="54"/>
      <c r="N430" s="42"/>
    </row>
    <row r="431" spans="2:14" s="13" customFormat="1" x14ac:dyDescent="0.4">
      <c r="B431" s="25"/>
      <c r="E431" s="26"/>
      <c r="G431" s="54"/>
      <c r="N431" s="42"/>
    </row>
    <row r="432" spans="2:14" s="13" customFormat="1" x14ac:dyDescent="0.4">
      <c r="B432" s="25"/>
      <c r="E432" s="26"/>
      <c r="G432" s="54"/>
      <c r="N432" s="42"/>
    </row>
    <row r="433" spans="2:14" s="13" customFormat="1" x14ac:dyDescent="0.4">
      <c r="B433" s="25"/>
      <c r="E433" s="26"/>
      <c r="G433" s="54"/>
      <c r="N433" s="42"/>
    </row>
    <row r="434" spans="2:14" s="13" customFormat="1" x14ac:dyDescent="0.4">
      <c r="B434" s="25"/>
      <c r="E434" s="26"/>
      <c r="G434" s="54"/>
      <c r="N434" s="42"/>
    </row>
    <row r="435" spans="2:14" s="13" customFormat="1" x14ac:dyDescent="0.4">
      <c r="B435" s="25"/>
      <c r="E435" s="26"/>
      <c r="G435" s="54"/>
      <c r="N435" s="42"/>
    </row>
    <row r="436" spans="2:14" s="13" customFormat="1" x14ac:dyDescent="0.4">
      <c r="B436" s="25"/>
      <c r="E436" s="26"/>
      <c r="G436" s="54"/>
      <c r="N436" s="42"/>
    </row>
    <row r="437" spans="2:14" s="13" customFormat="1" x14ac:dyDescent="0.4">
      <c r="B437" s="25"/>
      <c r="E437" s="26"/>
      <c r="G437" s="54"/>
      <c r="N437" s="42"/>
    </row>
    <row r="438" spans="2:14" s="13" customFormat="1" x14ac:dyDescent="0.4">
      <c r="B438" s="25"/>
      <c r="E438" s="26"/>
      <c r="G438" s="54"/>
      <c r="N438" s="42"/>
    </row>
    <row r="439" spans="2:14" s="13" customFormat="1" x14ac:dyDescent="0.4">
      <c r="B439" s="25"/>
      <c r="E439" s="26"/>
      <c r="G439" s="54"/>
      <c r="N439" s="42"/>
    </row>
    <row r="440" spans="2:14" s="13" customFormat="1" x14ac:dyDescent="0.4">
      <c r="B440" s="25"/>
      <c r="E440" s="26"/>
      <c r="G440" s="54"/>
      <c r="N440" s="42"/>
    </row>
    <row r="441" spans="2:14" s="13" customFormat="1" x14ac:dyDescent="0.4">
      <c r="B441" s="25"/>
      <c r="E441" s="26"/>
      <c r="G441" s="54"/>
      <c r="N441" s="42"/>
    </row>
    <row r="442" spans="2:14" s="13" customFormat="1" x14ac:dyDescent="0.4">
      <c r="B442" s="25"/>
      <c r="E442" s="26"/>
      <c r="G442" s="54"/>
      <c r="N442" s="42"/>
    </row>
    <row r="443" spans="2:14" s="13" customFormat="1" x14ac:dyDescent="0.4">
      <c r="B443" s="25"/>
      <c r="E443" s="26"/>
      <c r="G443" s="54"/>
      <c r="N443" s="42"/>
    </row>
    <row r="444" spans="2:14" s="13" customFormat="1" x14ac:dyDescent="0.4">
      <c r="B444" s="25"/>
      <c r="E444" s="26"/>
      <c r="G444" s="54"/>
      <c r="N444" s="42"/>
    </row>
    <row r="445" spans="2:14" s="13" customFormat="1" x14ac:dyDescent="0.4">
      <c r="B445" s="25"/>
      <c r="E445" s="26"/>
      <c r="G445" s="54"/>
      <c r="N445" s="42"/>
    </row>
    <row r="446" spans="2:14" s="13" customFormat="1" x14ac:dyDescent="0.4">
      <c r="B446" s="25"/>
      <c r="E446" s="26"/>
      <c r="G446" s="54"/>
      <c r="N446" s="42"/>
    </row>
    <row r="447" spans="2:14" s="13" customFormat="1" x14ac:dyDescent="0.4">
      <c r="B447" s="25"/>
      <c r="E447" s="26"/>
      <c r="G447" s="54"/>
      <c r="N447" s="42"/>
    </row>
    <row r="448" spans="2:14" s="13" customFormat="1" x14ac:dyDescent="0.4">
      <c r="B448" s="25"/>
      <c r="E448" s="26"/>
      <c r="G448" s="54"/>
      <c r="N448" s="42"/>
    </row>
    <row r="449" spans="2:14" s="13" customFormat="1" x14ac:dyDescent="0.4">
      <c r="B449" s="25"/>
      <c r="E449" s="26"/>
      <c r="G449" s="54"/>
      <c r="N449" s="42"/>
    </row>
    <row r="450" spans="2:14" s="13" customFormat="1" x14ac:dyDescent="0.4">
      <c r="B450" s="25"/>
      <c r="E450" s="26"/>
      <c r="G450" s="54"/>
      <c r="N450" s="42"/>
    </row>
    <row r="451" spans="2:14" s="13" customFormat="1" x14ac:dyDescent="0.4">
      <c r="B451" s="25"/>
      <c r="E451" s="26"/>
      <c r="G451" s="54"/>
      <c r="N451" s="42"/>
    </row>
    <row r="452" spans="2:14" s="13" customFormat="1" x14ac:dyDescent="0.4">
      <c r="B452" s="25"/>
      <c r="E452" s="26"/>
      <c r="G452" s="54"/>
      <c r="N452" s="42"/>
    </row>
    <row r="453" spans="2:14" s="13" customFormat="1" x14ac:dyDescent="0.4">
      <c r="B453" s="25"/>
      <c r="E453" s="26"/>
      <c r="G453" s="54"/>
      <c r="N453" s="42"/>
    </row>
    <row r="454" spans="2:14" s="13" customFormat="1" x14ac:dyDescent="0.4">
      <c r="B454" s="25"/>
      <c r="E454" s="26"/>
      <c r="G454" s="54"/>
      <c r="N454" s="42"/>
    </row>
    <row r="455" spans="2:14" s="13" customFormat="1" x14ac:dyDescent="0.4">
      <c r="B455" s="25"/>
      <c r="E455" s="26"/>
      <c r="G455" s="54"/>
      <c r="N455" s="42"/>
    </row>
    <row r="456" spans="2:14" s="13" customFormat="1" x14ac:dyDescent="0.4">
      <c r="B456" s="25"/>
      <c r="E456" s="26"/>
      <c r="G456" s="54"/>
      <c r="N456" s="42"/>
    </row>
    <row r="457" spans="2:14" s="13" customFormat="1" x14ac:dyDescent="0.4">
      <c r="B457" s="25"/>
      <c r="E457" s="26"/>
      <c r="G457" s="54"/>
      <c r="N457" s="42"/>
    </row>
    <row r="458" spans="2:14" s="13" customFormat="1" x14ac:dyDescent="0.4">
      <c r="B458" s="25"/>
      <c r="E458" s="26"/>
      <c r="G458" s="54"/>
      <c r="N458" s="42"/>
    </row>
    <row r="459" spans="2:14" s="13" customFormat="1" x14ac:dyDescent="0.4">
      <c r="B459" s="25"/>
      <c r="E459" s="26"/>
      <c r="G459" s="54"/>
      <c r="N459" s="42"/>
    </row>
    <row r="460" spans="2:14" s="13" customFormat="1" x14ac:dyDescent="0.4">
      <c r="B460" s="25"/>
      <c r="E460" s="26"/>
      <c r="G460" s="54"/>
      <c r="N460" s="42"/>
    </row>
    <row r="461" spans="2:14" s="13" customFormat="1" x14ac:dyDescent="0.4">
      <c r="B461" s="25"/>
      <c r="E461" s="26"/>
      <c r="G461" s="54"/>
      <c r="N461" s="42"/>
    </row>
    <row r="462" spans="2:14" s="13" customFormat="1" x14ac:dyDescent="0.4">
      <c r="B462" s="25"/>
      <c r="E462" s="26"/>
      <c r="G462" s="54"/>
      <c r="N462" s="42"/>
    </row>
    <row r="463" spans="2:14" s="13" customFormat="1" x14ac:dyDescent="0.4">
      <c r="B463" s="25"/>
      <c r="E463" s="26"/>
      <c r="G463" s="54"/>
      <c r="N463" s="42"/>
    </row>
    <row r="464" spans="2:14" s="13" customFormat="1" x14ac:dyDescent="0.4">
      <c r="B464" s="25"/>
      <c r="E464" s="26"/>
      <c r="G464" s="54"/>
      <c r="N464" s="42"/>
    </row>
    <row r="465" spans="2:14" s="13" customFormat="1" x14ac:dyDescent="0.4">
      <c r="B465" s="25"/>
      <c r="E465" s="26"/>
      <c r="G465" s="54"/>
      <c r="N465" s="42"/>
    </row>
    <row r="466" spans="2:14" s="13" customFormat="1" x14ac:dyDescent="0.4">
      <c r="B466" s="25"/>
      <c r="E466" s="26"/>
      <c r="G466" s="54"/>
      <c r="N466" s="42"/>
    </row>
    <row r="467" spans="2:14" s="13" customFormat="1" x14ac:dyDescent="0.4">
      <c r="B467" s="25"/>
      <c r="E467" s="26"/>
      <c r="G467" s="54"/>
      <c r="N467" s="42"/>
    </row>
    <row r="468" spans="2:14" s="13" customFormat="1" x14ac:dyDescent="0.4">
      <c r="B468" s="25"/>
      <c r="E468" s="26"/>
      <c r="G468" s="54"/>
      <c r="N468" s="42"/>
    </row>
    <row r="469" spans="2:14" s="13" customFormat="1" x14ac:dyDescent="0.4">
      <c r="B469" s="25"/>
      <c r="E469" s="26"/>
      <c r="G469" s="54"/>
      <c r="N469" s="42"/>
    </row>
    <row r="470" spans="2:14" s="13" customFormat="1" x14ac:dyDescent="0.4">
      <c r="B470" s="25"/>
      <c r="E470" s="26"/>
      <c r="G470" s="54"/>
      <c r="N470" s="42"/>
    </row>
    <row r="471" spans="2:14" s="13" customFormat="1" x14ac:dyDescent="0.4">
      <c r="B471" s="25"/>
      <c r="E471" s="26"/>
      <c r="G471" s="54"/>
      <c r="N471" s="42"/>
    </row>
    <row r="472" spans="2:14" s="13" customFormat="1" x14ac:dyDescent="0.4">
      <c r="B472" s="25"/>
      <c r="E472" s="26"/>
      <c r="G472" s="54"/>
      <c r="N472" s="42"/>
    </row>
    <row r="473" spans="2:14" s="13" customFormat="1" x14ac:dyDescent="0.4">
      <c r="B473" s="25"/>
      <c r="E473" s="26"/>
      <c r="G473" s="54"/>
      <c r="N473" s="42"/>
    </row>
    <row r="474" spans="2:14" s="13" customFormat="1" x14ac:dyDescent="0.4">
      <c r="B474" s="25"/>
      <c r="E474" s="26"/>
      <c r="G474" s="54"/>
      <c r="N474" s="42"/>
    </row>
    <row r="475" spans="2:14" s="13" customFormat="1" x14ac:dyDescent="0.4">
      <c r="B475" s="25"/>
      <c r="E475" s="26"/>
      <c r="G475" s="54"/>
      <c r="N475" s="42"/>
    </row>
    <row r="476" spans="2:14" s="13" customFormat="1" x14ac:dyDescent="0.4">
      <c r="B476" s="25"/>
      <c r="E476" s="26"/>
      <c r="G476" s="54"/>
      <c r="N476" s="42"/>
    </row>
    <row r="477" spans="2:14" s="13" customFormat="1" x14ac:dyDescent="0.4">
      <c r="B477" s="25"/>
      <c r="E477" s="26"/>
      <c r="G477" s="54"/>
      <c r="N477" s="42"/>
    </row>
    <row r="478" spans="2:14" s="13" customFormat="1" x14ac:dyDescent="0.4">
      <c r="B478" s="25"/>
      <c r="E478" s="26"/>
      <c r="G478" s="54"/>
      <c r="N478" s="42"/>
    </row>
    <row r="479" spans="2:14" s="13" customFormat="1" x14ac:dyDescent="0.4">
      <c r="B479" s="25"/>
      <c r="E479" s="26"/>
      <c r="G479" s="54"/>
      <c r="N479" s="42"/>
    </row>
    <row r="480" spans="2:14" s="13" customFormat="1" x14ac:dyDescent="0.4">
      <c r="B480" s="25"/>
      <c r="E480" s="26"/>
      <c r="G480" s="54"/>
      <c r="N480" s="42"/>
    </row>
    <row r="481" spans="2:14" s="13" customFormat="1" x14ac:dyDescent="0.4">
      <c r="B481" s="25"/>
      <c r="E481" s="26"/>
      <c r="G481" s="54"/>
      <c r="N481" s="42"/>
    </row>
    <row r="482" spans="2:14" s="13" customFormat="1" x14ac:dyDescent="0.4">
      <c r="B482" s="25"/>
      <c r="E482" s="26"/>
      <c r="G482" s="54"/>
      <c r="N482" s="42"/>
    </row>
    <row r="483" spans="2:14" s="13" customFormat="1" x14ac:dyDescent="0.4">
      <c r="B483" s="25"/>
      <c r="E483" s="26"/>
      <c r="G483" s="54"/>
      <c r="N483" s="42"/>
    </row>
    <row r="484" spans="2:14" s="13" customFormat="1" x14ac:dyDescent="0.4">
      <c r="B484" s="25"/>
      <c r="E484" s="26"/>
      <c r="G484" s="54"/>
      <c r="N484" s="42"/>
    </row>
    <row r="485" spans="2:14" s="13" customFormat="1" x14ac:dyDescent="0.4">
      <c r="B485" s="25"/>
      <c r="E485" s="26"/>
      <c r="G485" s="54"/>
      <c r="N485" s="42"/>
    </row>
    <row r="486" spans="2:14" s="13" customFormat="1" x14ac:dyDescent="0.4">
      <c r="B486" s="25"/>
      <c r="E486" s="26"/>
      <c r="G486" s="54"/>
      <c r="N486" s="42"/>
    </row>
    <row r="487" spans="2:14" s="13" customFormat="1" x14ac:dyDescent="0.4">
      <c r="B487" s="25"/>
      <c r="E487" s="26"/>
      <c r="G487" s="54"/>
      <c r="N487" s="42"/>
    </row>
    <row r="488" spans="2:14" s="13" customFormat="1" x14ac:dyDescent="0.4">
      <c r="B488" s="25"/>
      <c r="E488" s="26"/>
      <c r="G488" s="54"/>
      <c r="N488" s="42"/>
    </row>
    <row r="489" spans="2:14" s="13" customFormat="1" x14ac:dyDescent="0.4">
      <c r="B489" s="25"/>
      <c r="E489" s="26"/>
      <c r="G489" s="54"/>
      <c r="N489" s="42"/>
    </row>
    <row r="490" spans="2:14" s="13" customFormat="1" x14ac:dyDescent="0.4">
      <c r="B490" s="25"/>
      <c r="E490" s="26"/>
      <c r="G490" s="54"/>
      <c r="N490" s="42"/>
    </row>
    <row r="491" spans="2:14" s="13" customFormat="1" x14ac:dyDescent="0.4">
      <c r="B491" s="25"/>
      <c r="E491" s="26"/>
      <c r="G491" s="54"/>
      <c r="N491" s="42"/>
    </row>
    <row r="492" spans="2:14" s="13" customFormat="1" x14ac:dyDescent="0.4">
      <c r="B492" s="25"/>
      <c r="E492" s="26"/>
      <c r="G492" s="54"/>
      <c r="N492" s="42"/>
    </row>
    <row r="493" spans="2:14" s="13" customFormat="1" x14ac:dyDescent="0.4">
      <c r="B493" s="25"/>
      <c r="E493" s="26"/>
      <c r="G493" s="54"/>
      <c r="N493" s="42"/>
    </row>
    <row r="494" spans="2:14" s="13" customFormat="1" x14ac:dyDescent="0.4">
      <c r="B494" s="25"/>
      <c r="E494" s="26"/>
      <c r="G494" s="54"/>
      <c r="N494" s="42"/>
    </row>
    <row r="495" spans="2:14" s="13" customFormat="1" x14ac:dyDescent="0.4">
      <c r="B495" s="25"/>
      <c r="E495" s="26"/>
      <c r="G495" s="54"/>
      <c r="N495" s="42"/>
    </row>
    <row r="496" spans="2:14" s="13" customFormat="1" x14ac:dyDescent="0.4">
      <c r="B496" s="25"/>
      <c r="E496" s="26"/>
      <c r="G496" s="54"/>
      <c r="N496" s="42"/>
    </row>
    <row r="497" spans="2:14" s="13" customFormat="1" x14ac:dyDescent="0.4">
      <c r="B497" s="25"/>
      <c r="E497" s="26"/>
      <c r="G497" s="54"/>
      <c r="N497" s="42"/>
    </row>
    <row r="498" spans="2:14" s="13" customFormat="1" x14ac:dyDescent="0.4">
      <c r="B498" s="25"/>
      <c r="E498" s="26"/>
      <c r="G498" s="54"/>
      <c r="N498" s="42"/>
    </row>
    <row r="499" spans="2:14" s="13" customFormat="1" x14ac:dyDescent="0.4">
      <c r="B499" s="25"/>
      <c r="E499" s="26"/>
      <c r="G499" s="54"/>
      <c r="N499" s="42"/>
    </row>
    <row r="500" spans="2:14" s="13" customFormat="1" x14ac:dyDescent="0.4">
      <c r="B500" s="25"/>
      <c r="E500" s="26"/>
      <c r="G500" s="54"/>
      <c r="N500" s="42"/>
    </row>
    <row r="501" spans="2:14" s="13" customFormat="1" x14ac:dyDescent="0.4">
      <c r="B501" s="25"/>
      <c r="E501" s="26"/>
      <c r="G501" s="54"/>
      <c r="N501" s="42"/>
    </row>
    <row r="502" spans="2:14" s="13" customFormat="1" x14ac:dyDescent="0.4">
      <c r="B502" s="25"/>
      <c r="E502" s="26"/>
      <c r="G502" s="54"/>
      <c r="N502" s="42"/>
    </row>
    <row r="503" spans="2:14" s="13" customFormat="1" x14ac:dyDescent="0.4">
      <c r="B503" s="25"/>
      <c r="E503" s="26"/>
      <c r="G503" s="54"/>
      <c r="N503" s="42"/>
    </row>
    <row r="504" spans="2:14" s="13" customFormat="1" x14ac:dyDescent="0.4">
      <c r="B504" s="25"/>
      <c r="E504" s="26"/>
      <c r="G504" s="54"/>
      <c r="N504" s="42"/>
    </row>
    <row r="505" spans="2:14" s="13" customFormat="1" x14ac:dyDescent="0.4">
      <c r="B505" s="25"/>
      <c r="E505" s="26"/>
      <c r="G505" s="54"/>
      <c r="N505" s="42"/>
    </row>
    <row r="506" spans="2:14" s="13" customFormat="1" x14ac:dyDescent="0.4">
      <c r="B506" s="25"/>
      <c r="E506" s="26"/>
      <c r="G506" s="54"/>
      <c r="N506" s="42"/>
    </row>
    <row r="507" spans="2:14" s="13" customFormat="1" x14ac:dyDescent="0.4">
      <c r="B507" s="25"/>
      <c r="E507" s="26"/>
      <c r="G507" s="54"/>
      <c r="N507" s="42"/>
    </row>
    <row r="508" spans="2:14" s="13" customFormat="1" x14ac:dyDescent="0.4">
      <c r="B508" s="25"/>
      <c r="E508" s="26"/>
      <c r="G508" s="54"/>
      <c r="N508" s="42"/>
    </row>
    <row r="509" spans="2:14" s="13" customFormat="1" x14ac:dyDescent="0.4">
      <c r="B509" s="25"/>
      <c r="E509" s="26"/>
      <c r="G509" s="54"/>
      <c r="N509" s="42"/>
    </row>
    <row r="510" spans="2:14" s="13" customFormat="1" x14ac:dyDescent="0.4">
      <c r="B510" s="25"/>
      <c r="E510" s="26"/>
      <c r="G510" s="54"/>
      <c r="N510" s="42"/>
    </row>
    <row r="511" spans="2:14" s="13" customFormat="1" x14ac:dyDescent="0.4">
      <c r="B511" s="25"/>
      <c r="E511" s="26"/>
      <c r="G511" s="54"/>
      <c r="N511" s="42"/>
    </row>
    <row r="512" spans="2:14" s="13" customFormat="1" x14ac:dyDescent="0.4">
      <c r="B512" s="25"/>
      <c r="E512" s="26"/>
      <c r="G512" s="54"/>
      <c r="N512" s="42"/>
    </row>
    <row r="513" spans="2:14" s="13" customFormat="1" x14ac:dyDescent="0.4">
      <c r="B513" s="25"/>
      <c r="E513" s="26"/>
      <c r="G513" s="54"/>
      <c r="N513" s="42"/>
    </row>
    <row r="514" spans="2:14" s="13" customFormat="1" x14ac:dyDescent="0.4">
      <c r="B514" s="25"/>
      <c r="E514" s="26"/>
      <c r="G514" s="54"/>
      <c r="N514" s="42"/>
    </row>
    <row r="515" spans="2:14" s="13" customFormat="1" x14ac:dyDescent="0.4">
      <c r="B515" s="25"/>
      <c r="E515" s="26"/>
      <c r="G515" s="54"/>
      <c r="N515" s="42"/>
    </row>
    <row r="516" spans="2:14" s="13" customFormat="1" x14ac:dyDescent="0.4">
      <c r="B516" s="25"/>
      <c r="E516" s="26"/>
      <c r="G516" s="54"/>
      <c r="N516" s="42"/>
    </row>
    <row r="517" spans="2:14" s="13" customFormat="1" x14ac:dyDescent="0.4">
      <c r="B517" s="25"/>
      <c r="E517" s="26"/>
      <c r="G517" s="54"/>
      <c r="N517" s="42"/>
    </row>
    <row r="518" spans="2:14" s="13" customFormat="1" x14ac:dyDescent="0.4">
      <c r="B518" s="25"/>
      <c r="E518" s="26"/>
      <c r="G518" s="54"/>
      <c r="N518" s="42"/>
    </row>
    <row r="519" spans="2:14" s="13" customFormat="1" x14ac:dyDescent="0.4">
      <c r="B519" s="25"/>
      <c r="E519" s="26"/>
      <c r="G519" s="54"/>
      <c r="N519" s="42"/>
    </row>
    <row r="520" spans="2:14" s="13" customFormat="1" x14ac:dyDescent="0.4">
      <c r="B520" s="25"/>
      <c r="E520" s="26"/>
      <c r="G520" s="54"/>
      <c r="N520" s="42"/>
    </row>
    <row r="521" spans="2:14" s="13" customFormat="1" x14ac:dyDescent="0.4">
      <c r="B521" s="25"/>
      <c r="E521" s="26"/>
      <c r="G521" s="54"/>
      <c r="N521" s="42"/>
    </row>
    <row r="522" spans="2:14" s="13" customFormat="1" x14ac:dyDescent="0.4">
      <c r="B522" s="25"/>
      <c r="E522" s="26"/>
      <c r="G522" s="54"/>
      <c r="N522" s="42"/>
    </row>
    <row r="523" spans="2:14" s="13" customFormat="1" x14ac:dyDescent="0.4">
      <c r="B523" s="25"/>
      <c r="E523" s="26"/>
      <c r="G523" s="54"/>
      <c r="N523" s="42"/>
    </row>
    <row r="524" spans="2:14" s="13" customFormat="1" x14ac:dyDescent="0.4">
      <c r="B524" s="25"/>
      <c r="E524" s="26"/>
      <c r="G524" s="54"/>
      <c r="N524" s="42"/>
    </row>
    <row r="525" spans="2:14" s="13" customFormat="1" x14ac:dyDescent="0.4">
      <c r="B525" s="25"/>
      <c r="E525" s="26"/>
      <c r="G525" s="54"/>
      <c r="N525" s="42"/>
    </row>
    <row r="526" spans="2:14" s="13" customFormat="1" x14ac:dyDescent="0.4">
      <c r="B526" s="25"/>
      <c r="E526" s="26"/>
      <c r="G526" s="54"/>
      <c r="N526" s="42"/>
    </row>
    <row r="527" spans="2:14" s="13" customFormat="1" x14ac:dyDescent="0.4">
      <c r="B527" s="25"/>
      <c r="E527" s="26"/>
      <c r="G527" s="54"/>
      <c r="N527" s="42"/>
    </row>
    <row r="528" spans="2:14" s="13" customFormat="1" x14ac:dyDescent="0.4">
      <c r="B528" s="25"/>
      <c r="E528" s="26"/>
      <c r="G528" s="54"/>
      <c r="N528" s="42"/>
    </row>
    <row r="529" spans="2:14" s="13" customFormat="1" x14ac:dyDescent="0.4">
      <c r="B529" s="25"/>
      <c r="E529" s="26"/>
      <c r="G529" s="54"/>
      <c r="N529" s="42"/>
    </row>
    <row r="530" spans="2:14" s="13" customFormat="1" x14ac:dyDescent="0.4">
      <c r="B530" s="25"/>
      <c r="E530" s="26"/>
      <c r="G530" s="54"/>
      <c r="N530" s="42"/>
    </row>
    <row r="531" spans="2:14" s="13" customFormat="1" x14ac:dyDescent="0.4">
      <c r="B531" s="25"/>
      <c r="E531" s="26"/>
      <c r="G531" s="54"/>
      <c r="N531" s="42"/>
    </row>
    <row r="532" spans="2:14" s="13" customFormat="1" x14ac:dyDescent="0.4">
      <c r="B532" s="25"/>
      <c r="E532" s="26"/>
      <c r="G532" s="54"/>
      <c r="N532" s="42"/>
    </row>
    <row r="533" spans="2:14" s="13" customFormat="1" x14ac:dyDescent="0.4">
      <c r="B533" s="25"/>
      <c r="E533" s="26"/>
      <c r="G533" s="54"/>
      <c r="N533" s="42"/>
    </row>
    <row r="534" spans="2:14" s="13" customFormat="1" x14ac:dyDescent="0.4">
      <c r="B534" s="25"/>
      <c r="E534" s="26"/>
      <c r="G534" s="54"/>
      <c r="N534" s="42"/>
    </row>
    <row r="535" spans="2:14" s="13" customFormat="1" x14ac:dyDescent="0.4">
      <c r="B535" s="25"/>
      <c r="E535" s="26"/>
      <c r="G535" s="54"/>
      <c r="N535" s="42"/>
    </row>
    <row r="536" spans="2:14" s="13" customFormat="1" x14ac:dyDescent="0.4">
      <c r="B536" s="25"/>
      <c r="E536" s="26"/>
      <c r="G536" s="54"/>
      <c r="N536" s="42"/>
    </row>
    <row r="537" spans="2:14" s="13" customFormat="1" x14ac:dyDescent="0.4">
      <c r="B537" s="25"/>
      <c r="E537" s="26"/>
      <c r="G537" s="54"/>
      <c r="N537" s="42"/>
    </row>
    <row r="538" spans="2:14" s="13" customFormat="1" x14ac:dyDescent="0.4">
      <c r="B538" s="25"/>
      <c r="E538" s="26"/>
      <c r="G538" s="54"/>
      <c r="N538" s="42"/>
    </row>
    <row r="539" spans="2:14" s="13" customFormat="1" x14ac:dyDescent="0.4">
      <c r="B539" s="25"/>
      <c r="E539" s="26"/>
      <c r="G539" s="54"/>
      <c r="N539" s="42"/>
    </row>
    <row r="540" spans="2:14" s="13" customFormat="1" x14ac:dyDescent="0.4">
      <c r="B540" s="25"/>
      <c r="E540" s="26"/>
      <c r="G540" s="54"/>
      <c r="N540" s="42"/>
    </row>
    <row r="541" spans="2:14" s="13" customFormat="1" x14ac:dyDescent="0.4">
      <c r="B541" s="25"/>
      <c r="E541" s="26"/>
      <c r="G541" s="54"/>
      <c r="N541" s="42"/>
    </row>
    <row r="542" spans="2:14" s="13" customFormat="1" x14ac:dyDescent="0.4">
      <c r="B542" s="25"/>
      <c r="E542" s="26"/>
      <c r="G542" s="54"/>
      <c r="N542" s="42"/>
    </row>
    <row r="543" spans="2:14" s="13" customFormat="1" x14ac:dyDescent="0.4">
      <c r="B543" s="25"/>
      <c r="E543" s="26"/>
      <c r="G543" s="54"/>
      <c r="N543" s="42"/>
    </row>
    <row r="544" spans="2:14" s="13" customFormat="1" x14ac:dyDescent="0.4">
      <c r="B544" s="25"/>
      <c r="E544" s="26"/>
      <c r="G544" s="54"/>
      <c r="N544" s="42"/>
    </row>
    <row r="545" spans="2:14" s="13" customFormat="1" x14ac:dyDescent="0.4">
      <c r="B545" s="25"/>
      <c r="E545" s="26"/>
      <c r="G545" s="54"/>
      <c r="N545" s="42"/>
    </row>
    <row r="546" spans="2:14" s="13" customFormat="1" x14ac:dyDescent="0.4">
      <c r="B546" s="25"/>
      <c r="E546" s="26"/>
      <c r="G546" s="54"/>
      <c r="N546" s="42"/>
    </row>
    <row r="547" spans="2:14" s="13" customFormat="1" x14ac:dyDescent="0.4">
      <c r="B547" s="25"/>
      <c r="E547" s="26"/>
      <c r="G547" s="54"/>
      <c r="N547" s="42"/>
    </row>
    <row r="548" spans="2:14" s="13" customFormat="1" x14ac:dyDescent="0.4">
      <c r="B548" s="25"/>
      <c r="E548" s="26"/>
      <c r="G548" s="54"/>
      <c r="N548" s="42"/>
    </row>
    <row r="549" spans="2:14" s="13" customFormat="1" x14ac:dyDescent="0.4">
      <c r="B549" s="25"/>
      <c r="E549" s="26"/>
      <c r="G549" s="54"/>
      <c r="N549" s="42"/>
    </row>
    <row r="550" spans="2:14" s="13" customFormat="1" x14ac:dyDescent="0.4">
      <c r="B550" s="25"/>
      <c r="E550" s="26"/>
      <c r="G550" s="54"/>
      <c r="N550" s="42"/>
    </row>
    <row r="551" spans="2:14" s="13" customFormat="1" x14ac:dyDescent="0.4">
      <c r="B551" s="25"/>
      <c r="E551" s="26"/>
      <c r="G551" s="54"/>
      <c r="N551" s="42"/>
    </row>
    <row r="552" spans="2:14" s="13" customFormat="1" x14ac:dyDescent="0.4">
      <c r="B552" s="25"/>
      <c r="E552" s="26"/>
      <c r="G552" s="54"/>
      <c r="N552" s="42"/>
    </row>
    <row r="553" spans="2:14" s="13" customFormat="1" x14ac:dyDescent="0.4">
      <c r="B553" s="25"/>
      <c r="E553" s="26"/>
      <c r="G553" s="54"/>
      <c r="N553" s="42"/>
    </row>
    <row r="554" spans="2:14" s="13" customFormat="1" x14ac:dyDescent="0.4">
      <c r="B554" s="25"/>
      <c r="E554" s="26"/>
      <c r="G554" s="54"/>
      <c r="N554" s="42"/>
    </row>
    <row r="555" spans="2:14" s="13" customFormat="1" x14ac:dyDescent="0.4">
      <c r="B555" s="25"/>
      <c r="E555" s="26"/>
      <c r="G555" s="54"/>
      <c r="N555" s="42"/>
    </row>
    <row r="556" spans="2:14" s="13" customFormat="1" x14ac:dyDescent="0.4">
      <c r="B556" s="25"/>
      <c r="E556" s="26"/>
      <c r="G556" s="54"/>
      <c r="N556" s="42"/>
    </row>
    <row r="557" spans="2:14" s="13" customFormat="1" x14ac:dyDescent="0.4">
      <c r="B557" s="25"/>
      <c r="E557" s="26"/>
      <c r="G557" s="54"/>
      <c r="N557" s="42"/>
    </row>
    <row r="558" spans="2:14" s="13" customFormat="1" x14ac:dyDescent="0.4">
      <c r="B558" s="25"/>
      <c r="E558" s="26"/>
      <c r="G558" s="54"/>
      <c r="N558" s="42"/>
    </row>
    <row r="559" spans="2:14" s="13" customFormat="1" x14ac:dyDescent="0.4">
      <c r="B559" s="25"/>
      <c r="E559" s="26"/>
      <c r="G559" s="54"/>
      <c r="N559" s="42"/>
    </row>
    <row r="560" spans="2:14" s="13" customFormat="1" x14ac:dyDescent="0.4">
      <c r="B560" s="25"/>
      <c r="E560" s="26"/>
      <c r="G560" s="54"/>
      <c r="N560" s="42"/>
    </row>
    <row r="561" spans="2:14" s="13" customFormat="1" x14ac:dyDescent="0.4">
      <c r="B561" s="25"/>
      <c r="E561" s="26"/>
      <c r="G561" s="54"/>
      <c r="N561" s="42"/>
    </row>
    <row r="562" spans="2:14" s="13" customFormat="1" x14ac:dyDescent="0.4">
      <c r="B562" s="25"/>
      <c r="E562" s="26"/>
      <c r="G562" s="54"/>
      <c r="N562" s="42"/>
    </row>
    <row r="563" spans="2:14" s="13" customFormat="1" x14ac:dyDescent="0.4">
      <c r="B563" s="25"/>
      <c r="E563" s="26"/>
      <c r="G563" s="54"/>
      <c r="N563" s="42"/>
    </row>
    <row r="564" spans="2:14" s="13" customFormat="1" x14ac:dyDescent="0.4">
      <c r="B564" s="25"/>
      <c r="E564" s="26"/>
      <c r="G564" s="54"/>
      <c r="N564" s="42"/>
    </row>
    <row r="565" spans="2:14" s="13" customFormat="1" x14ac:dyDescent="0.4">
      <c r="B565" s="25"/>
      <c r="E565" s="26"/>
      <c r="G565" s="54"/>
      <c r="N565" s="42"/>
    </row>
    <row r="566" spans="2:14" s="13" customFormat="1" x14ac:dyDescent="0.4">
      <c r="B566" s="25"/>
      <c r="E566" s="26"/>
      <c r="G566" s="54"/>
      <c r="N566" s="42"/>
    </row>
    <row r="567" spans="2:14" s="13" customFormat="1" x14ac:dyDescent="0.4">
      <c r="B567" s="25"/>
      <c r="E567" s="26"/>
      <c r="G567" s="54"/>
      <c r="N567" s="42"/>
    </row>
    <row r="568" spans="2:14" s="13" customFormat="1" x14ac:dyDescent="0.4">
      <c r="B568" s="25"/>
      <c r="E568" s="26"/>
      <c r="G568" s="54"/>
      <c r="N568" s="42"/>
    </row>
    <row r="569" spans="2:14" s="13" customFormat="1" x14ac:dyDescent="0.4">
      <c r="B569" s="25"/>
      <c r="E569" s="26"/>
      <c r="G569" s="54"/>
      <c r="N569" s="42"/>
    </row>
    <row r="570" spans="2:14" s="13" customFormat="1" x14ac:dyDescent="0.4">
      <c r="B570" s="25"/>
      <c r="E570" s="26"/>
      <c r="G570" s="54"/>
      <c r="N570" s="42"/>
    </row>
    <row r="571" spans="2:14" s="13" customFormat="1" x14ac:dyDescent="0.4">
      <c r="B571" s="25"/>
      <c r="E571" s="26"/>
      <c r="G571" s="54"/>
      <c r="N571" s="42"/>
    </row>
    <row r="572" spans="2:14" s="13" customFormat="1" x14ac:dyDescent="0.4">
      <c r="B572" s="25"/>
      <c r="E572" s="26"/>
      <c r="G572" s="54"/>
      <c r="N572" s="42"/>
    </row>
    <row r="573" spans="2:14" s="13" customFormat="1" x14ac:dyDescent="0.4">
      <c r="B573" s="25"/>
      <c r="E573" s="26"/>
      <c r="G573" s="54"/>
      <c r="N573" s="42"/>
    </row>
    <row r="574" spans="2:14" s="13" customFormat="1" x14ac:dyDescent="0.4">
      <c r="B574" s="25"/>
      <c r="E574" s="26"/>
      <c r="G574" s="54"/>
      <c r="N574" s="42"/>
    </row>
    <row r="575" spans="2:14" s="13" customFormat="1" x14ac:dyDescent="0.4">
      <c r="B575" s="25"/>
      <c r="E575" s="26"/>
      <c r="G575" s="54"/>
      <c r="N575" s="42"/>
    </row>
    <row r="576" spans="2:14" s="13" customFormat="1" x14ac:dyDescent="0.4">
      <c r="B576" s="25"/>
      <c r="E576" s="26"/>
      <c r="G576" s="54"/>
      <c r="N576" s="42"/>
    </row>
    <row r="577" spans="2:14" s="13" customFormat="1" x14ac:dyDescent="0.4">
      <c r="B577" s="25"/>
      <c r="E577" s="26"/>
      <c r="G577" s="54"/>
      <c r="N577" s="42"/>
    </row>
    <row r="578" spans="2:14" s="13" customFormat="1" x14ac:dyDescent="0.4">
      <c r="B578" s="25"/>
      <c r="E578" s="26"/>
      <c r="G578" s="54"/>
      <c r="N578" s="42"/>
    </row>
    <row r="579" spans="2:14" s="13" customFormat="1" x14ac:dyDescent="0.4">
      <c r="B579" s="25"/>
      <c r="E579" s="26"/>
      <c r="G579" s="54"/>
      <c r="N579" s="42"/>
    </row>
    <row r="580" spans="2:14" s="13" customFormat="1" x14ac:dyDescent="0.4">
      <c r="B580" s="25"/>
      <c r="E580" s="26"/>
      <c r="G580" s="54"/>
      <c r="N580" s="42"/>
    </row>
    <row r="581" spans="2:14" s="13" customFormat="1" x14ac:dyDescent="0.4">
      <c r="B581" s="25"/>
      <c r="E581" s="26"/>
      <c r="G581" s="54"/>
      <c r="N581" s="42"/>
    </row>
    <row r="582" spans="2:14" s="13" customFormat="1" x14ac:dyDescent="0.4">
      <c r="B582" s="25"/>
      <c r="E582" s="26"/>
      <c r="G582" s="54"/>
      <c r="N582" s="42"/>
    </row>
    <row r="583" spans="2:14" s="13" customFormat="1" x14ac:dyDescent="0.4">
      <c r="B583" s="25"/>
      <c r="E583" s="26"/>
      <c r="G583" s="54"/>
      <c r="N583" s="42"/>
    </row>
    <row r="584" spans="2:14" s="13" customFormat="1" x14ac:dyDescent="0.4">
      <c r="B584" s="25"/>
      <c r="E584" s="26"/>
      <c r="G584" s="54"/>
      <c r="N584" s="42"/>
    </row>
    <row r="585" spans="2:14" s="13" customFormat="1" x14ac:dyDescent="0.4">
      <c r="B585" s="25"/>
      <c r="E585" s="26"/>
      <c r="G585" s="54"/>
      <c r="N585" s="42"/>
    </row>
    <row r="586" spans="2:14" s="13" customFormat="1" x14ac:dyDescent="0.4">
      <c r="B586" s="25"/>
      <c r="E586" s="26"/>
      <c r="G586" s="54"/>
      <c r="N586" s="42"/>
    </row>
    <row r="587" spans="2:14" s="13" customFormat="1" x14ac:dyDescent="0.4">
      <c r="B587" s="25"/>
      <c r="E587" s="26"/>
      <c r="G587" s="54"/>
      <c r="N587" s="42"/>
    </row>
    <row r="588" spans="2:14" s="13" customFormat="1" x14ac:dyDescent="0.4">
      <c r="B588" s="25"/>
      <c r="E588" s="26"/>
      <c r="G588" s="54"/>
      <c r="N588" s="42"/>
    </row>
    <row r="589" spans="2:14" s="13" customFormat="1" x14ac:dyDescent="0.4">
      <c r="B589" s="25"/>
      <c r="E589" s="26"/>
      <c r="G589" s="54"/>
      <c r="N589" s="42"/>
    </row>
    <row r="590" spans="2:14" s="13" customFormat="1" x14ac:dyDescent="0.4">
      <c r="B590" s="25"/>
      <c r="E590" s="26"/>
      <c r="G590" s="54"/>
      <c r="N590" s="42"/>
    </row>
    <row r="591" spans="2:14" s="13" customFormat="1" x14ac:dyDescent="0.4">
      <c r="B591" s="25"/>
      <c r="E591" s="26"/>
      <c r="G591" s="54"/>
      <c r="N591" s="42"/>
    </row>
    <row r="592" spans="2:14" s="13" customFormat="1" x14ac:dyDescent="0.4">
      <c r="B592" s="25"/>
      <c r="E592" s="26"/>
      <c r="G592" s="54"/>
      <c r="N592" s="42"/>
    </row>
    <row r="593" spans="2:14" s="13" customFormat="1" x14ac:dyDescent="0.4">
      <c r="B593" s="25"/>
      <c r="E593" s="26"/>
      <c r="G593" s="54"/>
      <c r="N593" s="42"/>
    </row>
    <row r="594" spans="2:14" s="13" customFormat="1" x14ac:dyDescent="0.4">
      <c r="B594" s="25"/>
      <c r="E594" s="26"/>
      <c r="G594" s="54"/>
      <c r="N594" s="42"/>
    </row>
    <row r="595" spans="2:14" s="13" customFormat="1" x14ac:dyDescent="0.4">
      <c r="B595" s="25"/>
      <c r="E595" s="26"/>
      <c r="G595" s="54"/>
      <c r="N595" s="42"/>
    </row>
    <row r="596" spans="2:14" s="13" customFormat="1" x14ac:dyDescent="0.4">
      <c r="B596" s="25"/>
      <c r="E596" s="26"/>
      <c r="G596" s="54"/>
      <c r="N596" s="42"/>
    </row>
    <row r="597" spans="2:14" s="13" customFormat="1" x14ac:dyDescent="0.4">
      <c r="B597" s="25"/>
      <c r="E597" s="26"/>
      <c r="G597" s="54"/>
      <c r="N597" s="42"/>
    </row>
    <row r="598" spans="2:14" s="13" customFormat="1" x14ac:dyDescent="0.4">
      <c r="B598" s="25"/>
      <c r="E598" s="26"/>
      <c r="G598" s="54"/>
      <c r="N598" s="42"/>
    </row>
    <row r="599" spans="2:14" s="13" customFormat="1" x14ac:dyDescent="0.4">
      <c r="B599" s="25"/>
      <c r="E599" s="26"/>
      <c r="G599" s="54"/>
      <c r="N599" s="42"/>
    </row>
    <row r="600" spans="2:14" s="13" customFormat="1" x14ac:dyDescent="0.4">
      <c r="B600" s="25"/>
      <c r="E600" s="26"/>
      <c r="G600" s="54"/>
      <c r="N600" s="42"/>
    </row>
    <row r="601" spans="2:14" s="13" customFormat="1" x14ac:dyDescent="0.4">
      <c r="B601" s="25"/>
      <c r="E601" s="26"/>
      <c r="G601" s="54"/>
      <c r="N601" s="42"/>
    </row>
    <row r="602" spans="2:14" s="13" customFormat="1" x14ac:dyDescent="0.4">
      <c r="B602" s="25"/>
      <c r="E602" s="26"/>
      <c r="G602" s="54"/>
      <c r="N602" s="42"/>
    </row>
    <row r="603" spans="2:14" s="13" customFormat="1" x14ac:dyDescent="0.4">
      <c r="B603" s="25"/>
      <c r="E603" s="26"/>
      <c r="G603" s="54"/>
      <c r="N603" s="42"/>
    </row>
    <row r="604" spans="2:14" s="13" customFormat="1" x14ac:dyDescent="0.4">
      <c r="B604" s="25"/>
      <c r="E604" s="26"/>
      <c r="G604" s="54"/>
      <c r="N604" s="42"/>
    </row>
    <row r="605" spans="2:14" s="13" customFormat="1" x14ac:dyDescent="0.4">
      <c r="B605" s="25"/>
      <c r="E605" s="26"/>
      <c r="G605" s="54"/>
      <c r="N605" s="42"/>
    </row>
    <row r="606" spans="2:14" s="13" customFormat="1" x14ac:dyDescent="0.4">
      <c r="B606" s="25"/>
      <c r="E606" s="26"/>
      <c r="G606" s="54"/>
      <c r="N606" s="42"/>
    </row>
    <row r="607" spans="2:14" s="13" customFormat="1" x14ac:dyDescent="0.4">
      <c r="B607" s="25"/>
      <c r="E607" s="26"/>
      <c r="G607" s="54"/>
      <c r="N607" s="42"/>
    </row>
    <row r="608" spans="2:14" s="13" customFormat="1" x14ac:dyDescent="0.4">
      <c r="B608" s="25"/>
      <c r="E608" s="26"/>
      <c r="G608" s="54"/>
      <c r="N608" s="42"/>
    </row>
    <row r="609" spans="2:14" s="13" customFormat="1" x14ac:dyDescent="0.4">
      <c r="B609" s="25"/>
      <c r="E609" s="26"/>
      <c r="G609" s="54"/>
      <c r="N609" s="42"/>
    </row>
    <row r="610" spans="2:14" s="13" customFormat="1" x14ac:dyDescent="0.4">
      <c r="B610" s="25"/>
      <c r="E610" s="26"/>
      <c r="G610" s="54"/>
      <c r="N610" s="42"/>
    </row>
    <row r="611" spans="2:14" s="13" customFormat="1" x14ac:dyDescent="0.4">
      <c r="B611" s="25"/>
      <c r="E611" s="26"/>
      <c r="G611" s="54"/>
      <c r="N611" s="42"/>
    </row>
    <row r="612" spans="2:14" s="13" customFormat="1" x14ac:dyDescent="0.4">
      <c r="B612" s="25"/>
      <c r="E612" s="26"/>
      <c r="G612" s="54"/>
      <c r="N612" s="42"/>
    </row>
    <row r="613" spans="2:14" s="13" customFormat="1" x14ac:dyDescent="0.4">
      <c r="B613" s="25"/>
      <c r="E613" s="26"/>
      <c r="G613" s="54"/>
      <c r="N613" s="42"/>
    </row>
    <row r="614" spans="2:14" s="13" customFormat="1" x14ac:dyDescent="0.4">
      <c r="B614" s="25"/>
      <c r="E614" s="26"/>
      <c r="G614" s="54"/>
      <c r="N614" s="42"/>
    </row>
    <row r="615" spans="2:14" s="13" customFormat="1" x14ac:dyDescent="0.4">
      <c r="B615" s="25"/>
      <c r="E615" s="26"/>
      <c r="G615" s="54"/>
      <c r="N615" s="42"/>
    </row>
    <row r="616" spans="2:14" s="13" customFormat="1" x14ac:dyDescent="0.4">
      <c r="B616" s="25"/>
      <c r="E616" s="26"/>
      <c r="G616" s="54"/>
      <c r="N616" s="42"/>
    </row>
    <row r="617" spans="2:14" s="13" customFormat="1" x14ac:dyDescent="0.4">
      <c r="B617" s="25"/>
      <c r="E617" s="26"/>
      <c r="G617" s="54"/>
      <c r="N617" s="42"/>
    </row>
    <row r="618" spans="2:14" s="13" customFormat="1" x14ac:dyDescent="0.4">
      <c r="B618" s="25"/>
      <c r="E618" s="26"/>
      <c r="G618" s="54"/>
      <c r="N618" s="42"/>
    </row>
    <row r="619" spans="2:14" s="13" customFormat="1" x14ac:dyDescent="0.4">
      <c r="B619" s="25"/>
      <c r="E619" s="26"/>
      <c r="G619" s="54"/>
      <c r="N619" s="42"/>
    </row>
    <row r="620" spans="2:14" s="13" customFormat="1" x14ac:dyDescent="0.4">
      <c r="B620" s="25"/>
      <c r="E620" s="26"/>
      <c r="G620" s="54"/>
      <c r="N620" s="42"/>
    </row>
    <row r="621" spans="2:14" s="13" customFormat="1" x14ac:dyDescent="0.4">
      <c r="B621" s="25"/>
      <c r="E621" s="26"/>
      <c r="G621" s="54"/>
      <c r="N621" s="42"/>
    </row>
    <row r="622" spans="2:14" s="13" customFormat="1" x14ac:dyDescent="0.4">
      <c r="B622" s="25"/>
      <c r="E622" s="26"/>
      <c r="G622" s="54"/>
      <c r="N622" s="42"/>
    </row>
    <row r="623" spans="2:14" s="13" customFormat="1" x14ac:dyDescent="0.4">
      <c r="B623" s="25"/>
      <c r="E623" s="26"/>
      <c r="G623" s="54"/>
      <c r="N623" s="42"/>
    </row>
    <row r="624" spans="2:14" s="13" customFormat="1" x14ac:dyDescent="0.4">
      <c r="B624" s="25"/>
      <c r="E624" s="26"/>
      <c r="G624" s="54"/>
      <c r="N624" s="42"/>
    </row>
    <row r="625" spans="2:14" s="13" customFormat="1" x14ac:dyDescent="0.4">
      <c r="B625" s="25"/>
      <c r="E625" s="26"/>
      <c r="G625" s="54"/>
      <c r="N625" s="42"/>
    </row>
    <row r="626" spans="2:14" s="13" customFormat="1" x14ac:dyDescent="0.4">
      <c r="B626" s="25"/>
      <c r="E626" s="26"/>
      <c r="G626" s="54"/>
      <c r="N626" s="42"/>
    </row>
    <row r="627" spans="2:14" s="13" customFormat="1" x14ac:dyDescent="0.4">
      <c r="B627" s="25"/>
      <c r="E627" s="26"/>
      <c r="G627" s="54"/>
      <c r="N627" s="42"/>
    </row>
    <row r="628" spans="2:14" s="13" customFormat="1" x14ac:dyDescent="0.4">
      <c r="B628" s="25"/>
      <c r="E628" s="26"/>
      <c r="G628" s="54"/>
      <c r="N628" s="42"/>
    </row>
    <row r="629" spans="2:14" s="13" customFormat="1" x14ac:dyDescent="0.4">
      <c r="B629" s="25"/>
      <c r="E629" s="26"/>
      <c r="G629" s="54"/>
      <c r="N629" s="42"/>
    </row>
    <row r="630" spans="2:14" s="13" customFormat="1" x14ac:dyDescent="0.4">
      <c r="B630" s="25"/>
      <c r="E630" s="26"/>
      <c r="G630" s="54"/>
      <c r="N630" s="42"/>
    </row>
    <row r="631" spans="2:14" s="13" customFormat="1" x14ac:dyDescent="0.4">
      <c r="B631" s="25"/>
      <c r="E631" s="26"/>
      <c r="G631" s="54"/>
      <c r="N631" s="42"/>
    </row>
    <row r="632" spans="2:14" s="13" customFormat="1" x14ac:dyDescent="0.4">
      <c r="B632" s="25"/>
      <c r="E632" s="26"/>
      <c r="G632" s="54"/>
      <c r="N632" s="42"/>
    </row>
    <row r="633" spans="2:14" s="13" customFormat="1" x14ac:dyDescent="0.4">
      <c r="B633" s="25"/>
      <c r="E633" s="26"/>
      <c r="G633" s="54"/>
      <c r="N633" s="42"/>
    </row>
    <row r="634" spans="2:14" s="13" customFormat="1" x14ac:dyDescent="0.4">
      <c r="B634" s="25"/>
      <c r="E634" s="26"/>
      <c r="G634" s="54"/>
      <c r="N634" s="42"/>
    </row>
    <row r="635" spans="2:14" s="13" customFormat="1" x14ac:dyDescent="0.4">
      <c r="B635" s="25"/>
      <c r="E635" s="26"/>
      <c r="G635" s="54"/>
      <c r="N635" s="42"/>
    </row>
    <row r="636" spans="2:14" s="13" customFormat="1" x14ac:dyDescent="0.4">
      <c r="B636" s="25"/>
      <c r="E636" s="26"/>
      <c r="G636" s="54"/>
      <c r="N636" s="42"/>
    </row>
    <row r="637" spans="2:14" s="13" customFormat="1" x14ac:dyDescent="0.4">
      <c r="B637" s="25"/>
      <c r="E637" s="26"/>
      <c r="G637" s="54"/>
      <c r="N637" s="42"/>
    </row>
    <row r="638" spans="2:14" s="13" customFormat="1" x14ac:dyDescent="0.4">
      <c r="B638" s="25"/>
      <c r="E638" s="26"/>
      <c r="G638" s="54"/>
      <c r="N638" s="42"/>
    </row>
    <row r="639" spans="2:14" s="13" customFormat="1" x14ac:dyDescent="0.4">
      <c r="B639" s="25"/>
      <c r="E639" s="26"/>
      <c r="G639" s="54"/>
      <c r="N639" s="42"/>
    </row>
  </sheetData>
  <sheetProtection algorithmName="SHA-512" hashValue="Oh7rrizE/IvVUt0fsRzt4JfanisgrxdggcEilekRTQceSEaSU44PM4CrgIUTz8/BU4doyME+G86Hvsrw2C+VWQ==" saltValue="67uz6KETZcjFKFyyVzhmWw==" spinCount="100000" sheet="1" formatCells="0" formatColumns="0" formatRows="0"/>
  <mergeCells count="10">
    <mergeCell ref="C17:C18"/>
    <mergeCell ref="D17:D18"/>
    <mergeCell ref="C19:C20"/>
    <mergeCell ref="D19:D20"/>
    <mergeCell ref="A7:A21"/>
    <mergeCell ref="B7:B21"/>
    <mergeCell ref="C7:C9"/>
    <mergeCell ref="D7:D9"/>
    <mergeCell ref="C11:C16"/>
    <mergeCell ref="D11:D16"/>
  </mergeCells>
  <dataValidations count="1">
    <dataValidation type="list" allowBlank="1" showInputMessage="1" showErrorMessage="1" errorTitle="ASVS Test Result" error="Invalid selection!" promptTitle="ASVS Test Result" prompt="Please select test result from the list." sqref="G7:G21" xr:uid="{BDC2069A-2934-4F87-B309-EE62A135157F}">
      <formula1>testResult</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Button 2">
              <controlPr defaultSize="0" print="0" autoFill="0" autoPict="0" macro="[0]!Sheet16.Confirm_Reset_Answers_V12">
                <anchor moveWithCells="1" sizeWithCells="1">
                  <from>
                    <xdr:col>0</xdr:col>
                    <xdr:colOff>152400</xdr:colOff>
                    <xdr:row>0</xdr:row>
                    <xdr:rowOff>50800</xdr:rowOff>
                  </from>
                  <to>
                    <xdr:col>1</xdr:col>
                    <xdr:colOff>1555750</xdr:colOff>
                    <xdr:row>2</xdr:row>
                    <xdr:rowOff>69850</xdr:rowOff>
                  </to>
                </anchor>
              </controlPr>
            </control>
          </mc:Choice>
        </mc:AlternateContent>
        <mc:AlternateContent xmlns:mc="http://schemas.openxmlformats.org/markup-compatibility/2006">
          <mc:Choice Requires="x14">
            <control shapeId="28677" r:id="rId5" name="Button 5">
              <controlPr defaultSize="0" print="0" autoFill="0" autoPict="0" macro="[0]!Confirm_Reset_All_Answers">
                <anchor moveWithCells="1" sizeWithCells="1">
                  <from>
                    <xdr:col>0</xdr:col>
                    <xdr:colOff>152400</xdr:colOff>
                    <xdr:row>2</xdr:row>
                    <xdr:rowOff>95250</xdr:rowOff>
                  </from>
                  <to>
                    <xdr:col>1</xdr:col>
                    <xdr:colOff>1555750</xdr:colOff>
                    <xdr:row>4</xdr:row>
                    <xdr:rowOff>107950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D80AC-B621-4BEE-994F-C6DA7B50FC15}">
  <sheetPr codeName="Sheet17">
    <tabColor theme="8" tint="-0.499984740745262"/>
  </sheetPr>
  <dimension ref="A1:CRF639"/>
  <sheetViews>
    <sheetView showGridLines="0" showRowColHeaders="0" workbookViewId="0">
      <pane ySplit="6" topLeftCell="A7" activePane="bottomLeft" state="frozen"/>
      <selection pane="bottomLeft" activeCell="A7" sqref="A7:A21"/>
    </sheetView>
  </sheetViews>
  <sheetFormatPr defaultRowHeight="15" x14ac:dyDescent="0.4"/>
  <cols>
    <col min="1" max="1" width="10.7265625" customWidth="1"/>
    <col min="2" max="2" width="24.1796875" style="20" customWidth="1"/>
    <col min="3" max="3" width="10.54296875" customWidth="1"/>
    <col min="4" max="4" width="31.81640625" customWidth="1"/>
    <col min="5" max="5" width="9.1796875" style="21"/>
    <col min="6" max="6" width="56.1796875" customWidth="1"/>
    <col min="7" max="7" width="19.1796875" style="55" customWidth="1"/>
    <col min="8" max="10" width="3.7265625" bestFit="1" customWidth="1"/>
    <col min="12" max="13" width="13.1796875"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0</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0</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TOTAL_ASVS_V13</f>
        <v>15</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s="13" customFormat="1" ht="39" x14ac:dyDescent="0.35">
      <c r="A7" s="113" t="s">
        <v>50</v>
      </c>
      <c r="B7" s="116" t="s">
        <v>689</v>
      </c>
      <c r="C7" s="113" t="s">
        <v>690</v>
      </c>
      <c r="D7" s="109" t="s">
        <v>701</v>
      </c>
      <c r="E7" s="22" t="s">
        <v>691</v>
      </c>
      <c r="F7" s="4" t="s">
        <v>692</v>
      </c>
      <c r="G7" s="91" t="s">
        <v>32</v>
      </c>
      <c r="H7" s="38" t="s">
        <v>812</v>
      </c>
      <c r="I7" s="39" t="s">
        <v>812</v>
      </c>
      <c r="J7" s="40" t="s">
        <v>812</v>
      </c>
      <c r="K7" s="5">
        <v>116</v>
      </c>
      <c r="L7" s="24"/>
      <c r="M7" s="24"/>
      <c r="N7" s="41"/>
    </row>
    <row r="8" spans="1:2502" s="13" customFormat="1" ht="26" x14ac:dyDescent="0.35">
      <c r="A8" s="114"/>
      <c r="B8" s="117"/>
      <c r="C8" s="114"/>
      <c r="D8" s="110"/>
      <c r="E8" s="22" t="s">
        <v>693</v>
      </c>
      <c r="F8" s="4" t="s">
        <v>694</v>
      </c>
      <c r="G8" s="91" t="s">
        <v>32</v>
      </c>
      <c r="H8" s="38" t="s">
        <v>812</v>
      </c>
      <c r="I8" s="39" t="s">
        <v>812</v>
      </c>
      <c r="J8" s="40" t="s">
        <v>812</v>
      </c>
      <c r="K8" s="5">
        <v>419</v>
      </c>
      <c r="L8" s="24"/>
      <c r="M8" s="24"/>
      <c r="N8" s="41"/>
    </row>
    <row r="9" spans="1:2502" s="13" customFormat="1" ht="26" x14ac:dyDescent="0.35">
      <c r="A9" s="114"/>
      <c r="B9" s="117"/>
      <c r="C9" s="114"/>
      <c r="D9" s="110"/>
      <c r="E9" s="22" t="s">
        <v>695</v>
      </c>
      <c r="F9" s="4" t="s">
        <v>696</v>
      </c>
      <c r="G9" s="91" t="s">
        <v>32</v>
      </c>
      <c r="H9" s="38" t="s">
        <v>812</v>
      </c>
      <c r="I9" s="39" t="s">
        <v>812</v>
      </c>
      <c r="J9" s="40" t="s">
        <v>812</v>
      </c>
      <c r="K9" s="5">
        <v>598</v>
      </c>
      <c r="L9" s="24"/>
      <c r="M9" s="24"/>
      <c r="N9" s="41"/>
    </row>
    <row r="10" spans="1:2502" s="13" customFormat="1" ht="39" x14ac:dyDescent="0.35">
      <c r="A10" s="114"/>
      <c r="B10" s="117"/>
      <c r="C10" s="114"/>
      <c r="D10" s="110"/>
      <c r="E10" s="22" t="s">
        <v>697</v>
      </c>
      <c r="F10" s="4" t="s">
        <v>698</v>
      </c>
      <c r="G10" s="91" t="s">
        <v>32</v>
      </c>
      <c r="H10" s="4"/>
      <c r="I10" s="39" t="s">
        <v>812</v>
      </c>
      <c r="J10" s="40" t="s">
        <v>812</v>
      </c>
      <c r="K10" s="5">
        <v>285</v>
      </c>
      <c r="L10" s="24"/>
      <c r="M10" s="24"/>
      <c r="N10" s="41"/>
    </row>
    <row r="11" spans="1:2502" s="13" customFormat="1" ht="39" x14ac:dyDescent="0.35">
      <c r="A11" s="114"/>
      <c r="B11" s="117"/>
      <c r="C11" s="115"/>
      <c r="D11" s="111"/>
      <c r="E11" s="22" t="s">
        <v>699</v>
      </c>
      <c r="F11" s="4" t="s">
        <v>700</v>
      </c>
      <c r="G11" s="91" t="s">
        <v>32</v>
      </c>
      <c r="H11" s="4"/>
      <c r="I11" s="39" t="s">
        <v>812</v>
      </c>
      <c r="J11" s="40" t="s">
        <v>812</v>
      </c>
      <c r="K11" s="5">
        <v>434</v>
      </c>
      <c r="L11" s="24"/>
      <c r="M11" s="24"/>
      <c r="N11" s="41"/>
    </row>
    <row r="12" spans="1:2502" s="13" customFormat="1" ht="39" x14ac:dyDescent="0.35">
      <c r="A12" s="114"/>
      <c r="B12" s="117"/>
      <c r="C12" s="113" t="s">
        <v>702</v>
      </c>
      <c r="D12" s="109" t="s">
        <v>703</v>
      </c>
      <c r="E12" s="22" t="s">
        <v>704</v>
      </c>
      <c r="F12" s="4" t="s">
        <v>705</v>
      </c>
      <c r="G12" s="91" t="s">
        <v>32</v>
      </c>
      <c r="H12" s="38" t="s">
        <v>812</v>
      </c>
      <c r="I12" s="39" t="s">
        <v>812</v>
      </c>
      <c r="J12" s="40" t="s">
        <v>812</v>
      </c>
      <c r="K12" s="5">
        <v>650</v>
      </c>
      <c r="L12" s="24"/>
      <c r="M12" s="24"/>
      <c r="N12" s="41"/>
    </row>
    <row r="13" spans="1:2502" s="13" customFormat="1" ht="26" x14ac:dyDescent="0.35">
      <c r="A13" s="114"/>
      <c r="B13" s="117"/>
      <c r="C13" s="114"/>
      <c r="D13" s="110"/>
      <c r="E13" s="22" t="s">
        <v>706</v>
      </c>
      <c r="F13" s="4" t="s">
        <v>707</v>
      </c>
      <c r="G13" s="91" t="s">
        <v>32</v>
      </c>
      <c r="H13" s="38" t="s">
        <v>812</v>
      </c>
      <c r="I13" s="39" t="s">
        <v>812</v>
      </c>
      <c r="J13" s="40" t="s">
        <v>812</v>
      </c>
      <c r="K13" s="5">
        <v>20</v>
      </c>
      <c r="L13" s="24"/>
      <c r="M13" s="24"/>
      <c r="N13" s="41"/>
    </row>
    <row r="14" spans="1:2502" s="13" customFormat="1" ht="52" x14ac:dyDescent="0.35">
      <c r="A14" s="114"/>
      <c r="B14" s="117"/>
      <c r="C14" s="114"/>
      <c r="D14" s="110"/>
      <c r="E14" s="22" t="s">
        <v>708</v>
      </c>
      <c r="F14" s="23" t="s">
        <v>709</v>
      </c>
      <c r="G14" s="91" t="s">
        <v>32</v>
      </c>
      <c r="H14" s="38" t="s">
        <v>812</v>
      </c>
      <c r="I14" s="39" t="s">
        <v>812</v>
      </c>
      <c r="J14" s="40" t="s">
        <v>812</v>
      </c>
      <c r="K14" s="5">
        <v>352</v>
      </c>
      <c r="L14" s="24"/>
      <c r="M14" s="24"/>
      <c r="N14" s="41"/>
    </row>
    <row r="15" spans="1:2502" s="13" customFormat="1" ht="26" x14ac:dyDescent="0.35">
      <c r="A15" s="114"/>
      <c r="B15" s="117"/>
      <c r="C15" s="114"/>
      <c r="D15" s="110"/>
      <c r="E15" s="22" t="s">
        <v>710</v>
      </c>
      <c r="F15" s="4" t="s">
        <v>711</v>
      </c>
      <c r="G15" s="91" t="s">
        <v>32</v>
      </c>
      <c r="H15" s="4"/>
      <c r="I15" s="39" t="s">
        <v>812</v>
      </c>
      <c r="J15" s="40" t="s">
        <v>812</v>
      </c>
      <c r="K15" s="5">
        <v>779</v>
      </c>
      <c r="L15" s="24"/>
      <c r="M15" s="24"/>
      <c r="N15" s="41"/>
    </row>
    <row r="16" spans="1:2502" s="13" customFormat="1" ht="26" x14ac:dyDescent="0.35">
      <c r="A16" s="114"/>
      <c r="B16" s="117"/>
      <c r="C16" s="114"/>
      <c r="D16" s="110"/>
      <c r="E16" s="22" t="s">
        <v>712</v>
      </c>
      <c r="F16" s="4" t="s">
        <v>713</v>
      </c>
      <c r="G16" s="91" t="s">
        <v>32</v>
      </c>
      <c r="H16" s="4"/>
      <c r="I16" s="39" t="s">
        <v>812</v>
      </c>
      <c r="J16" s="40" t="s">
        <v>812</v>
      </c>
      <c r="K16" s="5">
        <v>436</v>
      </c>
      <c r="L16" s="24"/>
      <c r="M16" s="24"/>
      <c r="N16" s="41"/>
    </row>
    <row r="17" spans="1:14" s="13" customFormat="1" ht="91" x14ac:dyDescent="0.35">
      <c r="A17" s="114"/>
      <c r="B17" s="117"/>
      <c r="C17" s="115"/>
      <c r="D17" s="111"/>
      <c r="E17" s="22" t="s">
        <v>714</v>
      </c>
      <c r="F17" s="4" t="s">
        <v>715</v>
      </c>
      <c r="G17" s="91" t="s">
        <v>32</v>
      </c>
      <c r="H17" s="4"/>
      <c r="I17" s="39" t="s">
        <v>812</v>
      </c>
      <c r="J17" s="40" t="s">
        <v>812</v>
      </c>
      <c r="K17" s="5">
        <v>345</v>
      </c>
      <c r="L17" s="24"/>
      <c r="M17" s="24"/>
      <c r="N17" s="41"/>
    </row>
    <row r="18" spans="1:14" s="13" customFormat="1" ht="39" x14ac:dyDescent="0.35">
      <c r="A18" s="114"/>
      <c r="B18" s="117"/>
      <c r="C18" s="113" t="s">
        <v>716</v>
      </c>
      <c r="D18" s="109" t="s">
        <v>717</v>
      </c>
      <c r="E18" s="22" t="s">
        <v>718</v>
      </c>
      <c r="F18" s="4" t="s">
        <v>719</v>
      </c>
      <c r="G18" s="91" t="s">
        <v>32</v>
      </c>
      <c r="H18" s="38" t="s">
        <v>812</v>
      </c>
      <c r="I18" s="39" t="s">
        <v>812</v>
      </c>
      <c r="J18" s="40" t="s">
        <v>812</v>
      </c>
      <c r="K18" s="5">
        <v>20</v>
      </c>
      <c r="L18" s="24"/>
      <c r="M18" s="24"/>
      <c r="N18" s="41"/>
    </row>
    <row r="19" spans="1:14" s="13" customFormat="1" ht="26" x14ac:dyDescent="0.35">
      <c r="A19" s="114"/>
      <c r="B19" s="117"/>
      <c r="C19" s="115"/>
      <c r="D19" s="111"/>
      <c r="E19" s="22" t="s">
        <v>720</v>
      </c>
      <c r="F19" s="4" t="s">
        <v>721</v>
      </c>
      <c r="G19" s="91" t="s">
        <v>32</v>
      </c>
      <c r="H19" s="4"/>
      <c r="I19" s="39" t="s">
        <v>812</v>
      </c>
      <c r="J19" s="40" t="s">
        <v>812</v>
      </c>
      <c r="K19" s="5">
        <v>345</v>
      </c>
      <c r="L19" s="24"/>
      <c r="M19" s="24"/>
      <c r="N19" s="41"/>
    </row>
    <row r="20" spans="1:14" s="13" customFormat="1" ht="65" x14ac:dyDescent="0.35">
      <c r="A20" s="114"/>
      <c r="B20" s="117"/>
      <c r="C20" s="113" t="s">
        <v>722</v>
      </c>
      <c r="D20" s="109" t="s">
        <v>723</v>
      </c>
      <c r="E20" s="22" t="s">
        <v>724</v>
      </c>
      <c r="F20" s="4" t="s">
        <v>725</v>
      </c>
      <c r="G20" s="91" t="s">
        <v>32</v>
      </c>
      <c r="H20" s="4"/>
      <c r="I20" s="39" t="s">
        <v>812</v>
      </c>
      <c r="J20" s="40" t="s">
        <v>812</v>
      </c>
      <c r="K20" s="5">
        <v>770</v>
      </c>
      <c r="L20" s="24"/>
      <c r="M20" s="24"/>
      <c r="N20" s="41"/>
    </row>
    <row r="21" spans="1:14" s="13" customFormat="1" ht="26" x14ac:dyDescent="0.35">
      <c r="A21" s="115"/>
      <c r="B21" s="118"/>
      <c r="C21" s="115"/>
      <c r="D21" s="111"/>
      <c r="E21" s="22" t="s">
        <v>726</v>
      </c>
      <c r="F21" s="4" t="s">
        <v>727</v>
      </c>
      <c r="G21" s="91" t="s">
        <v>32</v>
      </c>
      <c r="H21" s="4"/>
      <c r="I21" s="39" t="s">
        <v>812</v>
      </c>
      <c r="J21" s="40" t="s">
        <v>812</v>
      </c>
      <c r="K21" s="5">
        <v>285</v>
      </c>
      <c r="L21" s="24"/>
      <c r="M21" s="24"/>
      <c r="N21" s="41"/>
    </row>
    <row r="22" spans="1:14" s="13" customFormat="1" x14ac:dyDescent="0.4">
      <c r="B22" s="25"/>
      <c r="E22" s="26"/>
      <c r="G22" s="54"/>
      <c r="N22" s="42"/>
    </row>
    <row r="23" spans="1:14" s="13" customFormat="1" x14ac:dyDescent="0.4">
      <c r="B23" s="25"/>
      <c r="E23" s="26"/>
      <c r="G23" s="54"/>
      <c r="N23" s="42"/>
    </row>
    <row r="24" spans="1:14" s="13" customFormat="1" x14ac:dyDescent="0.4">
      <c r="B24" s="25"/>
      <c r="E24" s="26"/>
      <c r="G24" s="54"/>
      <c r="N24" s="42"/>
    </row>
    <row r="25" spans="1:14" s="13" customFormat="1" x14ac:dyDescent="0.4">
      <c r="B25" s="25"/>
      <c r="E25" s="26"/>
      <c r="G25" s="54"/>
      <c r="N25" s="42"/>
    </row>
    <row r="26" spans="1:14" s="13" customFormat="1" x14ac:dyDescent="0.4">
      <c r="B26" s="25"/>
      <c r="E26" s="26"/>
      <c r="G26" s="54"/>
      <c r="N26" s="42"/>
    </row>
    <row r="27" spans="1:14" s="13" customFormat="1" x14ac:dyDescent="0.4">
      <c r="B27" s="25"/>
      <c r="E27" s="26"/>
      <c r="G27" s="54"/>
      <c r="N27" s="42"/>
    </row>
    <row r="28" spans="1:14" s="13" customFormat="1" x14ac:dyDescent="0.4">
      <c r="B28" s="25"/>
      <c r="E28" s="26"/>
      <c r="G28" s="54"/>
      <c r="N28" s="42"/>
    </row>
    <row r="29" spans="1:14" s="13" customFormat="1" x14ac:dyDescent="0.4">
      <c r="B29" s="25"/>
      <c r="E29" s="26"/>
      <c r="G29" s="54"/>
      <c r="N29" s="42"/>
    </row>
    <row r="30" spans="1:14" s="13" customFormat="1" x14ac:dyDescent="0.4">
      <c r="B30" s="25"/>
      <c r="E30" s="26"/>
      <c r="G30" s="54"/>
      <c r="N30" s="42"/>
    </row>
    <row r="31" spans="1:14" s="13" customFormat="1" x14ac:dyDescent="0.4">
      <c r="B31" s="25"/>
      <c r="E31" s="26"/>
      <c r="G31" s="54"/>
      <c r="N31" s="42"/>
    </row>
    <row r="32" spans="1:14" s="13" customFormat="1" x14ac:dyDescent="0.4">
      <c r="B32" s="25"/>
      <c r="E32" s="26"/>
      <c r="G32" s="54"/>
      <c r="N32" s="42"/>
    </row>
    <row r="33" spans="2:14" s="13" customFormat="1" x14ac:dyDescent="0.4">
      <c r="B33" s="25"/>
      <c r="E33" s="26"/>
      <c r="G33" s="54"/>
      <c r="N33" s="42"/>
    </row>
    <row r="34" spans="2:14" s="13" customFormat="1" x14ac:dyDescent="0.4">
      <c r="B34" s="25"/>
      <c r="E34" s="26"/>
      <c r="G34" s="54"/>
      <c r="N34" s="42"/>
    </row>
    <row r="35" spans="2:14" s="13" customFormat="1" x14ac:dyDescent="0.4">
      <c r="B35" s="25"/>
      <c r="E35" s="26"/>
      <c r="G35" s="54"/>
      <c r="N35" s="42"/>
    </row>
    <row r="36" spans="2:14" s="13" customFormat="1" x14ac:dyDescent="0.4">
      <c r="B36" s="25"/>
      <c r="E36" s="26"/>
      <c r="G36" s="54"/>
      <c r="N36" s="42"/>
    </row>
    <row r="37" spans="2:14" s="13" customFormat="1" x14ac:dyDescent="0.4">
      <c r="B37" s="25"/>
      <c r="E37" s="26"/>
      <c r="G37" s="54"/>
      <c r="N37" s="42"/>
    </row>
    <row r="38" spans="2:14" s="13" customFormat="1" x14ac:dyDescent="0.4">
      <c r="B38" s="25"/>
      <c r="E38" s="26"/>
      <c r="G38" s="54"/>
      <c r="N38" s="42"/>
    </row>
    <row r="39" spans="2:14" s="13" customFormat="1" x14ac:dyDescent="0.4">
      <c r="B39" s="25"/>
      <c r="E39" s="26"/>
      <c r="G39" s="54"/>
      <c r="N39" s="42"/>
    </row>
    <row r="40" spans="2:14" s="13" customFormat="1" x14ac:dyDescent="0.4">
      <c r="B40" s="25"/>
      <c r="E40" s="26"/>
      <c r="G40" s="54"/>
      <c r="N40" s="42"/>
    </row>
    <row r="41" spans="2:14" s="13" customFormat="1" x14ac:dyDescent="0.4">
      <c r="B41" s="25"/>
      <c r="E41" s="26"/>
      <c r="G41" s="54"/>
      <c r="N41" s="42"/>
    </row>
    <row r="42" spans="2:14" s="13" customFormat="1" x14ac:dyDescent="0.4">
      <c r="B42" s="25"/>
      <c r="E42" s="26"/>
      <c r="G42" s="54"/>
      <c r="N42" s="42"/>
    </row>
    <row r="43" spans="2:14" s="13" customFormat="1" x14ac:dyDescent="0.4">
      <c r="B43" s="25"/>
      <c r="E43" s="26"/>
      <c r="G43" s="54"/>
      <c r="N43" s="42"/>
    </row>
    <row r="44" spans="2:14" s="13" customFormat="1" x14ac:dyDescent="0.4">
      <c r="B44" s="25"/>
      <c r="E44" s="26"/>
      <c r="G44" s="54"/>
      <c r="N44" s="42"/>
    </row>
    <row r="45" spans="2:14" s="13" customFormat="1" x14ac:dyDescent="0.4">
      <c r="B45" s="25"/>
      <c r="E45" s="26"/>
      <c r="G45" s="54"/>
      <c r="N45" s="42"/>
    </row>
    <row r="46" spans="2:14" s="13" customFormat="1" x14ac:dyDescent="0.4">
      <c r="B46" s="25"/>
      <c r="E46" s="26"/>
      <c r="G46" s="54"/>
      <c r="N46" s="42"/>
    </row>
    <row r="47" spans="2:14" s="13" customFormat="1" x14ac:dyDescent="0.4">
      <c r="B47" s="25"/>
      <c r="E47" s="26"/>
      <c r="G47" s="54"/>
      <c r="N47" s="42"/>
    </row>
    <row r="48" spans="2:14" s="13" customFormat="1" x14ac:dyDescent="0.4">
      <c r="B48" s="25"/>
      <c r="E48" s="26"/>
      <c r="G48" s="54"/>
      <c r="N48" s="42"/>
    </row>
    <row r="49" spans="2:14" s="13" customFormat="1" x14ac:dyDescent="0.4">
      <c r="B49" s="25"/>
      <c r="E49" s="26"/>
      <c r="G49" s="54"/>
      <c r="N49" s="42"/>
    </row>
    <row r="50" spans="2:14" s="13" customFormat="1" x14ac:dyDescent="0.4">
      <c r="B50" s="25"/>
      <c r="E50" s="26"/>
      <c r="G50" s="54"/>
      <c r="N50" s="42"/>
    </row>
    <row r="51" spans="2:14" s="13" customFormat="1" x14ac:dyDescent="0.4">
      <c r="B51" s="25"/>
      <c r="E51" s="26"/>
      <c r="G51" s="54"/>
      <c r="N51" s="42"/>
    </row>
    <row r="52" spans="2:14" s="13" customFormat="1" x14ac:dyDescent="0.4">
      <c r="B52" s="25"/>
      <c r="E52" s="26"/>
      <c r="G52" s="54"/>
      <c r="N52" s="42"/>
    </row>
    <row r="53" spans="2:14" s="13" customFormat="1" x14ac:dyDescent="0.4">
      <c r="B53" s="25"/>
      <c r="E53" s="26"/>
      <c r="G53" s="54"/>
      <c r="N53" s="42"/>
    </row>
    <row r="54" spans="2:14" s="13" customFormat="1" x14ac:dyDescent="0.4">
      <c r="B54" s="25"/>
      <c r="E54" s="26"/>
      <c r="G54" s="54"/>
      <c r="N54" s="42"/>
    </row>
    <row r="55" spans="2:14" s="13" customFormat="1" x14ac:dyDescent="0.4">
      <c r="B55" s="25"/>
      <c r="E55" s="26"/>
      <c r="G55" s="54"/>
      <c r="N55" s="42"/>
    </row>
    <row r="56" spans="2:14" s="13" customFormat="1" x14ac:dyDescent="0.4">
      <c r="B56" s="25"/>
      <c r="E56" s="26"/>
      <c r="G56" s="54"/>
      <c r="N56" s="42"/>
    </row>
    <row r="57" spans="2:14" s="13" customFormat="1" x14ac:dyDescent="0.4">
      <c r="B57" s="25"/>
      <c r="E57" s="26"/>
      <c r="G57" s="54"/>
      <c r="N57" s="42"/>
    </row>
    <row r="58" spans="2:14" s="13" customFormat="1" x14ac:dyDescent="0.4">
      <c r="B58" s="25"/>
      <c r="E58" s="26"/>
      <c r="G58" s="54"/>
      <c r="N58" s="42"/>
    </row>
    <row r="59" spans="2:14" s="13" customFormat="1" x14ac:dyDescent="0.4">
      <c r="B59" s="25"/>
      <c r="E59" s="26"/>
      <c r="G59" s="54"/>
      <c r="N59" s="42"/>
    </row>
    <row r="60" spans="2:14" s="13" customFormat="1" x14ac:dyDescent="0.4">
      <c r="B60" s="25"/>
      <c r="E60" s="26"/>
      <c r="G60" s="54"/>
      <c r="N60" s="42"/>
    </row>
    <row r="61" spans="2:14" s="13" customFormat="1" x14ac:dyDescent="0.4">
      <c r="B61" s="25"/>
      <c r="E61" s="26"/>
      <c r="G61" s="54"/>
      <c r="N61" s="42"/>
    </row>
    <row r="62" spans="2:14" s="13" customFormat="1" x14ac:dyDescent="0.4">
      <c r="B62" s="25"/>
      <c r="E62" s="26"/>
      <c r="G62" s="54"/>
      <c r="N62" s="42"/>
    </row>
    <row r="63" spans="2:14" s="13" customFormat="1" x14ac:dyDescent="0.4">
      <c r="B63" s="25"/>
      <c r="E63" s="26"/>
      <c r="G63" s="54"/>
      <c r="N63" s="42"/>
    </row>
    <row r="64" spans="2:14" s="13" customFormat="1" x14ac:dyDescent="0.4">
      <c r="B64" s="25"/>
      <c r="E64" s="26"/>
      <c r="G64" s="54"/>
      <c r="N64" s="42"/>
    </row>
    <row r="65" spans="2:14" s="13" customFormat="1" x14ac:dyDescent="0.4">
      <c r="B65" s="25"/>
      <c r="E65" s="26"/>
      <c r="G65" s="54"/>
      <c r="N65" s="42"/>
    </row>
    <row r="66" spans="2:14" s="13" customFormat="1" x14ac:dyDescent="0.4">
      <c r="B66" s="25"/>
      <c r="E66" s="26"/>
      <c r="G66" s="54"/>
      <c r="N66" s="42"/>
    </row>
    <row r="67" spans="2:14" s="13" customFormat="1" x14ac:dyDescent="0.4">
      <c r="B67" s="25"/>
      <c r="E67" s="26"/>
      <c r="G67" s="54"/>
      <c r="N67" s="42"/>
    </row>
    <row r="68" spans="2:14" s="13" customFormat="1" x14ac:dyDescent="0.4">
      <c r="B68" s="25"/>
      <c r="E68" s="26"/>
      <c r="G68" s="54"/>
      <c r="N68" s="42"/>
    </row>
    <row r="69" spans="2:14" s="13" customFormat="1" x14ac:dyDescent="0.4">
      <c r="B69" s="25"/>
      <c r="E69" s="26"/>
      <c r="G69" s="54"/>
      <c r="N69" s="42"/>
    </row>
    <row r="70" spans="2:14" s="13" customFormat="1" x14ac:dyDescent="0.4">
      <c r="B70" s="25"/>
      <c r="E70" s="26"/>
      <c r="G70" s="54"/>
      <c r="N70" s="42"/>
    </row>
    <row r="71" spans="2:14" s="13" customFormat="1" x14ac:dyDescent="0.4">
      <c r="B71" s="25"/>
      <c r="E71" s="26"/>
      <c r="G71" s="54"/>
      <c r="N71" s="42"/>
    </row>
    <row r="72" spans="2:14" s="13" customFormat="1" x14ac:dyDescent="0.4">
      <c r="B72" s="25"/>
      <c r="E72" s="26"/>
      <c r="G72" s="54"/>
      <c r="N72" s="42"/>
    </row>
    <row r="73" spans="2:14" s="13" customFormat="1" x14ac:dyDescent="0.4">
      <c r="B73" s="25"/>
      <c r="E73" s="26"/>
      <c r="G73" s="54"/>
      <c r="N73" s="42"/>
    </row>
    <row r="74" spans="2:14" s="13" customFormat="1" x14ac:dyDescent="0.4">
      <c r="B74" s="25"/>
      <c r="E74" s="26"/>
      <c r="G74" s="54"/>
      <c r="N74" s="42"/>
    </row>
    <row r="75" spans="2:14" s="13" customFormat="1" x14ac:dyDescent="0.4">
      <c r="B75" s="25"/>
      <c r="E75" s="26"/>
      <c r="G75" s="54"/>
      <c r="N75" s="42"/>
    </row>
    <row r="76" spans="2:14" s="13" customFormat="1" x14ac:dyDescent="0.4">
      <c r="B76" s="25"/>
      <c r="E76" s="26"/>
      <c r="G76" s="54"/>
      <c r="N76" s="42"/>
    </row>
    <row r="77" spans="2:14" s="13" customFormat="1" x14ac:dyDescent="0.4">
      <c r="B77" s="25"/>
      <c r="E77" s="26"/>
      <c r="G77" s="54"/>
      <c r="N77" s="42"/>
    </row>
    <row r="78" spans="2:14" s="13" customFormat="1" x14ac:dyDescent="0.4">
      <c r="B78" s="25"/>
      <c r="E78" s="26"/>
      <c r="G78" s="54"/>
      <c r="N78" s="42"/>
    </row>
    <row r="79" spans="2:14" s="13" customFormat="1" x14ac:dyDescent="0.4">
      <c r="B79" s="25"/>
      <c r="E79" s="26"/>
      <c r="G79" s="54"/>
      <c r="N79" s="42"/>
    </row>
    <row r="80" spans="2:14" s="13" customFormat="1" x14ac:dyDescent="0.4">
      <c r="B80" s="25"/>
      <c r="E80" s="26"/>
      <c r="G80" s="54"/>
      <c r="N80" s="42"/>
    </row>
    <row r="81" spans="2:14" s="13" customFormat="1" x14ac:dyDescent="0.4">
      <c r="B81" s="25"/>
      <c r="E81" s="26"/>
      <c r="G81" s="54"/>
      <c r="N81" s="42"/>
    </row>
    <row r="82" spans="2:14" s="13" customFormat="1" x14ac:dyDescent="0.4">
      <c r="B82" s="25"/>
      <c r="E82" s="26"/>
      <c r="G82" s="54"/>
      <c r="N82" s="42"/>
    </row>
    <row r="83" spans="2:14" s="13" customFormat="1" x14ac:dyDescent="0.4">
      <c r="B83" s="25"/>
      <c r="E83" s="26"/>
      <c r="G83" s="54"/>
      <c r="N83" s="42"/>
    </row>
    <row r="84" spans="2:14" s="13" customFormat="1" x14ac:dyDescent="0.4">
      <c r="B84" s="25"/>
      <c r="E84" s="26"/>
      <c r="G84" s="54"/>
      <c r="N84" s="42"/>
    </row>
    <row r="85" spans="2:14" s="13" customFormat="1" x14ac:dyDescent="0.4">
      <c r="B85" s="25"/>
      <c r="E85" s="26"/>
      <c r="G85" s="54"/>
      <c r="N85" s="42"/>
    </row>
    <row r="86" spans="2:14" s="13" customFormat="1" x14ac:dyDescent="0.4">
      <c r="B86" s="25"/>
      <c r="E86" s="26"/>
      <c r="G86" s="54"/>
      <c r="N86" s="42"/>
    </row>
    <row r="87" spans="2:14" s="13" customFormat="1" x14ac:dyDescent="0.4">
      <c r="B87" s="25"/>
      <c r="E87" s="26"/>
      <c r="G87" s="54"/>
      <c r="N87" s="42"/>
    </row>
    <row r="88" spans="2:14" s="13" customFormat="1" x14ac:dyDescent="0.4">
      <c r="B88" s="25"/>
      <c r="E88" s="26"/>
      <c r="G88" s="54"/>
      <c r="N88" s="42"/>
    </row>
    <row r="89" spans="2:14" s="13" customFormat="1" x14ac:dyDescent="0.4">
      <c r="B89" s="25"/>
      <c r="E89" s="26"/>
      <c r="G89" s="54"/>
      <c r="N89" s="42"/>
    </row>
    <row r="90" spans="2:14" s="13" customFormat="1" x14ac:dyDescent="0.4">
      <c r="B90" s="25"/>
      <c r="E90" s="26"/>
      <c r="G90" s="54"/>
      <c r="N90" s="42"/>
    </row>
    <row r="91" spans="2:14" s="13" customFormat="1" x14ac:dyDescent="0.4">
      <c r="B91" s="25"/>
      <c r="E91" s="26"/>
      <c r="G91" s="54"/>
      <c r="N91" s="42"/>
    </row>
    <row r="92" spans="2:14" s="13" customFormat="1" x14ac:dyDescent="0.4">
      <c r="B92" s="25"/>
      <c r="E92" s="26"/>
      <c r="G92" s="54"/>
      <c r="N92" s="42"/>
    </row>
    <row r="93" spans="2:14" s="13" customFormat="1" x14ac:dyDescent="0.4">
      <c r="B93" s="25"/>
      <c r="E93" s="26"/>
      <c r="G93" s="54"/>
      <c r="N93" s="42"/>
    </row>
    <row r="94" spans="2:14" s="13" customFormat="1" x14ac:dyDescent="0.4">
      <c r="B94" s="25"/>
      <c r="E94" s="26"/>
      <c r="G94" s="54"/>
      <c r="N94" s="42"/>
    </row>
    <row r="95" spans="2:14" s="13" customFormat="1" x14ac:dyDescent="0.4">
      <c r="B95" s="25"/>
      <c r="E95" s="26"/>
      <c r="G95" s="54"/>
      <c r="N95" s="42"/>
    </row>
    <row r="96" spans="2:14" s="13" customFormat="1" x14ac:dyDescent="0.4">
      <c r="B96" s="25"/>
      <c r="E96" s="26"/>
      <c r="G96" s="54"/>
      <c r="N96" s="42"/>
    </row>
    <row r="97" spans="2:14" s="13" customFormat="1" x14ac:dyDescent="0.4">
      <c r="B97" s="25"/>
      <c r="E97" s="26"/>
      <c r="G97" s="54"/>
      <c r="N97" s="42"/>
    </row>
    <row r="98" spans="2:14" s="13" customFormat="1" x14ac:dyDescent="0.4">
      <c r="B98" s="25"/>
      <c r="E98" s="26"/>
      <c r="G98" s="54"/>
      <c r="N98" s="42"/>
    </row>
    <row r="99" spans="2:14" s="13" customFormat="1" x14ac:dyDescent="0.4">
      <c r="B99" s="25"/>
      <c r="E99" s="26"/>
      <c r="G99" s="54"/>
      <c r="N99" s="42"/>
    </row>
    <row r="100" spans="2:14" s="13" customFormat="1" x14ac:dyDescent="0.4">
      <c r="B100" s="25"/>
      <c r="E100" s="26"/>
      <c r="G100" s="54"/>
      <c r="N100" s="42"/>
    </row>
    <row r="101" spans="2:14" s="13" customFormat="1" x14ac:dyDescent="0.4">
      <c r="B101" s="25"/>
      <c r="E101" s="26"/>
      <c r="G101" s="54"/>
      <c r="N101" s="42"/>
    </row>
    <row r="102" spans="2:14" s="13" customFormat="1" x14ac:dyDescent="0.4">
      <c r="B102" s="25"/>
      <c r="E102" s="26"/>
      <c r="G102" s="54"/>
      <c r="N102" s="42"/>
    </row>
    <row r="103" spans="2:14" s="13" customFormat="1" x14ac:dyDescent="0.4">
      <c r="B103" s="25"/>
      <c r="E103" s="26"/>
      <c r="G103" s="54"/>
      <c r="N103" s="42"/>
    </row>
    <row r="104" spans="2:14" s="13" customFormat="1" x14ac:dyDescent="0.4">
      <c r="B104" s="25"/>
      <c r="E104" s="26"/>
      <c r="G104" s="54"/>
      <c r="N104" s="42"/>
    </row>
    <row r="105" spans="2:14" s="13" customFormat="1" x14ac:dyDescent="0.4">
      <c r="B105" s="25"/>
      <c r="E105" s="26"/>
      <c r="G105" s="54"/>
      <c r="N105" s="42"/>
    </row>
    <row r="106" spans="2:14" s="13" customFormat="1" x14ac:dyDescent="0.4">
      <c r="B106" s="25"/>
      <c r="E106" s="26"/>
      <c r="G106" s="54"/>
      <c r="N106" s="42"/>
    </row>
    <row r="107" spans="2:14" s="13" customFormat="1" x14ac:dyDescent="0.4">
      <c r="B107" s="25"/>
      <c r="E107" s="26"/>
      <c r="G107" s="54"/>
      <c r="N107" s="42"/>
    </row>
    <row r="108" spans="2:14" s="13" customFormat="1" x14ac:dyDescent="0.4">
      <c r="B108" s="25"/>
      <c r="E108" s="26"/>
      <c r="G108" s="54"/>
      <c r="N108" s="42"/>
    </row>
    <row r="109" spans="2:14" s="13" customFormat="1" x14ac:dyDescent="0.4">
      <c r="B109" s="25"/>
      <c r="E109" s="26"/>
      <c r="G109" s="54"/>
      <c r="N109" s="42"/>
    </row>
    <row r="110" spans="2:14" s="13" customFormat="1" x14ac:dyDescent="0.4">
      <c r="B110" s="25"/>
      <c r="E110" s="26"/>
      <c r="G110" s="54"/>
      <c r="N110" s="42"/>
    </row>
    <row r="111" spans="2:14" s="13" customFormat="1" x14ac:dyDescent="0.4">
      <c r="B111" s="25"/>
      <c r="E111" s="26"/>
      <c r="G111" s="54"/>
      <c r="N111" s="42"/>
    </row>
    <row r="112" spans="2:14" s="13" customFormat="1" x14ac:dyDescent="0.4">
      <c r="B112" s="25"/>
      <c r="E112" s="26"/>
      <c r="G112" s="54"/>
      <c r="N112" s="42"/>
    </row>
    <row r="113" spans="2:14" s="13" customFormat="1" x14ac:dyDescent="0.4">
      <c r="B113" s="25"/>
      <c r="E113" s="26"/>
      <c r="G113" s="54"/>
      <c r="N113" s="42"/>
    </row>
    <row r="114" spans="2:14" s="13" customFormat="1" x14ac:dyDescent="0.4">
      <c r="B114" s="25"/>
      <c r="E114" s="26"/>
      <c r="G114" s="54"/>
      <c r="N114" s="42"/>
    </row>
    <row r="115" spans="2:14" s="13" customFormat="1" x14ac:dyDescent="0.4">
      <c r="B115" s="25"/>
      <c r="E115" s="26"/>
      <c r="G115" s="54"/>
      <c r="N115" s="42"/>
    </row>
    <row r="116" spans="2:14" s="13" customFormat="1" x14ac:dyDescent="0.4">
      <c r="B116" s="25"/>
      <c r="E116" s="26"/>
      <c r="G116" s="54"/>
      <c r="N116" s="42"/>
    </row>
    <row r="117" spans="2:14" s="13" customFormat="1" x14ac:dyDescent="0.4">
      <c r="B117" s="25"/>
      <c r="E117" s="26"/>
      <c r="G117" s="54"/>
      <c r="N117" s="42"/>
    </row>
    <row r="118" spans="2:14" s="13" customFormat="1" x14ac:dyDescent="0.4">
      <c r="B118" s="25"/>
      <c r="E118" s="26"/>
      <c r="G118" s="54"/>
      <c r="N118" s="42"/>
    </row>
    <row r="119" spans="2:14" s="13" customFormat="1" x14ac:dyDescent="0.4">
      <c r="B119" s="25"/>
      <c r="E119" s="26"/>
      <c r="G119" s="54"/>
      <c r="N119" s="42"/>
    </row>
    <row r="120" spans="2:14" s="13" customFormat="1" x14ac:dyDescent="0.4">
      <c r="B120" s="25"/>
      <c r="E120" s="26"/>
      <c r="G120" s="54"/>
      <c r="N120" s="42"/>
    </row>
    <row r="121" spans="2:14" s="13" customFormat="1" x14ac:dyDescent="0.4">
      <c r="B121" s="25"/>
      <c r="E121" s="26"/>
      <c r="G121" s="54"/>
      <c r="N121" s="42"/>
    </row>
    <row r="122" spans="2:14" s="13" customFormat="1" x14ac:dyDescent="0.4">
      <c r="B122" s="25"/>
      <c r="E122" s="26"/>
      <c r="G122" s="54"/>
      <c r="N122" s="42"/>
    </row>
    <row r="123" spans="2:14" s="13" customFormat="1" x14ac:dyDescent="0.4">
      <c r="B123" s="25"/>
      <c r="E123" s="26"/>
      <c r="G123" s="54"/>
      <c r="N123" s="42"/>
    </row>
    <row r="124" spans="2:14" s="13" customFormat="1" x14ac:dyDescent="0.4">
      <c r="B124" s="25"/>
      <c r="E124" s="26"/>
      <c r="G124" s="54"/>
      <c r="N124" s="42"/>
    </row>
    <row r="125" spans="2:14" s="13" customFormat="1" x14ac:dyDescent="0.4">
      <c r="B125" s="25"/>
      <c r="E125" s="26"/>
      <c r="G125" s="54"/>
      <c r="N125" s="42"/>
    </row>
    <row r="126" spans="2:14" s="13" customFormat="1" x14ac:dyDescent="0.4">
      <c r="B126" s="25"/>
      <c r="E126" s="26"/>
      <c r="G126" s="54"/>
      <c r="N126" s="42"/>
    </row>
    <row r="127" spans="2:14" s="13" customFormat="1" x14ac:dyDescent="0.4">
      <c r="B127" s="25"/>
      <c r="E127" s="26"/>
      <c r="G127" s="54"/>
      <c r="N127" s="42"/>
    </row>
    <row r="128" spans="2:14" s="13" customFormat="1" x14ac:dyDescent="0.4">
      <c r="B128" s="25"/>
      <c r="E128" s="26"/>
      <c r="G128" s="54"/>
      <c r="N128" s="42"/>
    </row>
    <row r="129" spans="2:14" s="13" customFormat="1" x14ac:dyDescent="0.4">
      <c r="B129" s="25"/>
      <c r="E129" s="26"/>
      <c r="G129" s="54"/>
      <c r="N129" s="42"/>
    </row>
    <row r="130" spans="2:14" s="13" customFormat="1" x14ac:dyDescent="0.4">
      <c r="B130" s="25"/>
      <c r="E130" s="26"/>
      <c r="G130" s="54"/>
      <c r="N130" s="42"/>
    </row>
    <row r="131" spans="2:14" s="13" customFormat="1" x14ac:dyDescent="0.4">
      <c r="B131" s="25"/>
      <c r="E131" s="26"/>
      <c r="G131" s="54"/>
      <c r="N131" s="42"/>
    </row>
    <row r="132" spans="2:14" s="13" customFormat="1" x14ac:dyDescent="0.4">
      <c r="B132" s="25"/>
      <c r="E132" s="26"/>
      <c r="G132" s="54"/>
      <c r="N132" s="42"/>
    </row>
    <row r="133" spans="2:14" s="13" customFormat="1" x14ac:dyDescent="0.4">
      <c r="B133" s="25"/>
      <c r="E133" s="26"/>
      <c r="G133" s="54"/>
      <c r="N133" s="42"/>
    </row>
    <row r="134" spans="2:14" s="13" customFormat="1" x14ac:dyDescent="0.4">
      <c r="B134" s="25"/>
      <c r="E134" s="26"/>
      <c r="G134" s="54"/>
      <c r="N134" s="42"/>
    </row>
    <row r="135" spans="2:14" s="13" customFormat="1" x14ac:dyDescent="0.4">
      <c r="B135" s="25"/>
      <c r="E135" s="26"/>
      <c r="G135" s="54"/>
      <c r="N135" s="42"/>
    </row>
    <row r="136" spans="2:14" s="13" customFormat="1" x14ac:dyDescent="0.4">
      <c r="B136" s="25"/>
      <c r="E136" s="26"/>
      <c r="G136" s="54"/>
      <c r="N136" s="42"/>
    </row>
    <row r="137" spans="2:14" s="13" customFormat="1" x14ac:dyDescent="0.4">
      <c r="B137" s="25"/>
      <c r="E137" s="26"/>
      <c r="G137" s="54"/>
      <c r="N137" s="42"/>
    </row>
    <row r="138" spans="2:14" s="13" customFormat="1" x14ac:dyDescent="0.4">
      <c r="B138" s="25"/>
      <c r="E138" s="26"/>
      <c r="G138" s="54"/>
      <c r="N138" s="42"/>
    </row>
    <row r="139" spans="2:14" s="13" customFormat="1" x14ac:dyDescent="0.4">
      <c r="B139" s="25"/>
      <c r="E139" s="26"/>
      <c r="G139" s="54"/>
      <c r="N139" s="42"/>
    </row>
    <row r="140" spans="2:14" s="13" customFormat="1" x14ac:dyDescent="0.4">
      <c r="B140" s="25"/>
      <c r="E140" s="26"/>
      <c r="G140" s="54"/>
      <c r="N140" s="42"/>
    </row>
    <row r="141" spans="2:14" s="13" customFormat="1" x14ac:dyDescent="0.4">
      <c r="B141" s="25"/>
      <c r="E141" s="26"/>
      <c r="G141" s="54"/>
      <c r="N141" s="42"/>
    </row>
    <row r="142" spans="2:14" s="13" customFormat="1" x14ac:dyDescent="0.4">
      <c r="B142" s="25"/>
      <c r="E142" s="26"/>
      <c r="G142" s="54"/>
      <c r="N142" s="42"/>
    </row>
    <row r="143" spans="2:14" s="13" customFormat="1" x14ac:dyDescent="0.4">
      <c r="B143" s="25"/>
      <c r="E143" s="26"/>
      <c r="G143" s="54"/>
      <c r="N143" s="42"/>
    </row>
    <row r="144" spans="2:14" s="13" customFormat="1" x14ac:dyDescent="0.4">
      <c r="B144" s="25"/>
      <c r="E144" s="26"/>
      <c r="G144" s="54"/>
      <c r="N144" s="42"/>
    </row>
    <row r="145" spans="2:14" s="13" customFormat="1" x14ac:dyDescent="0.4">
      <c r="B145" s="25"/>
      <c r="E145" s="26"/>
      <c r="G145" s="54"/>
      <c r="N145" s="42"/>
    </row>
    <row r="146" spans="2:14" s="13" customFormat="1" x14ac:dyDescent="0.4">
      <c r="B146" s="25"/>
      <c r="E146" s="26"/>
      <c r="G146" s="54"/>
      <c r="N146" s="42"/>
    </row>
    <row r="147" spans="2:14" s="13" customFormat="1" x14ac:dyDescent="0.4">
      <c r="B147" s="25"/>
      <c r="E147" s="26"/>
      <c r="G147" s="54"/>
      <c r="N147" s="42"/>
    </row>
    <row r="148" spans="2:14" s="13" customFormat="1" x14ac:dyDescent="0.4">
      <c r="B148" s="25"/>
      <c r="E148" s="26"/>
      <c r="G148" s="54"/>
      <c r="N148" s="42"/>
    </row>
    <row r="149" spans="2:14" s="13" customFormat="1" x14ac:dyDescent="0.4">
      <c r="B149" s="25"/>
      <c r="E149" s="26"/>
      <c r="G149" s="54"/>
      <c r="N149" s="42"/>
    </row>
    <row r="150" spans="2:14" s="13" customFormat="1" x14ac:dyDescent="0.4">
      <c r="B150" s="25"/>
      <c r="E150" s="26"/>
      <c r="G150" s="54"/>
      <c r="N150" s="42"/>
    </row>
    <row r="151" spans="2:14" s="13" customFormat="1" x14ac:dyDescent="0.4">
      <c r="B151" s="25"/>
      <c r="E151" s="26"/>
      <c r="G151" s="54"/>
      <c r="N151" s="42"/>
    </row>
    <row r="152" spans="2:14" s="13" customFormat="1" x14ac:dyDescent="0.4">
      <c r="B152" s="25"/>
      <c r="E152" s="26"/>
      <c r="G152" s="54"/>
      <c r="N152" s="42"/>
    </row>
    <row r="153" spans="2:14" s="13" customFormat="1" x14ac:dyDescent="0.4">
      <c r="B153" s="25"/>
      <c r="E153" s="26"/>
      <c r="G153" s="54"/>
      <c r="N153" s="42"/>
    </row>
    <row r="154" spans="2:14" s="13" customFormat="1" x14ac:dyDescent="0.4">
      <c r="B154" s="25"/>
      <c r="E154" s="26"/>
      <c r="G154" s="54"/>
      <c r="N154" s="42"/>
    </row>
    <row r="155" spans="2:14" s="13" customFormat="1" x14ac:dyDescent="0.4">
      <c r="B155" s="25"/>
      <c r="E155" s="26"/>
      <c r="G155" s="54"/>
      <c r="N155" s="42"/>
    </row>
    <row r="156" spans="2:14" s="13" customFormat="1" x14ac:dyDescent="0.4">
      <c r="B156" s="25"/>
      <c r="E156" s="26"/>
      <c r="G156" s="54"/>
      <c r="N156" s="42"/>
    </row>
    <row r="157" spans="2:14" s="13" customFormat="1" x14ac:dyDescent="0.4">
      <c r="B157" s="25"/>
      <c r="E157" s="26"/>
      <c r="G157" s="54"/>
      <c r="N157" s="42"/>
    </row>
    <row r="158" spans="2:14" s="13" customFormat="1" x14ac:dyDescent="0.4">
      <c r="B158" s="25"/>
      <c r="E158" s="26"/>
      <c r="G158" s="54"/>
      <c r="N158" s="42"/>
    </row>
    <row r="159" spans="2:14" s="13" customFormat="1" x14ac:dyDescent="0.4">
      <c r="B159" s="25"/>
      <c r="E159" s="26"/>
      <c r="G159" s="54"/>
      <c r="N159" s="42"/>
    </row>
    <row r="160" spans="2:14" s="13" customFormat="1" x14ac:dyDescent="0.4">
      <c r="B160" s="25"/>
      <c r="E160" s="26"/>
      <c r="G160" s="54"/>
      <c r="N160" s="42"/>
    </row>
    <row r="161" spans="2:14" s="13" customFormat="1" x14ac:dyDescent="0.4">
      <c r="B161" s="25"/>
      <c r="E161" s="26"/>
      <c r="G161" s="54"/>
      <c r="N161" s="42"/>
    </row>
    <row r="162" spans="2:14" s="13" customFormat="1" x14ac:dyDescent="0.4">
      <c r="B162" s="25"/>
      <c r="E162" s="26"/>
      <c r="G162" s="54"/>
      <c r="N162" s="42"/>
    </row>
    <row r="163" spans="2:14" s="13" customFormat="1" x14ac:dyDescent="0.4">
      <c r="B163" s="25"/>
      <c r="E163" s="26"/>
      <c r="G163" s="54"/>
      <c r="N163" s="42"/>
    </row>
    <row r="164" spans="2:14" s="13" customFormat="1" x14ac:dyDescent="0.4">
      <c r="B164" s="25"/>
      <c r="E164" s="26"/>
      <c r="G164" s="54"/>
      <c r="N164" s="42"/>
    </row>
    <row r="165" spans="2:14" s="13" customFormat="1" x14ac:dyDescent="0.4">
      <c r="B165" s="25"/>
      <c r="E165" s="26"/>
      <c r="G165" s="54"/>
      <c r="N165" s="42"/>
    </row>
    <row r="166" spans="2:14" s="13" customFormat="1" x14ac:dyDescent="0.4">
      <c r="B166" s="25"/>
      <c r="E166" s="26"/>
      <c r="G166" s="54"/>
      <c r="N166" s="42"/>
    </row>
    <row r="167" spans="2:14" s="13" customFormat="1" x14ac:dyDescent="0.4">
      <c r="B167" s="25"/>
      <c r="E167" s="26"/>
      <c r="G167" s="54"/>
      <c r="N167" s="42"/>
    </row>
    <row r="168" spans="2:14" s="13" customFormat="1" x14ac:dyDescent="0.4">
      <c r="B168" s="25"/>
      <c r="E168" s="26"/>
      <c r="G168" s="54"/>
      <c r="N168" s="42"/>
    </row>
    <row r="169" spans="2:14" s="13" customFormat="1" x14ac:dyDescent="0.4">
      <c r="B169" s="25"/>
      <c r="E169" s="26"/>
      <c r="G169" s="54"/>
      <c r="N169" s="42"/>
    </row>
    <row r="170" spans="2:14" s="13" customFormat="1" x14ac:dyDescent="0.4">
      <c r="B170" s="25"/>
      <c r="E170" s="26"/>
      <c r="G170" s="54"/>
      <c r="N170" s="42"/>
    </row>
    <row r="171" spans="2:14" s="13" customFormat="1" x14ac:dyDescent="0.4">
      <c r="B171" s="25"/>
      <c r="E171" s="26"/>
      <c r="G171" s="54"/>
      <c r="N171" s="42"/>
    </row>
    <row r="172" spans="2:14" s="13" customFormat="1" x14ac:dyDescent="0.4">
      <c r="B172" s="25"/>
      <c r="E172" s="26"/>
      <c r="G172" s="54"/>
      <c r="N172" s="42"/>
    </row>
    <row r="173" spans="2:14" s="13" customFormat="1" x14ac:dyDescent="0.4">
      <c r="B173" s="25"/>
      <c r="E173" s="26"/>
      <c r="G173" s="54"/>
      <c r="N173" s="42"/>
    </row>
    <row r="174" spans="2:14" s="13" customFormat="1" x14ac:dyDescent="0.4">
      <c r="B174" s="25"/>
      <c r="E174" s="26"/>
      <c r="G174" s="54"/>
      <c r="N174" s="42"/>
    </row>
    <row r="175" spans="2:14" s="13" customFormat="1" x14ac:dyDescent="0.4">
      <c r="B175" s="25"/>
      <c r="E175" s="26"/>
      <c r="G175" s="54"/>
      <c r="N175" s="42"/>
    </row>
    <row r="176" spans="2:14" s="13" customFormat="1" x14ac:dyDescent="0.4">
      <c r="B176" s="25"/>
      <c r="E176" s="26"/>
      <c r="G176" s="54"/>
      <c r="N176" s="42"/>
    </row>
    <row r="177" spans="2:14" s="13" customFormat="1" x14ac:dyDescent="0.4">
      <c r="B177" s="25"/>
      <c r="E177" s="26"/>
      <c r="G177" s="54"/>
      <c r="N177" s="42"/>
    </row>
    <row r="178" spans="2:14" s="13" customFormat="1" x14ac:dyDescent="0.4">
      <c r="B178" s="25"/>
      <c r="E178" s="26"/>
      <c r="G178" s="54"/>
      <c r="N178" s="42"/>
    </row>
    <row r="179" spans="2:14" s="13" customFormat="1" x14ac:dyDescent="0.4">
      <c r="B179" s="25"/>
      <c r="E179" s="26"/>
      <c r="G179" s="54"/>
      <c r="N179" s="42"/>
    </row>
    <row r="180" spans="2:14" s="13" customFormat="1" x14ac:dyDescent="0.4">
      <c r="B180" s="25"/>
      <c r="E180" s="26"/>
      <c r="G180" s="54"/>
      <c r="N180" s="42"/>
    </row>
    <row r="181" spans="2:14" s="13" customFormat="1" x14ac:dyDescent="0.4">
      <c r="B181" s="25"/>
      <c r="E181" s="26"/>
      <c r="G181" s="54"/>
      <c r="N181" s="42"/>
    </row>
    <row r="182" spans="2:14" s="13" customFormat="1" x14ac:dyDescent="0.4">
      <c r="B182" s="25"/>
      <c r="E182" s="26"/>
      <c r="G182" s="54"/>
      <c r="N182" s="42"/>
    </row>
    <row r="183" spans="2:14" s="13" customFormat="1" x14ac:dyDescent="0.4">
      <c r="B183" s="25"/>
      <c r="E183" s="26"/>
      <c r="G183" s="54"/>
      <c r="N183" s="42"/>
    </row>
    <row r="184" spans="2:14" s="13" customFormat="1" x14ac:dyDescent="0.4">
      <c r="B184" s="25"/>
      <c r="E184" s="26"/>
      <c r="G184" s="54"/>
      <c r="N184" s="42"/>
    </row>
    <row r="185" spans="2:14" s="13" customFormat="1" x14ac:dyDescent="0.4">
      <c r="B185" s="25"/>
      <c r="E185" s="26"/>
      <c r="G185" s="54"/>
      <c r="N185" s="42"/>
    </row>
    <row r="186" spans="2:14" s="13" customFormat="1" x14ac:dyDescent="0.4">
      <c r="B186" s="25"/>
      <c r="E186" s="26"/>
      <c r="G186" s="54"/>
      <c r="N186" s="42"/>
    </row>
    <row r="187" spans="2:14" s="13" customFormat="1" x14ac:dyDescent="0.4">
      <c r="B187" s="25"/>
      <c r="E187" s="26"/>
      <c r="G187" s="54"/>
      <c r="N187" s="42"/>
    </row>
    <row r="188" spans="2:14" s="13" customFormat="1" x14ac:dyDescent="0.4">
      <c r="B188" s="25"/>
      <c r="E188" s="26"/>
      <c r="G188" s="54"/>
      <c r="N188" s="42"/>
    </row>
    <row r="189" spans="2:14" s="13" customFormat="1" x14ac:dyDescent="0.4">
      <c r="B189" s="25"/>
      <c r="E189" s="26"/>
      <c r="G189" s="54"/>
      <c r="N189" s="42"/>
    </row>
    <row r="190" spans="2:14" s="13" customFormat="1" x14ac:dyDescent="0.4">
      <c r="B190" s="25"/>
      <c r="E190" s="26"/>
      <c r="G190" s="54"/>
      <c r="N190" s="42"/>
    </row>
    <row r="191" spans="2:14" s="13" customFormat="1" x14ac:dyDescent="0.4">
      <c r="B191" s="25"/>
      <c r="E191" s="26"/>
      <c r="G191" s="54"/>
      <c r="N191" s="42"/>
    </row>
    <row r="192" spans="2:14" s="13" customFormat="1" x14ac:dyDescent="0.4">
      <c r="B192" s="25"/>
      <c r="E192" s="26"/>
      <c r="G192" s="54"/>
      <c r="N192" s="42"/>
    </row>
    <row r="193" spans="2:14" s="13" customFormat="1" x14ac:dyDescent="0.4">
      <c r="B193" s="25"/>
      <c r="E193" s="26"/>
      <c r="G193" s="54"/>
      <c r="N193" s="42"/>
    </row>
    <row r="194" spans="2:14" s="13" customFormat="1" x14ac:dyDescent="0.4">
      <c r="B194" s="25"/>
      <c r="E194" s="26"/>
      <c r="G194" s="54"/>
      <c r="N194" s="42"/>
    </row>
    <row r="195" spans="2:14" s="13" customFormat="1" x14ac:dyDescent="0.4">
      <c r="B195" s="25"/>
      <c r="E195" s="26"/>
      <c r="G195" s="54"/>
      <c r="N195" s="42"/>
    </row>
    <row r="196" spans="2:14" s="13" customFormat="1" x14ac:dyDescent="0.4">
      <c r="B196" s="25"/>
      <c r="E196" s="26"/>
      <c r="G196" s="54"/>
      <c r="N196" s="42"/>
    </row>
    <row r="197" spans="2:14" s="13" customFormat="1" x14ac:dyDescent="0.4">
      <c r="B197" s="25"/>
      <c r="E197" s="26"/>
      <c r="G197" s="54"/>
      <c r="N197" s="42"/>
    </row>
    <row r="198" spans="2:14" s="13" customFormat="1" x14ac:dyDescent="0.4">
      <c r="B198" s="25"/>
      <c r="E198" s="26"/>
      <c r="G198" s="54"/>
      <c r="N198" s="42"/>
    </row>
    <row r="199" spans="2:14" s="13" customFormat="1" x14ac:dyDescent="0.4">
      <c r="B199" s="25"/>
      <c r="E199" s="26"/>
      <c r="G199" s="54"/>
      <c r="N199" s="42"/>
    </row>
    <row r="200" spans="2:14" s="13" customFormat="1" x14ac:dyDescent="0.4">
      <c r="B200" s="25"/>
      <c r="E200" s="26"/>
      <c r="G200" s="54"/>
      <c r="N200" s="42"/>
    </row>
    <row r="201" spans="2:14" s="13" customFormat="1" x14ac:dyDescent="0.4">
      <c r="B201" s="25"/>
      <c r="E201" s="26"/>
      <c r="G201" s="54"/>
      <c r="N201" s="42"/>
    </row>
    <row r="202" spans="2:14" s="13" customFormat="1" x14ac:dyDescent="0.4">
      <c r="B202" s="25"/>
      <c r="E202" s="26"/>
      <c r="G202" s="54"/>
      <c r="N202" s="42"/>
    </row>
    <row r="203" spans="2:14" s="13" customFormat="1" x14ac:dyDescent="0.4">
      <c r="B203" s="25"/>
      <c r="E203" s="26"/>
      <c r="G203" s="54"/>
      <c r="N203" s="42"/>
    </row>
    <row r="204" spans="2:14" s="13" customFormat="1" x14ac:dyDescent="0.4">
      <c r="B204" s="25"/>
      <c r="E204" s="26"/>
      <c r="G204" s="54"/>
      <c r="N204" s="42"/>
    </row>
    <row r="205" spans="2:14" s="13" customFormat="1" x14ac:dyDescent="0.4">
      <c r="B205" s="25"/>
      <c r="E205" s="26"/>
      <c r="G205" s="54"/>
      <c r="N205" s="42"/>
    </row>
    <row r="206" spans="2:14" s="13" customFormat="1" x14ac:dyDescent="0.4">
      <c r="B206" s="25"/>
      <c r="E206" s="26"/>
      <c r="G206" s="54"/>
      <c r="N206" s="42"/>
    </row>
    <row r="207" spans="2:14" s="13" customFormat="1" x14ac:dyDescent="0.4">
      <c r="B207" s="25"/>
      <c r="E207" s="26"/>
      <c r="G207" s="54"/>
      <c r="N207" s="42"/>
    </row>
    <row r="208" spans="2:14" s="13" customFormat="1" x14ac:dyDescent="0.4">
      <c r="B208" s="25"/>
      <c r="E208" s="26"/>
      <c r="G208" s="54"/>
      <c r="N208" s="42"/>
    </row>
    <row r="209" spans="2:14" s="13" customFormat="1" x14ac:dyDescent="0.4">
      <c r="B209" s="25"/>
      <c r="E209" s="26"/>
      <c r="G209" s="54"/>
      <c r="N209" s="42"/>
    </row>
    <row r="210" spans="2:14" s="13" customFormat="1" x14ac:dyDescent="0.4">
      <c r="B210" s="25"/>
      <c r="E210" s="26"/>
      <c r="G210" s="54"/>
      <c r="N210" s="42"/>
    </row>
    <row r="211" spans="2:14" s="13" customFormat="1" x14ac:dyDescent="0.4">
      <c r="B211" s="25"/>
      <c r="E211" s="26"/>
      <c r="G211" s="54"/>
      <c r="N211" s="42"/>
    </row>
    <row r="212" spans="2:14" s="13" customFormat="1" x14ac:dyDescent="0.4">
      <c r="B212" s="25"/>
      <c r="E212" s="26"/>
      <c r="G212" s="54"/>
      <c r="N212" s="42"/>
    </row>
    <row r="213" spans="2:14" s="13" customFormat="1" x14ac:dyDescent="0.4">
      <c r="B213" s="25"/>
      <c r="E213" s="26"/>
      <c r="G213" s="54"/>
      <c r="N213" s="42"/>
    </row>
    <row r="214" spans="2:14" s="13" customFormat="1" x14ac:dyDescent="0.4">
      <c r="B214" s="25"/>
      <c r="E214" s="26"/>
      <c r="G214" s="54"/>
      <c r="N214" s="42"/>
    </row>
    <row r="215" spans="2:14" s="13" customFormat="1" x14ac:dyDescent="0.4">
      <c r="B215" s="25"/>
      <c r="E215" s="26"/>
      <c r="G215" s="54"/>
      <c r="N215" s="42"/>
    </row>
    <row r="216" spans="2:14" s="13" customFormat="1" x14ac:dyDescent="0.4">
      <c r="B216" s="25"/>
      <c r="E216" s="26"/>
      <c r="G216" s="54"/>
      <c r="N216" s="42"/>
    </row>
    <row r="217" spans="2:14" s="13" customFormat="1" x14ac:dyDescent="0.4">
      <c r="B217" s="25"/>
      <c r="E217" s="26"/>
      <c r="G217" s="54"/>
      <c r="N217" s="42"/>
    </row>
    <row r="218" spans="2:14" s="13" customFormat="1" x14ac:dyDescent="0.4">
      <c r="B218" s="25"/>
      <c r="E218" s="26"/>
      <c r="G218" s="54"/>
      <c r="N218" s="42"/>
    </row>
    <row r="219" spans="2:14" s="13" customFormat="1" x14ac:dyDescent="0.4">
      <c r="B219" s="25"/>
      <c r="E219" s="26"/>
      <c r="G219" s="54"/>
      <c r="N219" s="42"/>
    </row>
    <row r="220" spans="2:14" s="13" customFormat="1" x14ac:dyDescent="0.4">
      <c r="B220" s="25"/>
      <c r="E220" s="26"/>
      <c r="G220" s="54"/>
      <c r="N220" s="42"/>
    </row>
    <row r="221" spans="2:14" s="13" customFormat="1" x14ac:dyDescent="0.4">
      <c r="B221" s="25"/>
      <c r="E221" s="26"/>
      <c r="G221" s="54"/>
      <c r="N221" s="42"/>
    </row>
    <row r="222" spans="2:14" s="13" customFormat="1" x14ac:dyDescent="0.4">
      <c r="B222" s="25"/>
      <c r="E222" s="26"/>
      <c r="G222" s="54"/>
      <c r="N222" s="42"/>
    </row>
    <row r="223" spans="2:14" s="13" customFormat="1" x14ac:dyDescent="0.4">
      <c r="B223" s="25"/>
      <c r="E223" s="26"/>
      <c r="G223" s="54"/>
      <c r="N223" s="42"/>
    </row>
    <row r="224" spans="2:14" s="13" customFormat="1" x14ac:dyDescent="0.4">
      <c r="B224" s="25"/>
      <c r="E224" s="26"/>
      <c r="G224" s="54"/>
      <c r="N224" s="42"/>
    </row>
    <row r="225" spans="2:14" s="13" customFormat="1" x14ac:dyDescent="0.4">
      <c r="B225" s="25"/>
      <c r="E225" s="26"/>
      <c r="G225" s="54"/>
      <c r="N225" s="42"/>
    </row>
    <row r="226" spans="2:14" s="13" customFormat="1" x14ac:dyDescent="0.4">
      <c r="B226" s="25"/>
      <c r="E226" s="26"/>
      <c r="G226" s="54"/>
      <c r="N226" s="42"/>
    </row>
    <row r="227" spans="2:14" s="13" customFormat="1" x14ac:dyDescent="0.4">
      <c r="B227" s="25"/>
      <c r="E227" s="26"/>
      <c r="G227" s="54"/>
      <c r="N227" s="42"/>
    </row>
    <row r="228" spans="2:14" s="13" customFormat="1" x14ac:dyDescent="0.4">
      <c r="B228" s="25"/>
      <c r="E228" s="26"/>
      <c r="G228" s="54"/>
      <c r="N228" s="42"/>
    </row>
    <row r="229" spans="2:14" s="13" customFormat="1" x14ac:dyDescent="0.4">
      <c r="B229" s="25"/>
      <c r="E229" s="26"/>
      <c r="G229" s="54"/>
      <c r="N229" s="42"/>
    </row>
    <row r="230" spans="2:14" s="13" customFormat="1" x14ac:dyDescent="0.4">
      <c r="B230" s="25"/>
      <c r="E230" s="26"/>
      <c r="G230" s="54"/>
      <c r="N230" s="42"/>
    </row>
    <row r="231" spans="2:14" s="13" customFormat="1" x14ac:dyDescent="0.4">
      <c r="B231" s="25"/>
      <c r="E231" s="26"/>
      <c r="G231" s="54"/>
      <c r="N231" s="42"/>
    </row>
    <row r="232" spans="2:14" s="13" customFormat="1" x14ac:dyDescent="0.4">
      <c r="B232" s="25"/>
      <c r="E232" s="26"/>
      <c r="G232" s="54"/>
      <c r="N232" s="42"/>
    </row>
    <row r="233" spans="2:14" s="13" customFormat="1" x14ac:dyDescent="0.4">
      <c r="B233" s="25"/>
      <c r="E233" s="26"/>
      <c r="G233" s="54"/>
      <c r="N233" s="42"/>
    </row>
    <row r="234" spans="2:14" s="13" customFormat="1" x14ac:dyDescent="0.4">
      <c r="B234" s="25"/>
      <c r="E234" s="26"/>
      <c r="G234" s="54"/>
      <c r="N234" s="42"/>
    </row>
    <row r="235" spans="2:14" s="13" customFormat="1" x14ac:dyDescent="0.4">
      <c r="B235" s="25"/>
      <c r="E235" s="26"/>
      <c r="G235" s="54"/>
      <c r="N235" s="42"/>
    </row>
    <row r="236" spans="2:14" s="13" customFormat="1" x14ac:dyDescent="0.4">
      <c r="B236" s="25"/>
      <c r="E236" s="26"/>
      <c r="G236" s="54"/>
      <c r="N236" s="42"/>
    </row>
    <row r="237" spans="2:14" s="13" customFormat="1" x14ac:dyDescent="0.4">
      <c r="B237" s="25"/>
      <c r="E237" s="26"/>
      <c r="G237" s="54"/>
      <c r="N237" s="42"/>
    </row>
    <row r="238" spans="2:14" s="13" customFormat="1" x14ac:dyDescent="0.4">
      <c r="B238" s="25"/>
      <c r="E238" s="26"/>
      <c r="G238" s="54"/>
      <c r="N238" s="42"/>
    </row>
    <row r="239" spans="2:14" s="13" customFormat="1" x14ac:dyDescent="0.4">
      <c r="B239" s="25"/>
      <c r="E239" s="26"/>
      <c r="G239" s="54"/>
      <c r="N239" s="42"/>
    </row>
    <row r="240" spans="2:14" s="13" customFormat="1" x14ac:dyDescent="0.4">
      <c r="B240" s="25"/>
      <c r="E240" s="26"/>
      <c r="G240" s="54"/>
      <c r="N240" s="42"/>
    </row>
    <row r="241" spans="2:14" s="13" customFormat="1" x14ac:dyDescent="0.4">
      <c r="B241" s="25"/>
      <c r="E241" s="26"/>
      <c r="G241" s="54"/>
      <c r="N241" s="42"/>
    </row>
    <row r="242" spans="2:14" s="13" customFormat="1" x14ac:dyDescent="0.4">
      <c r="B242" s="25"/>
      <c r="E242" s="26"/>
      <c r="G242" s="54"/>
      <c r="N242" s="42"/>
    </row>
    <row r="243" spans="2:14" s="13" customFormat="1" x14ac:dyDescent="0.4">
      <c r="B243" s="25"/>
      <c r="E243" s="26"/>
      <c r="G243" s="54"/>
      <c r="N243" s="42"/>
    </row>
    <row r="244" spans="2:14" s="13" customFormat="1" x14ac:dyDescent="0.4">
      <c r="B244" s="25"/>
      <c r="E244" s="26"/>
      <c r="G244" s="54"/>
      <c r="N244" s="42"/>
    </row>
    <row r="245" spans="2:14" s="13" customFormat="1" x14ac:dyDescent="0.4">
      <c r="B245" s="25"/>
      <c r="E245" s="26"/>
      <c r="G245" s="54"/>
      <c r="N245" s="42"/>
    </row>
    <row r="246" spans="2:14" s="13" customFormat="1" x14ac:dyDescent="0.4">
      <c r="B246" s="25"/>
      <c r="E246" s="26"/>
      <c r="G246" s="54"/>
      <c r="N246" s="42"/>
    </row>
    <row r="247" spans="2:14" s="13" customFormat="1" x14ac:dyDescent="0.4">
      <c r="B247" s="25"/>
      <c r="E247" s="26"/>
      <c r="G247" s="54"/>
      <c r="N247" s="42"/>
    </row>
    <row r="248" spans="2:14" s="13" customFormat="1" x14ac:dyDescent="0.4">
      <c r="B248" s="25"/>
      <c r="E248" s="26"/>
      <c r="G248" s="54"/>
      <c r="N248" s="42"/>
    </row>
    <row r="249" spans="2:14" s="13" customFormat="1" x14ac:dyDescent="0.4">
      <c r="B249" s="25"/>
      <c r="E249" s="26"/>
      <c r="G249" s="54"/>
      <c r="N249" s="42"/>
    </row>
    <row r="250" spans="2:14" s="13" customFormat="1" x14ac:dyDescent="0.4">
      <c r="B250" s="25"/>
      <c r="E250" s="26"/>
      <c r="G250" s="54"/>
      <c r="N250" s="42"/>
    </row>
    <row r="251" spans="2:14" s="13" customFormat="1" x14ac:dyDescent="0.4">
      <c r="B251" s="25"/>
      <c r="E251" s="26"/>
      <c r="G251" s="54"/>
      <c r="N251" s="42"/>
    </row>
    <row r="252" spans="2:14" s="13" customFormat="1" x14ac:dyDescent="0.4">
      <c r="B252" s="25"/>
      <c r="E252" s="26"/>
      <c r="G252" s="54"/>
      <c r="N252" s="42"/>
    </row>
    <row r="253" spans="2:14" s="13" customFormat="1" x14ac:dyDescent="0.4">
      <c r="B253" s="25"/>
      <c r="E253" s="26"/>
      <c r="G253" s="54"/>
      <c r="N253" s="42"/>
    </row>
    <row r="254" spans="2:14" s="13" customFormat="1" x14ac:dyDescent="0.4">
      <c r="B254" s="25"/>
      <c r="E254" s="26"/>
      <c r="G254" s="54"/>
      <c r="N254" s="42"/>
    </row>
    <row r="255" spans="2:14" s="13" customFormat="1" x14ac:dyDescent="0.4">
      <c r="B255" s="25"/>
      <c r="E255" s="26"/>
      <c r="G255" s="54"/>
      <c r="N255" s="42"/>
    </row>
    <row r="256" spans="2:14" s="13" customFormat="1" x14ac:dyDescent="0.4">
      <c r="B256" s="25"/>
      <c r="E256" s="26"/>
      <c r="G256" s="54"/>
      <c r="N256" s="42"/>
    </row>
    <row r="257" spans="2:14" s="13" customFormat="1" x14ac:dyDescent="0.4">
      <c r="B257" s="25"/>
      <c r="E257" s="26"/>
      <c r="G257" s="54"/>
      <c r="N257" s="42"/>
    </row>
    <row r="258" spans="2:14" s="13" customFormat="1" x14ac:dyDescent="0.4">
      <c r="B258" s="25"/>
      <c r="E258" s="26"/>
      <c r="G258" s="54"/>
      <c r="N258" s="42"/>
    </row>
    <row r="259" spans="2:14" s="13" customFormat="1" x14ac:dyDescent="0.4">
      <c r="B259" s="25"/>
      <c r="E259" s="26"/>
      <c r="G259" s="54"/>
      <c r="N259" s="42"/>
    </row>
    <row r="260" spans="2:14" s="13" customFormat="1" x14ac:dyDescent="0.4">
      <c r="B260" s="25"/>
      <c r="E260" s="26"/>
      <c r="G260" s="54"/>
      <c r="N260" s="42"/>
    </row>
    <row r="261" spans="2:14" s="13" customFormat="1" x14ac:dyDescent="0.4">
      <c r="B261" s="25"/>
      <c r="E261" s="26"/>
      <c r="G261" s="54"/>
      <c r="N261" s="42"/>
    </row>
    <row r="262" spans="2:14" s="13" customFormat="1" x14ac:dyDescent="0.4">
      <c r="B262" s="25"/>
      <c r="E262" s="26"/>
      <c r="G262" s="54"/>
      <c r="N262" s="42"/>
    </row>
    <row r="263" spans="2:14" s="13" customFormat="1" x14ac:dyDescent="0.4">
      <c r="B263" s="25"/>
      <c r="E263" s="26"/>
      <c r="G263" s="54"/>
      <c r="N263" s="42"/>
    </row>
    <row r="264" spans="2:14" s="13" customFormat="1" x14ac:dyDescent="0.4">
      <c r="B264" s="25"/>
      <c r="E264" s="26"/>
      <c r="G264" s="54"/>
      <c r="N264" s="42"/>
    </row>
    <row r="265" spans="2:14" s="13" customFormat="1" x14ac:dyDescent="0.4">
      <c r="B265" s="25"/>
      <c r="E265" s="26"/>
      <c r="G265" s="54"/>
      <c r="N265" s="42"/>
    </row>
    <row r="266" spans="2:14" s="13" customFormat="1" x14ac:dyDescent="0.4">
      <c r="B266" s="25"/>
      <c r="E266" s="26"/>
      <c r="G266" s="54"/>
      <c r="N266" s="42"/>
    </row>
    <row r="267" spans="2:14" s="13" customFormat="1" x14ac:dyDescent="0.4">
      <c r="B267" s="25"/>
      <c r="E267" s="26"/>
      <c r="G267" s="54"/>
      <c r="N267" s="42"/>
    </row>
    <row r="268" spans="2:14" s="13" customFormat="1" x14ac:dyDescent="0.4">
      <c r="B268" s="25"/>
      <c r="E268" s="26"/>
      <c r="G268" s="54"/>
      <c r="N268" s="42"/>
    </row>
    <row r="269" spans="2:14" s="13" customFormat="1" x14ac:dyDescent="0.4">
      <c r="B269" s="25"/>
      <c r="E269" s="26"/>
      <c r="G269" s="54"/>
      <c r="N269" s="42"/>
    </row>
    <row r="270" spans="2:14" s="13" customFormat="1" x14ac:dyDescent="0.4">
      <c r="B270" s="25"/>
      <c r="E270" s="26"/>
      <c r="G270" s="54"/>
      <c r="N270" s="42"/>
    </row>
    <row r="271" spans="2:14" s="13" customFormat="1" x14ac:dyDescent="0.4">
      <c r="B271" s="25"/>
      <c r="E271" s="26"/>
      <c r="G271" s="54"/>
      <c r="N271" s="42"/>
    </row>
    <row r="272" spans="2:14" s="13" customFormat="1" x14ac:dyDescent="0.4">
      <c r="B272" s="25"/>
      <c r="E272" s="26"/>
      <c r="G272" s="54"/>
      <c r="N272" s="42"/>
    </row>
    <row r="273" spans="2:14" s="13" customFormat="1" x14ac:dyDescent="0.4">
      <c r="B273" s="25"/>
      <c r="E273" s="26"/>
      <c r="G273" s="54"/>
      <c r="N273" s="42"/>
    </row>
    <row r="274" spans="2:14" s="13" customFormat="1" x14ac:dyDescent="0.4">
      <c r="B274" s="25"/>
      <c r="E274" s="26"/>
      <c r="G274" s="54"/>
      <c r="N274" s="42"/>
    </row>
    <row r="275" spans="2:14" s="13" customFormat="1" x14ac:dyDescent="0.4">
      <c r="B275" s="25"/>
      <c r="E275" s="26"/>
      <c r="G275" s="54"/>
      <c r="N275" s="42"/>
    </row>
    <row r="276" spans="2:14" s="13" customFormat="1" x14ac:dyDescent="0.4">
      <c r="B276" s="25"/>
      <c r="E276" s="26"/>
      <c r="G276" s="54"/>
      <c r="N276" s="42"/>
    </row>
    <row r="277" spans="2:14" s="13" customFormat="1" x14ac:dyDescent="0.4">
      <c r="B277" s="25"/>
      <c r="E277" s="26"/>
      <c r="G277" s="54"/>
      <c r="N277" s="42"/>
    </row>
    <row r="278" spans="2:14" s="13" customFormat="1" x14ac:dyDescent="0.4">
      <c r="B278" s="25"/>
      <c r="E278" s="26"/>
      <c r="G278" s="54"/>
      <c r="N278" s="42"/>
    </row>
    <row r="279" spans="2:14" s="13" customFormat="1" x14ac:dyDescent="0.4">
      <c r="B279" s="25"/>
      <c r="E279" s="26"/>
      <c r="G279" s="54"/>
      <c r="N279" s="42"/>
    </row>
    <row r="280" spans="2:14" s="13" customFormat="1" x14ac:dyDescent="0.4">
      <c r="B280" s="25"/>
      <c r="E280" s="26"/>
      <c r="G280" s="54"/>
      <c r="N280" s="42"/>
    </row>
    <row r="281" spans="2:14" s="13" customFormat="1" x14ac:dyDescent="0.4">
      <c r="B281" s="25"/>
      <c r="E281" s="26"/>
      <c r="G281" s="54"/>
      <c r="N281" s="42"/>
    </row>
    <row r="282" spans="2:14" s="13" customFormat="1" x14ac:dyDescent="0.4">
      <c r="B282" s="25"/>
      <c r="E282" s="26"/>
      <c r="G282" s="54"/>
      <c r="N282" s="42"/>
    </row>
    <row r="283" spans="2:14" s="13" customFormat="1" x14ac:dyDescent="0.4">
      <c r="B283" s="25"/>
      <c r="E283" s="26"/>
      <c r="G283" s="54"/>
      <c r="N283" s="42"/>
    </row>
    <row r="284" spans="2:14" s="13" customFormat="1" x14ac:dyDescent="0.4">
      <c r="B284" s="25"/>
      <c r="E284" s="26"/>
      <c r="G284" s="54"/>
      <c r="N284" s="42"/>
    </row>
    <row r="285" spans="2:14" s="13" customFormat="1" x14ac:dyDescent="0.4">
      <c r="B285" s="25"/>
      <c r="E285" s="26"/>
      <c r="G285" s="54"/>
      <c r="N285" s="42"/>
    </row>
    <row r="286" spans="2:14" s="13" customFormat="1" x14ac:dyDescent="0.4">
      <c r="B286" s="25"/>
      <c r="E286" s="26"/>
      <c r="G286" s="54"/>
      <c r="N286" s="42"/>
    </row>
    <row r="287" spans="2:14" s="13" customFormat="1" x14ac:dyDescent="0.4">
      <c r="B287" s="25"/>
      <c r="E287" s="26"/>
      <c r="G287" s="54"/>
      <c r="N287" s="42"/>
    </row>
    <row r="288" spans="2:14" s="13" customFormat="1" x14ac:dyDescent="0.4">
      <c r="B288" s="25"/>
      <c r="E288" s="26"/>
      <c r="G288" s="54"/>
      <c r="N288" s="42"/>
    </row>
    <row r="289" spans="2:14" s="13" customFormat="1" x14ac:dyDescent="0.4">
      <c r="B289" s="25"/>
      <c r="E289" s="26"/>
      <c r="G289" s="54"/>
      <c r="N289" s="42"/>
    </row>
    <row r="290" spans="2:14" s="13" customFormat="1" x14ac:dyDescent="0.4">
      <c r="B290" s="25"/>
      <c r="E290" s="26"/>
      <c r="G290" s="54"/>
      <c r="N290" s="42"/>
    </row>
    <row r="291" spans="2:14" s="13" customFormat="1" x14ac:dyDescent="0.4">
      <c r="B291" s="25"/>
      <c r="E291" s="26"/>
      <c r="G291" s="54"/>
      <c r="N291" s="42"/>
    </row>
    <row r="292" spans="2:14" s="13" customFormat="1" x14ac:dyDescent="0.4">
      <c r="B292" s="25"/>
      <c r="E292" s="26"/>
      <c r="G292" s="54"/>
      <c r="N292" s="42"/>
    </row>
    <row r="293" spans="2:14" s="13" customFormat="1" x14ac:dyDescent="0.4">
      <c r="B293" s="25"/>
      <c r="E293" s="26"/>
      <c r="G293" s="54"/>
      <c r="N293" s="42"/>
    </row>
    <row r="294" spans="2:14" s="13" customFormat="1" x14ac:dyDescent="0.4">
      <c r="B294" s="25"/>
      <c r="E294" s="26"/>
      <c r="G294" s="54"/>
      <c r="N294" s="42"/>
    </row>
    <row r="295" spans="2:14" s="13" customFormat="1" x14ac:dyDescent="0.4">
      <c r="B295" s="25"/>
      <c r="E295" s="26"/>
      <c r="G295" s="54"/>
      <c r="N295" s="42"/>
    </row>
    <row r="296" spans="2:14" s="13" customFormat="1" x14ac:dyDescent="0.4">
      <c r="B296" s="25"/>
      <c r="E296" s="26"/>
      <c r="G296" s="54"/>
      <c r="N296" s="42"/>
    </row>
    <row r="297" spans="2:14" s="13" customFormat="1" x14ac:dyDescent="0.4">
      <c r="B297" s="25"/>
      <c r="E297" s="26"/>
      <c r="G297" s="54"/>
      <c r="N297" s="42"/>
    </row>
    <row r="298" spans="2:14" s="13" customFormat="1" x14ac:dyDescent="0.4">
      <c r="B298" s="25"/>
      <c r="E298" s="26"/>
      <c r="G298" s="54"/>
      <c r="N298" s="42"/>
    </row>
    <row r="299" spans="2:14" s="13" customFormat="1" x14ac:dyDescent="0.4">
      <c r="B299" s="25"/>
      <c r="E299" s="26"/>
      <c r="G299" s="54"/>
      <c r="N299" s="42"/>
    </row>
    <row r="300" spans="2:14" s="13" customFormat="1" x14ac:dyDescent="0.4">
      <c r="B300" s="25"/>
      <c r="E300" s="26"/>
      <c r="G300" s="54"/>
      <c r="N300" s="42"/>
    </row>
    <row r="301" spans="2:14" s="13" customFormat="1" x14ac:dyDescent="0.4">
      <c r="B301" s="25"/>
      <c r="E301" s="26"/>
      <c r="G301" s="54"/>
      <c r="N301" s="42"/>
    </row>
    <row r="302" spans="2:14" s="13" customFormat="1" x14ac:dyDescent="0.4">
      <c r="B302" s="25"/>
      <c r="E302" s="26"/>
      <c r="G302" s="54"/>
      <c r="N302" s="42"/>
    </row>
    <row r="303" spans="2:14" s="13" customFormat="1" x14ac:dyDescent="0.4">
      <c r="B303" s="25"/>
      <c r="E303" s="26"/>
      <c r="G303" s="54"/>
      <c r="N303" s="42"/>
    </row>
    <row r="304" spans="2:14" s="13" customFormat="1" x14ac:dyDescent="0.4">
      <c r="B304" s="25"/>
      <c r="E304" s="26"/>
      <c r="G304" s="54"/>
      <c r="N304" s="42"/>
    </row>
    <row r="305" spans="2:14" s="13" customFormat="1" x14ac:dyDescent="0.4">
      <c r="B305" s="25"/>
      <c r="E305" s="26"/>
      <c r="G305" s="54"/>
      <c r="N305" s="42"/>
    </row>
    <row r="306" spans="2:14" s="13" customFormat="1" x14ac:dyDescent="0.4">
      <c r="B306" s="25"/>
      <c r="E306" s="26"/>
      <c r="G306" s="54"/>
      <c r="N306" s="42"/>
    </row>
    <row r="307" spans="2:14" s="13" customFormat="1" x14ac:dyDescent="0.4">
      <c r="B307" s="25"/>
      <c r="E307" s="26"/>
      <c r="G307" s="54"/>
      <c r="N307" s="42"/>
    </row>
    <row r="308" spans="2:14" s="13" customFormat="1" x14ac:dyDescent="0.4">
      <c r="B308" s="25"/>
      <c r="E308" s="26"/>
      <c r="G308" s="54"/>
      <c r="N308" s="42"/>
    </row>
    <row r="309" spans="2:14" s="13" customFormat="1" x14ac:dyDescent="0.4">
      <c r="B309" s="25"/>
      <c r="E309" s="26"/>
      <c r="G309" s="54"/>
      <c r="N309" s="42"/>
    </row>
    <row r="310" spans="2:14" s="13" customFormat="1" x14ac:dyDescent="0.4">
      <c r="B310" s="25"/>
      <c r="E310" s="26"/>
      <c r="G310" s="54"/>
      <c r="N310" s="42"/>
    </row>
    <row r="311" spans="2:14" s="13" customFormat="1" x14ac:dyDescent="0.4">
      <c r="B311" s="25"/>
      <c r="E311" s="26"/>
      <c r="G311" s="54"/>
      <c r="N311" s="42"/>
    </row>
    <row r="312" spans="2:14" s="13" customFormat="1" x14ac:dyDescent="0.4">
      <c r="B312" s="25"/>
      <c r="E312" s="26"/>
      <c r="G312" s="54"/>
      <c r="N312" s="42"/>
    </row>
    <row r="313" spans="2:14" s="13" customFormat="1" x14ac:dyDescent="0.4">
      <c r="B313" s="25"/>
      <c r="E313" s="26"/>
      <c r="G313" s="54"/>
      <c r="N313" s="42"/>
    </row>
    <row r="314" spans="2:14" s="13" customFormat="1" x14ac:dyDescent="0.4">
      <c r="B314" s="25"/>
      <c r="E314" s="26"/>
      <c r="G314" s="54"/>
      <c r="N314" s="42"/>
    </row>
    <row r="315" spans="2:14" s="13" customFormat="1" x14ac:dyDescent="0.4">
      <c r="B315" s="25"/>
      <c r="E315" s="26"/>
      <c r="G315" s="54"/>
      <c r="N315" s="42"/>
    </row>
    <row r="316" spans="2:14" s="13" customFormat="1" x14ac:dyDescent="0.4">
      <c r="B316" s="25"/>
      <c r="E316" s="26"/>
      <c r="G316" s="54"/>
      <c r="N316" s="42"/>
    </row>
    <row r="317" spans="2:14" s="13" customFormat="1" x14ac:dyDescent="0.4">
      <c r="B317" s="25"/>
      <c r="E317" s="26"/>
      <c r="G317" s="54"/>
      <c r="N317" s="42"/>
    </row>
    <row r="318" spans="2:14" s="13" customFormat="1" x14ac:dyDescent="0.4">
      <c r="B318" s="25"/>
      <c r="E318" s="26"/>
      <c r="G318" s="54"/>
      <c r="N318" s="42"/>
    </row>
    <row r="319" spans="2:14" s="13" customFormat="1" x14ac:dyDescent="0.4">
      <c r="B319" s="25"/>
      <c r="E319" s="26"/>
      <c r="G319" s="54"/>
      <c r="N319" s="42"/>
    </row>
    <row r="320" spans="2:14" s="13" customFormat="1" x14ac:dyDescent="0.4">
      <c r="B320" s="25"/>
      <c r="E320" s="26"/>
      <c r="G320" s="54"/>
      <c r="N320" s="42"/>
    </row>
    <row r="321" spans="2:14" s="13" customFormat="1" x14ac:dyDescent="0.4">
      <c r="B321" s="25"/>
      <c r="E321" s="26"/>
      <c r="G321" s="54"/>
      <c r="N321" s="42"/>
    </row>
    <row r="322" spans="2:14" s="13" customFormat="1" x14ac:dyDescent="0.4">
      <c r="B322" s="25"/>
      <c r="E322" s="26"/>
      <c r="G322" s="54"/>
      <c r="N322" s="42"/>
    </row>
    <row r="323" spans="2:14" s="13" customFormat="1" x14ac:dyDescent="0.4">
      <c r="B323" s="25"/>
      <c r="E323" s="26"/>
      <c r="G323" s="54"/>
      <c r="N323" s="42"/>
    </row>
    <row r="324" spans="2:14" s="13" customFormat="1" x14ac:dyDescent="0.4">
      <c r="B324" s="25"/>
      <c r="E324" s="26"/>
      <c r="G324" s="54"/>
      <c r="N324" s="42"/>
    </row>
    <row r="325" spans="2:14" s="13" customFormat="1" x14ac:dyDescent="0.4">
      <c r="B325" s="25"/>
      <c r="E325" s="26"/>
      <c r="G325" s="54"/>
      <c r="N325" s="42"/>
    </row>
    <row r="326" spans="2:14" s="13" customFormat="1" x14ac:dyDescent="0.4">
      <c r="B326" s="25"/>
      <c r="E326" s="26"/>
      <c r="G326" s="54"/>
      <c r="N326" s="42"/>
    </row>
    <row r="327" spans="2:14" s="13" customFormat="1" x14ac:dyDescent="0.4">
      <c r="B327" s="25"/>
      <c r="E327" s="26"/>
      <c r="G327" s="54"/>
      <c r="N327" s="42"/>
    </row>
    <row r="328" spans="2:14" s="13" customFormat="1" x14ac:dyDescent="0.4">
      <c r="B328" s="25"/>
      <c r="E328" s="26"/>
      <c r="G328" s="54"/>
      <c r="N328" s="42"/>
    </row>
    <row r="329" spans="2:14" s="13" customFormat="1" x14ac:dyDescent="0.4">
      <c r="B329" s="25"/>
      <c r="E329" s="26"/>
      <c r="G329" s="54"/>
      <c r="N329" s="42"/>
    </row>
    <row r="330" spans="2:14" s="13" customFormat="1" x14ac:dyDescent="0.4">
      <c r="B330" s="25"/>
      <c r="E330" s="26"/>
      <c r="G330" s="54"/>
      <c r="N330" s="42"/>
    </row>
    <row r="331" spans="2:14" s="13" customFormat="1" x14ac:dyDescent="0.4">
      <c r="B331" s="25"/>
      <c r="E331" s="26"/>
      <c r="G331" s="54"/>
      <c r="N331" s="42"/>
    </row>
    <row r="332" spans="2:14" s="13" customFormat="1" x14ac:dyDescent="0.4">
      <c r="B332" s="25"/>
      <c r="E332" s="26"/>
      <c r="G332" s="54"/>
      <c r="N332" s="42"/>
    </row>
    <row r="333" spans="2:14" s="13" customFormat="1" x14ac:dyDescent="0.4">
      <c r="B333" s="25"/>
      <c r="E333" s="26"/>
      <c r="G333" s="54"/>
      <c r="N333" s="42"/>
    </row>
    <row r="334" spans="2:14" s="13" customFormat="1" x14ac:dyDescent="0.4">
      <c r="B334" s="25"/>
      <c r="E334" s="26"/>
      <c r="G334" s="54"/>
      <c r="N334" s="42"/>
    </row>
    <row r="335" spans="2:14" s="13" customFormat="1" x14ac:dyDescent="0.4">
      <c r="B335" s="25"/>
      <c r="E335" s="26"/>
      <c r="G335" s="54"/>
      <c r="N335" s="42"/>
    </row>
    <row r="336" spans="2:14" s="13" customFormat="1" x14ac:dyDescent="0.4">
      <c r="B336" s="25"/>
      <c r="E336" s="26"/>
      <c r="G336" s="54"/>
      <c r="N336" s="42"/>
    </row>
    <row r="337" spans="2:14" s="13" customFormat="1" x14ac:dyDescent="0.4">
      <c r="B337" s="25"/>
      <c r="E337" s="26"/>
      <c r="G337" s="54"/>
      <c r="N337" s="42"/>
    </row>
    <row r="338" spans="2:14" s="13" customFormat="1" x14ac:dyDescent="0.4">
      <c r="B338" s="25"/>
      <c r="E338" s="26"/>
      <c r="G338" s="54"/>
      <c r="N338" s="42"/>
    </row>
    <row r="339" spans="2:14" s="13" customFormat="1" x14ac:dyDescent="0.4">
      <c r="B339" s="25"/>
      <c r="E339" s="26"/>
      <c r="G339" s="54"/>
      <c r="N339" s="42"/>
    </row>
    <row r="340" spans="2:14" s="13" customFormat="1" x14ac:dyDescent="0.4">
      <c r="B340" s="25"/>
      <c r="E340" s="26"/>
      <c r="G340" s="54"/>
      <c r="N340" s="42"/>
    </row>
    <row r="341" spans="2:14" s="13" customFormat="1" x14ac:dyDescent="0.4">
      <c r="B341" s="25"/>
      <c r="E341" s="26"/>
      <c r="G341" s="54"/>
      <c r="N341" s="42"/>
    </row>
    <row r="342" spans="2:14" s="13" customFormat="1" x14ac:dyDescent="0.4">
      <c r="B342" s="25"/>
      <c r="E342" s="26"/>
      <c r="G342" s="54"/>
      <c r="N342" s="42"/>
    </row>
    <row r="343" spans="2:14" s="13" customFormat="1" x14ac:dyDescent="0.4">
      <c r="B343" s="25"/>
      <c r="E343" s="26"/>
      <c r="G343" s="54"/>
      <c r="N343" s="42"/>
    </row>
    <row r="344" spans="2:14" s="13" customFormat="1" x14ac:dyDescent="0.4">
      <c r="B344" s="25"/>
      <c r="E344" s="26"/>
      <c r="G344" s="54"/>
      <c r="N344" s="42"/>
    </row>
    <row r="345" spans="2:14" s="13" customFormat="1" x14ac:dyDescent="0.4">
      <c r="B345" s="25"/>
      <c r="E345" s="26"/>
      <c r="G345" s="54"/>
      <c r="N345" s="42"/>
    </row>
    <row r="346" spans="2:14" s="13" customFormat="1" x14ac:dyDescent="0.4">
      <c r="B346" s="25"/>
      <c r="E346" s="26"/>
      <c r="G346" s="54"/>
      <c r="N346" s="42"/>
    </row>
    <row r="347" spans="2:14" s="13" customFormat="1" x14ac:dyDescent="0.4">
      <c r="B347" s="25"/>
      <c r="E347" s="26"/>
      <c r="G347" s="54"/>
      <c r="N347" s="42"/>
    </row>
    <row r="348" spans="2:14" s="13" customFormat="1" x14ac:dyDescent="0.4">
      <c r="B348" s="25"/>
      <c r="E348" s="26"/>
      <c r="G348" s="54"/>
      <c r="N348" s="42"/>
    </row>
    <row r="349" spans="2:14" s="13" customFormat="1" x14ac:dyDescent="0.4">
      <c r="B349" s="25"/>
      <c r="E349" s="26"/>
      <c r="G349" s="54"/>
      <c r="N349" s="42"/>
    </row>
    <row r="350" spans="2:14" s="13" customFormat="1" x14ac:dyDescent="0.4">
      <c r="B350" s="25"/>
      <c r="E350" s="26"/>
      <c r="G350" s="54"/>
      <c r="N350" s="42"/>
    </row>
    <row r="351" spans="2:14" s="13" customFormat="1" x14ac:dyDescent="0.4">
      <c r="B351" s="25"/>
      <c r="E351" s="26"/>
      <c r="G351" s="54"/>
      <c r="N351" s="42"/>
    </row>
    <row r="352" spans="2:14" s="13" customFormat="1" x14ac:dyDescent="0.4">
      <c r="B352" s="25"/>
      <c r="E352" s="26"/>
      <c r="G352" s="54"/>
      <c r="N352" s="42"/>
    </row>
    <row r="353" spans="2:14" s="13" customFormat="1" x14ac:dyDescent="0.4">
      <c r="B353" s="25"/>
      <c r="E353" s="26"/>
      <c r="G353" s="54"/>
      <c r="N353" s="42"/>
    </row>
    <row r="354" spans="2:14" s="13" customFormat="1" x14ac:dyDescent="0.4">
      <c r="B354" s="25"/>
      <c r="E354" s="26"/>
      <c r="G354" s="54"/>
      <c r="N354" s="42"/>
    </row>
    <row r="355" spans="2:14" s="13" customFormat="1" x14ac:dyDescent="0.4">
      <c r="B355" s="25"/>
      <c r="E355" s="26"/>
      <c r="G355" s="54"/>
      <c r="N355" s="42"/>
    </row>
    <row r="356" spans="2:14" s="13" customFormat="1" x14ac:dyDescent="0.4">
      <c r="B356" s="25"/>
      <c r="E356" s="26"/>
      <c r="G356" s="54"/>
      <c r="N356" s="42"/>
    </row>
    <row r="357" spans="2:14" s="13" customFormat="1" x14ac:dyDescent="0.4">
      <c r="B357" s="25"/>
      <c r="E357" s="26"/>
      <c r="G357" s="54"/>
      <c r="N357" s="42"/>
    </row>
    <row r="358" spans="2:14" s="13" customFormat="1" x14ac:dyDescent="0.4">
      <c r="B358" s="25"/>
      <c r="E358" s="26"/>
      <c r="G358" s="54"/>
      <c r="N358" s="42"/>
    </row>
    <row r="359" spans="2:14" s="13" customFormat="1" x14ac:dyDescent="0.4">
      <c r="B359" s="25"/>
      <c r="E359" s="26"/>
      <c r="G359" s="54"/>
      <c r="N359" s="42"/>
    </row>
    <row r="360" spans="2:14" s="13" customFormat="1" x14ac:dyDescent="0.4">
      <c r="B360" s="25"/>
      <c r="E360" s="26"/>
      <c r="G360" s="54"/>
      <c r="N360" s="42"/>
    </row>
    <row r="361" spans="2:14" s="13" customFormat="1" x14ac:dyDescent="0.4">
      <c r="B361" s="25"/>
      <c r="E361" s="26"/>
      <c r="G361" s="54"/>
      <c r="N361" s="42"/>
    </row>
    <row r="362" spans="2:14" s="13" customFormat="1" x14ac:dyDescent="0.4">
      <c r="B362" s="25"/>
      <c r="E362" s="26"/>
      <c r="G362" s="54"/>
      <c r="N362" s="42"/>
    </row>
    <row r="363" spans="2:14" s="13" customFormat="1" x14ac:dyDescent="0.4">
      <c r="B363" s="25"/>
      <c r="E363" s="26"/>
      <c r="G363" s="54"/>
      <c r="N363" s="42"/>
    </row>
    <row r="364" spans="2:14" s="13" customFormat="1" x14ac:dyDescent="0.4">
      <c r="B364" s="25"/>
      <c r="E364" s="26"/>
      <c r="G364" s="54"/>
      <c r="N364" s="42"/>
    </row>
    <row r="365" spans="2:14" s="13" customFormat="1" x14ac:dyDescent="0.4">
      <c r="B365" s="25"/>
      <c r="E365" s="26"/>
      <c r="G365" s="54"/>
      <c r="N365" s="42"/>
    </row>
    <row r="366" spans="2:14" s="13" customFormat="1" x14ac:dyDescent="0.4">
      <c r="B366" s="25"/>
      <c r="E366" s="26"/>
      <c r="G366" s="54"/>
      <c r="N366" s="42"/>
    </row>
    <row r="367" spans="2:14" s="13" customFormat="1" x14ac:dyDescent="0.4">
      <c r="B367" s="25"/>
      <c r="E367" s="26"/>
      <c r="G367" s="54"/>
      <c r="N367" s="42"/>
    </row>
    <row r="368" spans="2:14" s="13" customFormat="1" x14ac:dyDescent="0.4">
      <c r="B368" s="25"/>
      <c r="E368" s="26"/>
      <c r="G368" s="54"/>
      <c r="N368" s="42"/>
    </row>
    <row r="369" spans="2:14" s="13" customFormat="1" x14ac:dyDescent="0.4">
      <c r="B369" s="25"/>
      <c r="E369" s="26"/>
      <c r="G369" s="54"/>
      <c r="N369" s="42"/>
    </row>
    <row r="370" spans="2:14" s="13" customFormat="1" x14ac:dyDescent="0.4">
      <c r="B370" s="25"/>
      <c r="E370" s="26"/>
      <c r="G370" s="54"/>
      <c r="N370" s="42"/>
    </row>
    <row r="371" spans="2:14" s="13" customFormat="1" x14ac:dyDescent="0.4">
      <c r="B371" s="25"/>
      <c r="E371" s="26"/>
      <c r="G371" s="54"/>
      <c r="N371" s="42"/>
    </row>
    <row r="372" spans="2:14" s="13" customFormat="1" x14ac:dyDescent="0.4">
      <c r="B372" s="25"/>
      <c r="E372" s="26"/>
      <c r="G372" s="54"/>
      <c r="N372" s="42"/>
    </row>
    <row r="373" spans="2:14" s="13" customFormat="1" x14ac:dyDescent="0.4">
      <c r="B373" s="25"/>
      <c r="E373" s="26"/>
      <c r="G373" s="54"/>
      <c r="N373" s="42"/>
    </row>
    <row r="374" spans="2:14" s="13" customFormat="1" x14ac:dyDescent="0.4">
      <c r="B374" s="25"/>
      <c r="E374" s="26"/>
      <c r="G374" s="54"/>
      <c r="N374" s="42"/>
    </row>
    <row r="375" spans="2:14" s="13" customFormat="1" x14ac:dyDescent="0.4">
      <c r="B375" s="25"/>
      <c r="E375" s="26"/>
      <c r="G375" s="54"/>
      <c r="N375" s="42"/>
    </row>
    <row r="376" spans="2:14" s="13" customFormat="1" x14ac:dyDescent="0.4">
      <c r="B376" s="25"/>
      <c r="E376" s="26"/>
      <c r="G376" s="54"/>
      <c r="N376" s="42"/>
    </row>
    <row r="377" spans="2:14" s="13" customFormat="1" x14ac:dyDescent="0.4">
      <c r="B377" s="25"/>
      <c r="E377" s="26"/>
      <c r="G377" s="54"/>
      <c r="N377" s="42"/>
    </row>
    <row r="378" spans="2:14" s="13" customFormat="1" x14ac:dyDescent="0.4">
      <c r="B378" s="25"/>
      <c r="E378" s="26"/>
      <c r="G378" s="54"/>
      <c r="N378" s="42"/>
    </row>
    <row r="379" spans="2:14" s="13" customFormat="1" x14ac:dyDescent="0.4">
      <c r="B379" s="25"/>
      <c r="E379" s="26"/>
      <c r="G379" s="54"/>
      <c r="N379" s="42"/>
    </row>
    <row r="380" spans="2:14" s="13" customFormat="1" x14ac:dyDescent="0.4">
      <c r="B380" s="25"/>
      <c r="E380" s="26"/>
      <c r="G380" s="54"/>
      <c r="N380" s="42"/>
    </row>
    <row r="381" spans="2:14" s="13" customFormat="1" x14ac:dyDescent="0.4">
      <c r="B381" s="25"/>
      <c r="E381" s="26"/>
      <c r="G381" s="54"/>
      <c r="N381" s="42"/>
    </row>
    <row r="382" spans="2:14" s="13" customFormat="1" x14ac:dyDescent="0.4">
      <c r="B382" s="25"/>
      <c r="E382" s="26"/>
      <c r="G382" s="54"/>
      <c r="N382" s="42"/>
    </row>
    <row r="383" spans="2:14" s="13" customFormat="1" x14ac:dyDescent="0.4">
      <c r="B383" s="25"/>
      <c r="E383" s="26"/>
      <c r="G383" s="54"/>
      <c r="N383" s="42"/>
    </row>
    <row r="384" spans="2:14" s="13" customFormat="1" x14ac:dyDescent="0.4">
      <c r="B384" s="25"/>
      <c r="E384" s="26"/>
      <c r="G384" s="54"/>
      <c r="N384" s="42"/>
    </row>
    <row r="385" spans="2:14" s="13" customFormat="1" x14ac:dyDescent="0.4">
      <c r="B385" s="25"/>
      <c r="E385" s="26"/>
      <c r="G385" s="54"/>
      <c r="N385" s="42"/>
    </row>
    <row r="386" spans="2:14" s="13" customFormat="1" x14ac:dyDescent="0.4">
      <c r="B386" s="25"/>
      <c r="E386" s="26"/>
      <c r="G386" s="54"/>
      <c r="N386" s="42"/>
    </row>
    <row r="387" spans="2:14" s="13" customFormat="1" x14ac:dyDescent="0.4">
      <c r="B387" s="25"/>
      <c r="E387" s="26"/>
      <c r="G387" s="54"/>
      <c r="N387" s="42"/>
    </row>
    <row r="388" spans="2:14" s="13" customFormat="1" x14ac:dyDescent="0.4">
      <c r="B388" s="25"/>
      <c r="E388" s="26"/>
      <c r="G388" s="54"/>
      <c r="N388" s="42"/>
    </row>
    <row r="389" spans="2:14" s="13" customFormat="1" x14ac:dyDescent="0.4">
      <c r="B389" s="25"/>
      <c r="E389" s="26"/>
      <c r="G389" s="54"/>
      <c r="N389" s="42"/>
    </row>
    <row r="390" spans="2:14" s="13" customFormat="1" x14ac:dyDescent="0.4">
      <c r="B390" s="25"/>
      <c r="E390" s="26"/>
      <c r="G390" s="54"/>
      <c r="N390" s="42"/>
    </row>
    <row r="391" spans="2:14" s="13" customFormat="1" x14ac:dyDescent="0.4">
      <c r="B391" s="25"/>
      <c r="E391" s="26"/>
      <c r="G391" s="54"/>
      <c r="N391" s="42"/>
    </row>
    <row r="392" spans="2:14" s="13" customFormat="1" x14ac:dyDescent="0.4">
      <c r="B392" s="25"/>
      <c r="E392" s="26"/>
      <c r="G392" s="54"/>
      <c r="N392" s="42"/>
    </row>
    <row r="393" spans="2:14" s="13" customFormat="1" x14ac:dyDescent="0.4">
      <c r="B393" s="25"/>
      <c r="E393" s="26"/>
      <c r="G393" s="54"/>
      <c r="N393" s="42"/>
    </row>
    <row r="394" spans="2:14" s="13" customFormat="1" x14ac:dyDescent="0.4">
      <c r="B394" s="25"/>
      <c r="E394" s="26"/>
      <c r="G394" s="54"/>
      <c r="N394" s="42"/>
    </row>
    <row r="395" spans="2:14" s="13" customFormat="1" x14ac:dyDescent="0.4">
      <c r="B395" s="25"/>
      <c r="E395" s="26"/>
      <c r="G395" s="54"/>
      <c r="N395" s="42"/>
    </row>
    <row r="396" spans="2:14" s="13" customFormat="1" x14ac:dyDescent="0.4">
      <c r="B396" s="25"/>
      <c r="E396" s="26"/>
      <c r="G396" s="54"/>
      <c r="N396" s="42"/>
    </row>
    <row r="397" spans="2:14" s="13" customFormat="1" x14ac:dyDescent="0.4">
      <c r="B397" s="25"/>
      <c r="E397" s="26"/>
      <c r="G397" s="54"/>
      <c r="N397" s="42"/>
    </row>
    <row r="398" spans="2:14" s="13" customFormat="1" x14ac:dyDescent="0.4">
      <c r="B398" s="25"/>
      <c r="E398" s="26"/>
      <c r="G398" s="54"/>
      <c r="N398" s="42"/>
    </row>
    <row r="399" spans="2:14" s="13" customFormat="1" x14ac:dyDescent="0.4">
      <c r="B399" s="25"/>
      <c r="E399" s="26"/>
      <c r="G399" s="54"/>
      <c r="N399" s="42"/>
    </row>
    <row r="400" spans="2:14" s="13" customFormat="1" x14ac:dyDescent="0.4">
      <c r="B400" s="25"/>
      <c r="E400" s="26"/>
      <c r="G400" s="54"/>
      <c r="N400" s="42"/>
    </row>
    <row r="401" spans="2:14" s="13" customFormat="1" x14ac:dyDescent="0.4">
      <c r="B401" s="25"/>
      <c r="E401" s="26"/>
      <c r="G401" s="54"/>
      <c r="N401" s="42"/>
    </row>
    <row r="402" spans="2:14" s="13" customFormat="1" x14ac:dyDescent="0.4">
      <c r="B402" s="25"/>
      <c r="E402" s="26"/>
      <c r="G402" s="54"/>
      <c r="N402" s="42"/>
    </row>
    <row r="403" spans="2:14" s="13" customFormat="1" x14ac:dyDescent="0.4">
      <c r="B403" s="25"/>
      <c r="E403" s="26"/>
      <c r="G403" s="54"/>
      <c r="N403" s="42"/>
    </row>
    <row r="404" spans="2:14" s="13" customFormat="1" x14ac:dyDescent="0.4">
      <c r="B404" s="25"/>
      <c r="E404" s="26"/>
      <c r="G404" s="54"/>
      <c r="N404" s="42"/>
    </row>
    <row r="405" spans="2:14" s="13" customFormat="1" x14ac:dyDescent="0.4">
      <c r="B405" s="25"/>
      <c r="E405" s="26"/>
      <c r="G405" s="54"/>
      <c r="N405" s="42"/>
    </row>
    <row r="406" spans="2:14" s="13" customFormat="1" x14ac:dyDescent="0.4">
      <c r="B406" s="25"/>
      <c r="E406" s="26"/>
      <c r="G406" s="54"/>
      <c r="N406" s="42"/>
    </row>
    <row r="407" spans="2:14" s="13" customFormat="1" x14ac:dyDescent="0.4">
      <c r="B407" s="25"/>
      <c r="E407" s="26"/>
      <c r="G407" s="54"/>
      <c r="N407" s="42"/>
    </row>
    <row r="408" spans="2:14" s="13" customFormat="1" x14ac:dyDescent="0.4">
      <c r="B408" s="25"/>
      <c r="E408" s="26"/>
      <c r="G408" s="54"/>
      <c r="N408" s="42"/>
    </row>
    <row r="409" spans="2:14" s="13" customFormat="1" x14ac:dyDescent="0.4">
      <c r="B409" s="25"/>
      <c r="E409" s="26"/>
      <c r="G409" s="54"/>
      <c r="N409" s="42"/>
    </row>
    <row r="410" spans="2:14" s="13" customFormat="1" x14ac:dyDescent="0.4">
      <c r="B410" s="25"/>
      <c r="E410" s="26"/>
      <c r="G410" s="54"/>
      <c r="N410" s="42"/>
    </row>
    <row r="411" spans="2:14" s="13" customFormat="1" x14ac:dyDescent="0.4">
      <c r="B411" s="25"/>
      <c r="E411" s="26"/>
      <c r="G411" s="54"/>
      <c r="N411" s="42"/>
    </row>
    <row r="412" spans="2:14" s="13" customFormat="1" x14ac:dyDescent="0.4">
      <c r="B412" s="25"/>
      <c r="E412" s="26"/>
      <c r="G412" s="54"/>
      <c r="N412" s="42"/>
    </row>
    <row r="413" spans="2:14" s="13" customFormat="1" x14ac:dyDescent="0.4">
      <c r="B413" s="25"/>
      <c r="E413" s="26"/>
      <c r="G413" s="54"/>
      <c r="N413" s="42"/>
    </row>
    <row r="414" spans="2:14" s="13" customFormat="1" x14ac:dyDescent="0.4">
      <c r="B414" s="25"/>
      <c r="E414" s="26"/>
      <c r="G414" s="54"/>
      <c r="N414" s="42"/>
    </row>
    <row r="415" spans="2:14" s="13" customFormat="1" x14ac:dyDescent="0.4">
      <c r="B415" s="25"/>
      <c r="E415" s="26"/>
      <c r="G415" s="54"/>
      <c r="N415" s="42"/>
    </row>
    <row r="416" spans="2:14" s="13" customFormat="1" x14ac:dyDescent="0.4">
      <c r="B416" s="25"/>
      <c r="E416" s="26"/>
      <c r="G416" s="54"/>
      <c r="N416" s="42"/>
    </row>
    <row r="417" spans="2:14" s="13" customFormat="1" x14ac:dyDescent="0.4">
      <c r="B417" s="25"/>
      <c r="E417" s="26"/>
      <c r="G417" s="54"/>
      <c r="N417" s="42"/>
    </row>
    <row r="418" spans="2:14" s="13" customFormat="1" x14ac:dyDescent="0.4">
      <c r="B418" s="25"/>
      <c r="E418" s="26"/>
      <c r="G418" s="54"/>
      <c r="N418" s="42"/>
    </row>
    <row r="419" spans="2:14" s="13" customFormat="1" x14ac:dyDescent="0.4">
      <c r="B419" s="25"/>
      <c r="E419" s="26"/>
      <c r="G419" s="54"/>
      <c r="N419" s="42"/>
    </row>
    <row r="420" spans="2:14" s="13" customFormat="1" x14ac:dyDescent="0.4">
      <c r="B420" s="25"/>
      <c r="E420" s="26"/>
      <c r="G420" s="54"/>
      <c r="N420" s="42"/>
    </row>
    <row r="421" spans="2:14" s="13" customFormat="1" x14ac:dyDescent="0.4">
      <c r="B421" s="25"/>
      <c r="E421" s="26"/>
      <c r="G421" s="54"/>
      <c r="N421" s="42"/>
    </row>
    <row r="422" spans="2:14" s="13" customFormat="1" x14ac:dyDescent="0.4">
      <c r="B422" s="25"/>
      <c r="E422" s="26"/>
      <c r="G422" s="54"/>
      <c r="N422" s="42"/>
    </row>
    <row r="423" spans="2:14" s="13" customFormat="1" x14ac:dyDescent="0.4">
      <c r="B423" s="25"/>
      <c r="E423" s="26"/>
      <c r="G423" s="54"/>
      <c r="N423" s="42"/>
    </row>
    <row r="424" spans="2:14" s="13" customFormat="1" x14ac:dyDescent="0.4">
      <c r="B424" s="25"/>
      <c r="E424" s="26"/>
      <c r="G424" s="54"/>
      <c r="N424" s="42"/>
    </row>
    <row r="425" spans="2:14" s="13" customFormat="1" x14ac:dyDescent="0.4">
      <c r="B425" s="25"/>
      <c r="E425" s="26"/>
      <c r="G425" s="54"/>
      <c r="N425" s="42"/>
    </row>
    <row r="426" spans="2:14" s="13" customFormat="1" x14ac:dyDescent="0.4">
      <c r="B426" s="25"/>
      <c r="E426" s="26"/>
      <c r="G426" s="54"/>
      <c r="N426" s="42"/>
    </row>
    <row r="427" spans="2:14" s="13" customFormat="1" x14ac:dyDescent="0.4">
      <c r="B427" s="25"/>
      <c r="E427" s="26"/>
      <c r="G427" s="54"/>
      <c r="N427" s="42"/>
    </row>
    <row r="428" spans="2:14" s="13" customFormat="1" x14ac:dyDescent="0.4">
      <c r="B428" s="25"/>
      <c r="E428" s="26"/>
      <c r="G428" s="54"/>
      <c r="N428" s="42"/>
    </row>
    <row r="429" spans="2:14" s="13" customFormat="1" x14ac:dyDescent="0.4">
      <c r="B429" s="25"/>
      <c r="E429" s="26"/>
      <c r="G429" s="54"/>
      <c r="N429" s="42"/>
    </row>
    <row r="430" spans="2:14" s="13" customFormat="1" x14ac:dyDescent="0.4">
      <c r="B430" s="25"/>
      <c r="E430" s="26"/>
      <c r="G430" s="54"/>
      <c r="N430" s="42"/>
    </row>
    <row r="431" spans="2:14" s="13" customFormat="1" x14ac:dyDescent="0.4">
      <c r="B431" s="25"/>
      <c r="E431" s="26"/>
      <c r="G431" s="54"/>
      <c r="N431" s="42"/>
    </row>
    <row r="432" spans="2:14" s="13" customFormat="1" x14ac:dyDescent="0.4">
      <c r="B432" s="25"/>
      <c r="E432" s="26"/>
      <c r="G432" s="54"/>
      <c r="N432" s="42"/>
    </row>
    <row r="433" spans="2:14" s="13" customFormat="1" x14ac:dyDescent="0.4">
      <c r="B433" s="25"/>
      <c r="E433" s="26"/>
      <c r="G433" s="54"/>
      <c r="N433" s="42"/>
    </row>
    <row r="434" spans="2:14" s="13" customFormat="1" x14ac:dyDescent="0.4">
      <c r="B434" s="25"/>
      <c r="E434" s="26"/>
      <c r="G434" s="54"/>
      <c r="N434" s="42"/>
    </row>
    <row r="435" spans="2:14" s="13" customFormat="1" x14ac:dyDescent="0.4">
      <c r="B435" s="25"/>
      <c r="E435" s="26"/>
      <c r="G435" s="54"/>
      <c r="N435" s="42"/>
    </row>
    <row r="436" spans="2:14" s="13" customFormat="1" x14ac:dyDescent="0.4">
      <c r="B436" s="25"/>
      <c r="E436" s="26"/>
      <c r="G436" s="54"/>
      <c r="N436" s="42"/>
    </row>
    <row r="437" spans="2:14" s="13" customFormat="1" x14ac:dyDescent="0.4">
      <c r="B437" s="25"/>
      <c r="E437" s="26"/>
      <c r="G437" s="54"/>
      <c r="N437" s="42"/>
    </row>
    <row r="438" spans="2:14" s="13" customFormat="1" x14ac:dyDescent="0.4">
      <c r="B438" s="25"/>
      <c r="E438" s="26"/>
      <c r="G438" s="54"/>
      <c r="N438" s="42"/>
    </row>
    <row r="439" spans="2:14" s="13" customFormat="1" x14ac:dyDescent="0.4">
      <c r="B439" s="25"/>
      <c r="E439" s="26"/>
      <c r="G439" s="54"/>
      <c r="N439" s="42"/>
    </row>
    <row r="440" spans="2:14" s="13" customFormat="1" x14ac:dyDescent="0.4">
      <c r="B440" s="25"/>
      <c r="E440" s="26"/>
      <c r="G440" s="54"/>
      <c r="N440" s="42"/>
    </row>
    <row r="441" spans="2:14" s="13" customFormat="1" x14ac:dyDescent="0.4">
      <c r="B441" s="25"/>
      <c r="E441" s="26"/>
      <c r="G441" s="54"/>
      <c r="N441" s="42"/>
    </row>
    <row r="442" spans="2:14" s="13" customFormat="1" x14ac:dyDescent="0.4">
      <c r="B442" s="25"/>
      <c r="E442" s="26"/>
      <c r="G442" s="54"/>
      <c r="N442" s="42"/>
    </row>
    <row r="443" spans="2:14" s="13" customFormat="1" x14ac:dyDescent="0.4">
      <c r="B443" s="25"/>
      <c r="E443" s="26"/>
      <c r="G443" s="54"/>
      <c r="N443" s="42"/>
    </row>
    <row r="444" spans="2:14" s="13" customFormat="1" x14ac:dyDescent="0.4">
      <c r="B444" s="25"/>
      <c r="E444" s="26"/>
      <c r="G444" s="54"/>
      <c r="N444" s="42"/>
    </row>
    <row r="445" spans="2:14" s="13" customFormat="1" x14ac:dyDescent="0.4">
      <c r="B445" s="25"/>
      <c r="E445" s="26"/>
      <c r="G445" s="54"/>
      <c r="N445" s="42"/>
    </row>
    <row r="446" spans="2:14" s="13" customFormat="1" x14ac:dyDescent="0.4">
      <c r="B446" s="25"/>
      <c r="E446" s="26"/>
      <c r="G446" s="54"/>
      <c r="N446" s="42"/>
    </row>
    <row r="447" spans="2:14" s="13" customFormat="1" x14ac:dyDescent="0.4">
      <c r="B447" s="25"/>
      <c r="E447" s="26"/>
      <c r="G447" s="54"/>
      <c r="N447" s="42"/>
    </row>
    <row r="448" spans="2:14" s="13" customFormat="1" x14ac:dyDescent="0.4">
      <c r="B448" s="25"/>
      <c r="E448" s="26"/>
      <c r="G448" s="54"/>
      <c r="N448" s="42"/>
    </row>
    <row r="449" spans="2:14" s="13" customFormat="1" x14ac:dyDescent="0.4">
      <c r="B449" s="25"/>
      <c r="E449" s="26"/>
      <c r="G449" s="54"/>
      <c r="N449" s="42"/>
    </row>
    <row r="450" spans="2:14" s="13" customFormat="1" x14ac:dyDescent="0.4">
      <c r="B450" s="25"/>
      <c r="E450" s="26"/>
      <c r="G450" s="54"/>
      <c r="N450" s="42"/>
    </row>
    <row r="451" spans="2:14" s="13" customFormat="1" x14ac:dyDescent="0.4">
      <c r="B451" s="25"/>
      <c r="E451" s="26"/>
      <c r="G451" s="54"/>
      <c r="N451" s="42"/>
    </row>
    <row r="452" spans="2:14" s="13" customFormat="1" x14ac:dyDescent="0.4">
      <c r="B452" s="25"/>
      <c r="E452" s="26"/>
      <c r="G452" s="54"/>
      <c r="N452" s="42"/>
    </row>
    <row r="453" spans="2:14" s="13" customFormat="1" x14ac:dyDescent="0.4">
      <c r="B453" s="25"/>
      <c r="E453" s="26"/>
      <c r="G453" s="54"/>
      <c r="N453" s="42"/>
    </row>
    <row r="454" spans="2:14" s="13" customFormat="1" x14ac:dyDescent="0.4">
      <c r="B454" s="25"/>
      <c r="E454" s="26"/>
      <c r="G454" s="54"/>
      <c r="N454" s="42"/>
    </row>
    <row r="455" spans="2:14" s="13" customFormat="1" x14ac:dyDescent="0.4">
      <c r="B455" s="25"/>
      <c r="E455" s="26"/>
      <c r="G455" s="54"/>
      <c r="N455" s="42"/>
    </row>
    <row r="456" spans="2:14" s="13" customFormat="1" x14ac:dyDescent="0.4">
      <c r="B456" s="25"/>
      <c r="E456" s="26"/>
      <c r="G456" s="54"/>
      <c r="N456" s="42"/>
    </row>
    <row r="457" spans="2:14" s="13" customFormat="1" x14ac:dyDescent="0.4">
      <c r="B457" s="25"/>
      <c r="E457" s="26"/>
      <c r="G457" s="54"/>
      <c r="N457" s="42"/>
    </row>
    <row r="458" spans="2:14" s="13" customFormat="1" x14ac:dyDescent="0.4">
      <c r="B458" s="25"/>
      <c r="E458" s="26"/>
      <c r="G458" s="54"/>
      <c r="N458" s="42"/>
    </row>
    <row r="459" spans="2:14" s="13" customFormat="1" x14ac:dyDescent="0.4">
      <c r="B459" s="25"/>
      <c r="E459" s="26"/>
      <c r="G459" s="54"/>
      <c r="N459" s="42"/>
    </row>
    <row r="460" spans="2:14" s="13" customFormat="1" x14ac:dyDescent="0.4">
      <c r="B460" s="25"/>
      <c r="E460" s="26"/>
      <c r="G460" s="54"/>
      <c r="N460" s="42"/>
    </row>
    <row r="461" spans="2:14" s="13" customFormat="1" x14ac:dyDescent="0.4">
      <c r="B461" s="25"/>
      <c r="E461" s="26"/>
      <c r="G461" s="54"/>
      <c r="N461" s="42"/>
    </row>
    <row r="462" spans="2:14" s="13" customFormat="1" x14ac:dyDescent="0.4">
      <c r="B462" s="25"/>
      <c r="E462" s="26"/>
      <c r="G462" s="54"/>
      <c r="N462" s="42"/>
    </row>
    <row r="463" spans="2:14" s="13" customFormat="1" x14ac:dyDescent="0.4">
      <c r="B463" s="25"/>
      <c r="E463" s="26"/>
      <c r="G463" s="54"/>
      <c r="N463" s="42"/>
    </row>
    <row r="464" spans="2:14" s="13" customFormat="1" x14ac:dyDescent="0.4">
      <c r="B464" s="25"/>
      <c r="E464" s="26"/>
      <c r="G464" s="54"/>
      <c r="N464" s="42"/>
    </row>
    <row r="465" spans="2:14" s="13" customFormat="1" x14ac:dyDescent="0.4">
      <c r="B465" s="25"/>
      <c r="E465" s="26"/>
      <c r="G465" s="54"/>
      <c r="N465" s="42"/>
    </row>
    <row r="466" spans="2:14" s="13" customFormat="1" x14ac:dyDescent="0.4">
      <c r="B466" s="25"/>
      <c r="E466" s="26"/>
      <c r="G466" s="54"/>
      <c r="N466" s="42"/>
    </row>
    <row r="467" spans="2:14" s="13" customFormat="1" x14ac:dyDescent="0.4">
      <c r="B467" s="25"/>
      <c r="E467" s="26"/>
      <c r="G467" s="54"/>
      <c r="N467" s="42"/>
    </row>
    <row r="468" spans="2:14" s="13" customFormat="1" x14ac:dyDescent="0.4">
      <c r="B468" s="25"/>
      <c r="E468" s="26"/>
      <c r="G468" s="54"/>
      <c r="N468" s="42"/>
    </row>
    <row r="469" spans="2:14" s="13" customFormat="1" x14ac:dyDescent="0.4">
      <c r="B469" s="25"/>
      <c r="E469" s="26"/>
      <c r="G469" s="54"/>
      <c r="N469" s="42"/>
    </row>
    <row r="470" spans="2:14" s="13" customFormat="1" x14ac:dyDescent="0.4">
      <c r="B470" s="25"/>
      <c r="E470" s="26"/>
      <c r="G470" s="54"/>
      <c r="N470" s="42"/>
    </row>
    <row r="471" spans="2:14" s="13" customFormat="1" x14ac:dyDescent="0.4">
      <c r="B471" s="25"/>
      <c r="E471" s="26"/>
      <c r="G471" s="54"/>
      <c r="N471" s="42"/>
    </row>
    <row r="472" spans="2:14" s="13" customFormat="1" x14ac:dyDescent="0.4">
      <c r="B472" s="25"/>
      <c r="E472" s="26"/>
      <c r="G472" s="54"/>
      <c r="N472" s="42"/>
    </row>
    <row r="473" spans="2:14" s="13" customFormat="1" x14ac:dyDescent="0.4">
      <c r="B473" s="25"/>
      <c r="E473" s="26"/>
      <c r="G473" s="54"/>
      <c r="N473" s="42"/>
    </row>
    <row r="474" spans="2:14" s="13" customFormat="1" x14ac:dyDescent="0.4">
      <c r="B474" s="25"/>
      <c r="E474" s="26"/>
      <c r="G474" s="54"/>
      <c r="N474" s="42"/>
    </row>
    <row r="475" spans="2:14" s="13" customFormat="1" x14ac:dyDescent="0.4">
      <c r="B475" s="25"/>
      <c r="E475" s="26"/>
      <c r="G475" s="54"/>
      <c r="N475" s="42"/>
    </row>
    <row r="476" spans="2:14" s="13" customFormat="1" x14ac:dyDescent="0.4">
      <c r="B476" s="25"/>
      <c r="E476" s="26"/>
      <c r="G476" s="54"/>
      <c r="N476" s="42"/>
    </row>
    <row r="477" spans="2:14" s="13" customFormat="1" x14ac:dyDescent="0.4">
      <c r="B477" s="25"/>
      <c r="E477" s="26"/>
      <c r="G477" s="54"/>
      <c r="N477" s="42"/>
    </row>
    <row r="478" spans="2:14" s="13" customFormat="1" x14ac:dyDescent="0.4">
      <c r="B478" s="25"/>
      <c r="E478" s="26"/>
      <c r="G478" s="54"/>
      <c r="N478" s="42"/>
    </row>
    <row r="479" spans="2:14" s="13" customFormat="1" x14ac:dyDescent="0.4">
      <c r="B479" s="25"/>
      <c r="E479" s="26"/>
      <c r="G479" s="54"/>
      <c r="N479" s="42"/>
    </row>
    <row r="480" spans="2:14" s="13" customFormat="1" x14ac:dyDescent="0.4">
      <c r="B480" s="25"/>
      <c r="E480" s="26"/>
      <c r="G480" s="54"/>
      <c r="N480" s="42"/>
    </row>
    <row r="481" spans="2:14" s="13" customFormat="1" x14ac:dyDescent="0.4">
      <c r="B481" s="25"/>
      <c r="E481" s="26"/>
      <c r="G481" s="54"/>
      <c r="N481" s="42"/>
    </row>
    <row r="482" spans="2:14" s="13" customFormat="1" x14ac:dyDescent="0.4">
      <c r="B482" s="25"/>
      <c r="E482" s="26"/>
      <c r="G482" s="54"/>
      <c r="N482" s="42"/>
    </row>
    <row r="483" spans="2:14" s="13" customFormat="1" x14ac:dyDescent="0.4">
      <c r="B483" s="25"/>
      <c r="E483" s="26"/>
      <c r="G483" s="54"/>
      <c r="N483" s="42"/>
    </row>
    <row r="484" spans="2:14" s="13" customFormat="1" x14ac:dyDescent="0.4">
      <c r="B484" s="25"/>
      <c r="E484" s="26"/>
      <c r="G484" s="54"/>
      <c r="N484" s="42"/>
    </row>
    <row r="485" spans="2:14" s="13" customFormat="1" x14ac:dyDescent="0.4">
      <c r="B485" s="25"/>
      <c r="E485" s="26"/>
      <c r="G485" s="54"/>
      <c r="N485" s="42"/>
    </row>
    <row r="486" spans="2:14" s="13" customFormat="1" x14ac:dyDescent="0.4">
      <c r="B486" s="25"/>
      <c r="E486" s="26"/>
      <c r="G486" s="54"/>
      <c r="N486" s="42"/>
    </row>
    <row r="487" spans="2:14" s="13" customFormat="1" x14ac:dyDescent="0.4">
      <c r="B487" s="25"/>
      <c r="E487" s="26"/>
      <c r="G487" s="54"/>
      <c r="N487" s="42"/>
    </row>
    <row r="488" spans="2:14" s="13" customFormat="1" x14ac:dyDescent="0.4">
      <c r="B488" s="25"/>
      <c r="E488" s="26"/>
      <c r="G488" s="54"/>
      <c r="N488" s="42"/>
    </row>
    <row r="489" spans="2:14" s="13" customFormat="1" x14ac:dyDescent="0.4">
      <c r="B489" s="25"/>
      <c r="E489" s="26"/>
      <c r="G489" s="54"/>
      <c r="N489" s="42"/>
    </row>
    <row r="490" spans="2:14" s="13" customFormat="1" x14ac:dyDescent="0.4">
      <c r="B490" s="25"/>
      <c r="E490" s="26"/>
      <c r="G490" s="54"/>
      <c r="N490" s="42"/>
    </row>
    <row r="491" spans="2:14" s="13" customFormat="1" x14ac:dyDescent="0.4">
      <c r="B491" s="25"/>
      <c r="E491" s="26"/>
      <c r="G491" s="54"/>
      <c r="N491" s="42"/>
    </row>
    <row r="492" spans="2:14" s="13" customFormat="1" x14ac:dyDescent="0.4">
      <c r="B492" s="25"/>
      <c r="E492" s="26"/>
      <c r="G492" s="54"/>
      <c r="N492" s="42"/>
    </row>
    <row r="493" spans="2:14" s="13" customFormat="1" x14ac:dyDescent="0.4">
      <c r="B493" s="25"/>
      <c r="E493" s="26"/>
      <c r="G493" s="54"/>
      <c r="N493" s="42"/>
    </row>
    <row r="494" spans="2:14" s="13" customFormat="1" x14ac:dyDescent="0.4">
      <c r="B494" s="25"/>
      <c r="E494" s="26"/>
      <c r="G494" s="54"/>
      <c r="N494" s="42"/>
    </row>
    <row r="495" spans="2:14" s="13" customFormat="1" x14ac:dyDescent="0.4">
      <c r="B495" s="25"/>
      <c r="E495" s="26"/>
      <c r="G495" s="54"/>
      <c r="N495" s="42"/>
    </row>
    <row r="496" spans="2:14" s="13" customFormat="1" x14ac:dyDescent="0.4">
      <c r="B496" s="25"/>
      <c r="E496" s="26"/>
      <c r="G496" s="54"/>
      <c r="N496" s="42"/>
    </row>
    <row r="497" spans="2:14" s="13" customFormat="1" x14ac:dyDescent="0.4">
      <c r="B497" s="25"/>
      <c r="E497" s="26"/>
      <c r="G497" s="54"/>
      <c r="N497" s="42"/>
    </row>
    <row r="498" spans="2:14" s="13" customFormat="1" x14ac:dyDescent="0.4">
      <c r="B498" s="25"/>
      <c r="E498" s="26"/>
      <c r="G498" s="54"/>
      <c r="N498" s="42"/>
    </row>
    <row r="499" spans="2:14" s="13" customFormat="1" x14ac:dyDescent="0.4">
      <c r="B499" s="25"/>
      <c r="E499" s="26"/>
      <c r="G499" s="54"/>
      <c r="N499" s="42"/>
    </row>
    <row r="500" spans="2:14" s="13" customFormat="1" x14ac:dyDescent="0.4">
      <c r="B500" s="25"/>
      <c r="E500" s="26"/>
      <c r="G500" s="54"/>
      <c r="N500" s="42"/>
    </row>
    <row r="501" spans="2:14" s="13" customFormat="1" x14ac:dyDescent="0.4">
      <c r="B501" s="25"/>
      <c r="E501" s="26"/>
      <c r="G501" s="54"/>
      <c r="N501" s="42"/>
    </row>
    <row r="502" spans="2:14" s="13" customFormat="1" x14ac:dyDescent="0.4">
      <c r="B502" s="25"/>
      <c r="E502" s="26"/>
      <c r="G502" s="54"/>
      <c r="N502" s="42"/>
    </row>
    <row r="503" spans="2:14" s="13" customFormat="1" x14ac:dyDescent="0.4">
      <c r="B503" s="25"/>
      <c r="E503" s="26"/>
      <c r="G503" s="54"/>
      <c r="N503" s="42"/>
    </row>
    <row r="504" spans="2:14" s="13" customFormat="1" x14ac:dyDescent="0.4">
      <c r="B504" s="25"/>
      <c r="E504" s="26"/>
      <c r="G504" s="54"/>
      <c r="N504" s="42"/>
    </row>
    <row r="505" spans="2:14" s="13" customFormat="1" x14ac:dyDescent="0.4">
      <c r="B505" s="25"/>
      <c r="E505" s="26"/>
      <c r="G505" s="54"/>
      <c r="N505" s="42"/>
    </row>
    <row r="506" spans="2:14" s="13" customFormat="1" x14ac:dyDescent="0.4">
      <c r="B506" s="25"/>
      <c r="E506" s="26"/>
      <c r="G506" s="54"/>
      <c r="N506" s="42"/>
    </row>
    <row r="507" spans="2:14" s="13" customFormat="1" x14ac:dyDescent="0.4">
      <c r="B507" s="25"/>
      <c r="E507" s="26"/>
      <c r="G507" s="54"/>
      <c r="N507" s="42"/>
    </row>
    <row r="508" spans="2:14" s="13" customFormat="1" x14ac:dyDescent="0.4">
      <c r="B508" s="25"/>
      <c r="E508" s="26"/>
      <c r="G508" s="54"/>
      <c r="N508" s="42"/>
    </row>
    <row r="509" spans="2:14" s="13" customFormat="1" x14ac:dyDescent="0.4">
      <c r="B509" s="25"/>
      <c r="E509" s="26"/>
      <c r="G509" s="54"/>
      <c r="N509" s="42"/>
    </row>
    <row r="510" spans="2:14" s="13" customFormat="1" x14ac:dyDescent="0.4">
      <c r="B510" s="25"/>
      <c r="E510" s="26"/>
      <c r="G510" s="54"/>
      <c r="N510" s="42"/>
    </row>
    <row r="511" spans="2:14" s="13" customFormat="1" x14ac:dyDescent="0.4">
      <c r="B511" s="25"/>
      <c r="E511" s="26"/>
      <c r="G511" s="54"/>
      <c r="N511" s="42"/>
    </row>
    <row r="512" spans="2:14" s="13" customFormat="1" x14ac:dyDescent="0.4">
      <c r="B512" s="25"/>
      <c r="E512" s="26"/>
      <c r="G512" s="54"/>
      <c r="N512" s="42"/>
    </row>
    <row r="513" spans="2:14" s="13" customFormat="1" x14ac:dyDescent="0.4">
      <c r="B513" s="25"/>
      <c r="E513" s="26"/>
      <c r="G513" s="54"/>
      <c r="N513" s="42"/>
    </row>
    <row r="514" spans="2:14" s="13" customFormat="1" x14ac:dyDescent="0.4">
      <c r="B514" s="25"/>
      <c r="E514" s="26"/>
      <c r="G514" s="54"/>
      <c r="N514" s="42"/>
    </row>
    <row r="515" spans="2:14" s="13" customFormat="1" x14ac:dyDescent="0.4">
      <c r="B515" s="25"/>
      <c r="E515" s="26"/>
      <c r="G515" s="54"/>
      <c r="N515" s="42"/>
    </row>
    <row r="516" spans="2:14" s="13" customFormat="1" x14ac:dyDescent="0.4">
      <c r="B516" s="25"/>
      <c r="E516" s="26"/>
      <c r="G516" s="54"/>
      <c r="N516" s="42"/>
    </row>
    <row r="517" spans="2:14" s="13" customFormat="1" x14ac:dyDescent="0.4">
      <c r="B517" s="25"/>
      <c r="E517" s="26"/>
      <c r="G517" s="54"/>
      <c r="N517" s="42"/>
    </row>
    <row r="518" spans="2:14" s="13" customFormat="1" x14ac:dyDescent="0.4">
      <c r="B518" s="25"/>
      <c r="E518" s="26"/>
      <c r="G518" s="54"/>
      <c r="N518" s="42"/>
    </row>
    <row r="519" spans="2:14" s="13" customFormat="1" x14ac:dyDescent="0.4">
      <c r="B519" s="25"/>
      <c r="E519" s="26"/>
      <c r="G519" s="54"/>
      <c r="N519" s="42"/>
    </row>
    <row r="520" spans="2:14" s="13" customFormat="1" x14ac:dyDescent="0.4">
      <c r="B520" s="25"/>
      <c r="E520" s="26"/>
      <c r="G520" s="54"/>
      <c r="N520" s="42"/>
    </row>
    <row r="521" spans="2:14" s="13" customFormat="1" x14ac:dyDescent="0.4">
      <c r="B521" s="25"/>
      <c r="E521" s="26"/>
      <c r="G521" s="54"/>
      <c r="N521" s="42"/>
    </row>
    <row r="522" spans="2:14" s="13" customFormat="1" x14ac:dyDescent="0.4">
      <c r="B522" s="25"/>
      <c r="E522" s="26"/>
      <c r="G522" s="54"/>
      <c r="N522" s="42"/>
    </row>
    <row r="523" spans="2:14" s="13" customFormat="1" x14ac:dyDescent="0.4">
      <c r="B523" s="25"/>
      <c r="E523" s="26"/>
      <c r="G523" s="54"/>
      <c r="N523" s="42"/>
    </row>
    <row r="524" spans="2:14" s="13" customFormat="1" x14ac:dyDescent="0.4">
      <c r="B524" s="25"/>
      <c r="E524" s="26"/>
      <c r="G524" s="54"/>
      <c r="N524" s="42"/>
    </row>
    <row r="525" spans="2:14" s="13" customFormat="1" x14ac:dyDescent="0.4">
      <c r="B525" s="25"/>
      <c r="E525" s="26"/>
      <c r="G525" s="54"/>
      <c r="N525" s="42"/>
    </row>
    <row r="526" spans="2:14" s="13" customFormat="1" x14ac:dyDescent="0.4">
      <c r="B526" s="25"/>
      <c r="E526" s="26"/>
      <c r="G526" s="54"/>
      <c r="N526" s="42"/>
    </row>
    <row r="527" spans="2:14" s="13" customFormat="1" x14ac:dyDescent="0.4">
      <c r="B527" s="25"/>
      <c r="E527" s="26"/>
      <c r="G527" s="54"/>
      <c r="N527" s="42"/>
    </row>
    <row r="528" spans="2:14" s="13" customFormat="1" x14ac:dyDescent="0.4">
      <c r="B528" s="25"/>
      <c r="E528" s="26"/>
      <c r="G528" s="54"/>
      <c r="N528" s="42"/>
    </row>
    <row r="529" spans="2:14" s="13" customFormat="1" x14ac:dyDescent="0.4">
      <c r="B529" s="25"/>
      <c r="E529" s="26"/>
      <c r="G529" s="54"/>
      <c r="N529" s="42"/>
    </row>
    <row r="530" spans="2:14" s="13" customFormat="1" x14ac:dyDescent="0.4">
      <c r="B530" s="25"/>
      <c r="E530" s="26"/>
      <c r="G530" s="54"/>
      <c r="N530" s="42"/>
    </row>
    <row r="531" spans="2:14" s="13" customFormat="1" x14ac:dyDescent="0.4">
      <c r="B531" s="25"/>
      <c r="E531" s="26"/>
      <c r="G531" s="54"/>
      <c r="N531" s="42"/>
    </row>
    <row r="532" spans="2:14" s="13" customFormat="1" x14ac:dyDescent="0.4">
      <c r="B532" s="25"/>
      <c r="E532" s="26"/>
      <c r="G532" s="54"/>
      <c r="N532" s="42"/>
    </row>
    <row r="533" spans="2:14" s="13" customFormat="1" x14ac:dyDescent="0.4">
      <c r="B533" s="25"/>
      <c r="E533" s="26"/>
      <c r="G533" s="54"/>
      <c r="N533" s="42"/>
    </row>
    <row r="534" spans="2:14" s="13" customFormat="1" x14ac:dyDescent="0.4">
      <c r="B534" s="25"/>
      <c r="E534" s="26"/>
      <c r="G534" s="54"/>
      <c r="N534" s="42"/>
    </row>
    <row r="535" spans="2:14" s="13" customFormat="1" x14ac:dyDescent="0.4">
      <c r="B535" s="25"/>
      <c r="E535" s="26"/>
      <c r="G535" s="54"/>
      <c r="N535" s="42"/>
    </row>
    <row r="536" spans="2:14" s="13" customFormat="1" x14ac:dyDescent="0.4">
      <c r="B536" s="25"/>
      <c r="E536" s="26"/>
      <c r="G536" s="54"/>
      <c r="N536" s="42"/>
    </row>
    <row r="537" spans="2:14" s="13" customFormat="1" x14ac:dyDescent="0.4">
      <c r="B537" s="25"/>
      <c r="E537" s="26"/>
      <c r="G537" s="54"/>
      <c r="N537" s="42"/>
    </row>
    <row r="538" spans="2:14" s="13" customFormat="1" x14ac:dyDescent="0.4">
      <c r="B538" s="25"/>
      <c r="E538" s="26"/>
      <c r="G538" s="54"/>
      <c r="N538" s="42"/>
    </row>
    <row r="539" spans="2:14" s="13" customFormat="1" x14ac:dyDescent="0.4">
      <c r="B539" s="25"/>
      <c r="E539" s="26"/>
      <c r="G539" s="54"/>
      <c r="N539" s="42"/>
    </row>
    <row r="540" spans="2:14" s="13" customFormat="1" x14ac:dyDescent="0.4">
      <c r="B540" s="25"/>
      <c r="E540" s="26"/>
      <c r="G540" s="54"/>
      <c r="N540" s="42"/>
    </row>
    <row r="541" spans="2:14" s="13" customFormat="1" x14ac:dyDescent="0.4">
      <c r="B541" s="25"/>
      <c r="E541" s="26"/>
      <c r="G541" s="54"/>
      <c r="N541" s="42"/>
    </row>
    <row r="542" spans="2:14" s="13" customFormat="1" x14ac:dyDescent="0.4">
      <c r="B542" s="25"/>
      <c r="E542" s="26"/>
      <c r="G542" s="54"/>
      <c r="N542" s="42"/>
    </row>
    <row r="543" spans="2:14" s="13" customFormat="1" x14ac:dyDescent="0.4">
      <c r="B543" s="25"/>
      <c r="E543" s="26"/>
      <c r="G543" s="54"/>
      <c r="N543" s="42"/>
    </row>
    <row r="544" spans="2:14" s="13" customFormat="1" x14ac:dyDescent="0.4">
      <c r="B544" s="25"/>
      <c r="E544" s="26"/>
      <c r="G544" s="54"/>
      <c r="N544" s="42"/>
    </row>
    <row r="545" spans="2:14" s="13" customFormat="1" x14ac:dyDescent="0.4">
      <c r="B545" s="25"/>
      <c r="E545" s="26"/>
      <c r="G545" s="54"/>
      <c r="N545" s="42"/>
    </row>
    <row r="546" spans="2:14" s="13" customFormat="1" x14ac:dyDescent="0.4">
      <c r="B546" s="25"/>
      <c r="E546" s="26"/>
      <c r="G546" s="54"/>
      <c r="N546" s="42"/>
    </row>
    <row r="547" spans="2:14" s="13" customFormat="1" x14ac:dyDescent="0.4">
      <c r="B547" s="25"/>
      <c r="E547" s="26"/>
      <c r="G547" s="54"/>
      <c r="N547" s="42"/>
    </row>
    <row r="548" spans="2:14" s="13" customFormat="1" x14ac:dyDescent="0.4">
      <c r="B548" s="25"/>
      <c r="E548" s="26"/>
      <c r="G548" s="54"/>
      <c r="N548" s="42"/>
    </row>
    <row r="549" spans="2:14" s="13" customFormat="1" x14ac:dyDescent="0.4">
      <c r="B549" s="25"/>
      <c r="E549" s="26"/>
      <c r="G549" s="54"/>
      <c r="N549" s="42"/>
    </row>
    <row r="550" spans="2:14" s="13" customFormat="1" x14ac:dyDescent="0.4">
      <c r="B550" s="25"/>
      <c r="E550" s="26"/>
      <c r="G550" s="54"/>
      <c r="N550" s="42"/>
    </row>
    <row r="551" spans="2:14" s="13" customFormat="1" x14ac:dyDescent="0.4">
      <c r="B551" s="25"/>
      <c r="E551" s="26"/>
      <c r="G551" s="54"/>
      <c r="N551" s="42"/>
    </row>
    <row r="552" spans="2:14" s="13" customFormat="1" x14ac:dyDescent="0.4">
      <c r="B552" s="25"/>
      <c r="E552" s="26"/>
      <c r="G552" s="54"/>
      <c r="N552" s="42"/>
    </row>
    <row r="553" spans="2:14" s="13" customFormat="1" x14ac:dyDescent="0.4">
      <c r="B553" s="25"/>
      <c r="E553" s="26"/>
      <c r="G553" s="54"/>
      <c r="N553" s="42"/>
    </row>
    <row r="554" spans="2:14" s="13" customFormat="1" x14ac:dyDescent="0.4">
      <c r="B554" s="25"/>
      <c r="E554" s="26"/>
      <c r="G554" s="54"/>
      <c r="N554" s="42"/>
    </row>
    <row r="555" spans="2:14" s="13" customFormat="1" x14ac:dyDescent="0.4">
      <c r="B555" s="25"/>
      <c r="E555" s="26"/>
      <c r="G555" s="54"/>
      <c r="N555" s="42"/>
    </row>
    <row r="556" spans="2:14" s="13" customFormat="1" x14ac:dyDescent="0.4">
      <c r="B556" s="25"/>
      <c r="E556" s="26"/>
      <c r="G556" s="54"/>
      <c r="N556" s="42"/>
    </row>
    <row r="557" spans="2:14" s="13" customFormat="1" x14ac:dyDescent="0.4">
      <c r="B557" s="25"/>
      <c r="E557" s="26"/>
      <c r="G557" s="54"/>
      <c r="N557" s="42"/>
    </row>
    <row r="558" spans="2:14" s="13" customFormat="1" x14ac:dyDescent="0.4">
      <c r="B558" s="25"/>
      <c r="E558" s="26"/>
      <c r="G558" s="54"/>
      <c r="N558" s="42"/>
    </row>
    <row r="559" spans="2:14" s="13" customFormat="1" x14ac:dyDescent="0.4">
      <c r="B559" s="25"/>
      <c r="E559" s="26"/>
      <c r="G559" s="54"/>
      <c r="N559" s="42"/>
    </row>
    <row r="560" spans="2:14" s="13" customFormat="1" x14ac:dyDescent="0.4">
      <c r="B560" s="25"/>
      <c r="E560" s="26"/>
      <c r="G560" s="54"/>
      <c r="N560" s="42"/>
    </row>
    <row r="561" spans="2:14" s="13" customFormat="1" x14ac:dyDescent="0.4">
      <c r="B561" s="25"/>
      <c r="E561" s="26"/>
      <c r="G561" s="54"/>
      <c r="N561" s="42"/>
    </row>
    <row r="562" spans="2:14" s="13" customFormat="1" x14ac:dyDescent="0.4">
      <c r="B562" s="25"/>
      <c r="E562" s="26"/>
      <c r="G562" s="54"/>
      <c r="N562" s="42"/>
    </row>
    <row r="563" spans="2:14" s="13" customFormat="1" x14ac:dyDescent="0.4">
      <c r="B563" s="25"/>
      <c r="E563" s="26"/>
      <c r="G563" s="54"/>
      <c r="N563" s="42"/>
    </row>
    <row r="564" spans="2:14" s="13" customFormat="1" x14ac:dyDescent="0.4">
      <c r="B564" s="25"/>
      <c r="E564" s="26"/>
      <c r="G564" s="54"/>
      <c r="N564" s="42"/>
    </row>
    <row r="565" spans="2:14" s="13" customFormat="1" x14ac:dyDescent="0.4">
      <c r="B565" s="25"/>
      <c r="E565" s="26"/>
      <c r="G565" s="54"/>
      <c r="N565" s="42"/>
    </row>
    <row r="566" spans="2:14" s="13" customFormat="1" x14ac:dyDescent="0.4">
      <c r="B566" s="25"/>
      <c r="E566" s="26"/>
      <c r="G566" s="54"/>
      <c r="N566" s="42"/>
    </row>
    <row r="567" spans="2:14" s="13" customFormat="1" x14ac:dyDescent="0.4">
      <c r="B567" s="25"/>
      <c r="E567" s="26"/>
      <c r="G567" s="54"/>
      <c r="N567" s="42"/>
    </row>
    <row r="568" spans="2:14" s="13" customFormat="1" x14ac:dyDescent="0.4">
      <c r="B568" s="25"/>
      <c r="E568" s="26"/>
      <c r="G568" s="54"/>
      <c r="N568" s="42"/>
    </row>
    <row r="569" spans="2:14" s="13" customFormat="1" x14ac:dyDescent="0.4">
      <c r="B569" s="25"/>
      <c r="E569" s="26"/>
      <c r="G569" s="54"/>
      <c r="N569" s="42"/>
    </row>
    <row r="570" spans="2:14" s="13" customFormat="1" x14ac:dyDescent="0.4">
      <c r="B570" s="25"/>
      <c r="E570" s="26"/>
      <c r="G570" s="54"/>
      <c r="N570" s="42"/>
    </row>
    <row r="571" spans="2:14" s="13" customFormat="1" x14ac:dyDescent="0.4">
      <c r="B571" s="25"/>
      <c r="E571" s="26"/>
      <c r="G571" s="54"/>
      <c r="N571" s="42"/>
    </row>
    <row r="572" spans="2:14" s="13" customFormat="1" x14ac:dyDescent="0.4">
      <c r="B572" s="25"/>
      <c r="E572" s="26"/>
      <c r="G572" s="54"/>
      <c r="N572" s="42"/>
    </row>
    <row r="573" spans="2:14" s="13" customFormat="1" x14ac:dyDescent="0.4">
      <c r="B573" s="25"/>
      <c r="E573" s="26"/>
      <c r="G573" s="54"/>
      <c r="N573" s="42"/>
    </row>
    <row r="574" spans="2:14" s="13" customFormat="1" x14ac:dyDescent="0.4">
      <c r="B574" s="25"/>
      <c r="E574" s="26"/>
      <c r="G574" s="54"/>
      <c r="N574" s="42"/>
    </row>
    <row r="575" spans="2:14" s="13" customFormat="1" x14ac:dyDescent="0.4">
      <c r="B575" s="25"/>
      <c r="E575" s="26"/>
      <c r="G575" s="54"/>
      <c r="N575" s="42"/>
    </row>
    <row r="576" spans="2:14" s="13" customFormat="1" x14ac:dyDescent="0.4">
      <c r="B576" s="25"/>
      <c r="E576" s="26"/>
      <c r="G576" s="54"/>
      <c r="N576" s="42"/>
    </row>
    <row r="577" spans="2:14" s="13" customFormat="1" x14ac:dyDescent="0.4">
      <c r="B577" s="25"/>
      <c r="E577" s="26"/>
      <c r="G577" s="54"/>
      <c r="N577" s="42"/>
    </row>
    <row r="578" spans="2:14" s="13" customFormat="1" x14ac:dyDescent="0.4">
      <c r="B578" s="25"/>
      <c r="E578" s="26"/>
      <c r="G578" s="54"/>
      <c r="N578" s="42"/>
    </row>
    <row r="579" spans="2:14" s="13" customFormat="1" x14ac:dyDescent="0.4">
      <c r="B579" s="25"/>
      <c r="E579" s="26"/>
      <c r="G579" s="54"/>
      <c r="N579" s="42"/>
    </row>
    <row r="580" spans="2:14" s="13" customFormat="1" x14ac:dyDescent="0.4">
      <c r="B580" s="25"/>
      <c r="E580" s="26"/>
      <c r="G580" s="54"/>
      <c r="N580" s="42"/>
    </row>
    <row r="581" spans="2:14" s="13" customFormat="1" x14ac:dyDescent="0.4">
      <c r="B581" s="25"/>
      <c r="E581" s="26"/>
      <c r="G581" s="54"/>
      <c r="N581" s="42"/>
    </row>
    <row r="582" spans="2:14" s="13" customFormat="1" x14ac:dyDescent="0.4">
      <c r="B582" s="25"/>
      <c r="E582" s="26"/>
      <c r="G582" s="54"/>
      <c r="N582" s="42"/>
    </row>
    <row r="583" spans="2:14" s="13" customFormat="1" x14ac:dyDescent="0.4">
      <c r="B583" s="25"/>
      <c r="E583" s="26"/>
      <c r="G583" s="54"/>
      <c r="N583" s="42"/>
    </row>
    <row r="584" spans="2:14" s="13" customFormat="1" x14ac:dyDescent="0.4">
      <c r="B584" s="25"/>
      <c r="E584" s="26"/>
      <c r="G584" s="54"/>
      <c r="N584" s="42"/>
    </row>
    <row r="585" spans="2:14" s="13" customFormat="1" x14ac:dyDescent="0.4">
      <c r="B585" s="25"/>
      <c r="E585" s="26"/>
      <c r="G585" s="54"/>
      <c r="N585" s="42"/>
    </row>
    <row r="586" spans="2:14" s="13" customFormat="1" x14ac:dyDescent="0.4">
      <c r="B586" s="25"/>
      <c r="E586" s="26"/>
      <c r="G586" s="54"/>
      <c r="N586" s="42"/>
    </row>
    <row r="587" spans="2:14" s="13" customFormat="1" x14ac:dyDescent="0.4">
      <c r="B587" s="25"/>
      <c r="E587" s="26"/>
      <c r="G587" s="54"/>
      <c r="N587" s="42"/>
    </row>
    <row r="588" spans="2:14" s="13" customFormat="1" x14ac:dyDescent="0.4">
      <c r="B588" s="25"/>
      <c r="E588" s="26"/>
      <c r="G588" s="54"/>
      <c r="N588" s="42"/>
    </row>
    <row r="589" spans="2:14" s="13" customFormat="1" x14ac:dyDescent="0.4">
      <c r="B589" s="25"/>
      <c r="E589" s="26"/>
      <c r="G589" s="54"/>
      <c r="N589" s="42"/>
    </row>
    <row r="590" spans="2:14" s="13" customFormat="1" x14ac:dyDescent="0.4">
      <c r="B590" s="25"/>
      <c r="E590" s="26"/>
      <c r="G590" s="54"/>
      <c r="N590" s="42"/>
    </row>
    <row r="591" spans="2:14" s="13" customFormat="1" x14ac:dyDescent="0.4">
      <c r="B591" s="25"/>
      <c r="E591" s="26"/>
      <c r="G591" s="54"/>
      <c r="N591" s="42"/>
    </row>
    <row r="592" spans="2:14" s="13" customFormat="1" x14ac:dyDescent="0.4">
      <c r="B592" s="25"/>
      <c r="E592" s="26"/>
      <c r="G592" s="54"/>
      <c r="N592" s="42"/>
    </row>
    <row r="593" spans="2:14" s="13" customFormat="1" x14ac:dyDescent="0.4">
      <c r="B593" s="25"/>
      <c r="E593" s="26"/>
      <c r="G593" s="54"/>
      <c r="N593" s="42"/>
    </row>
    <row r="594" spans="2:14" s="13" customFormat="1" x14ac:dyDescent="0.4">
      <c r="B594" s="25"/>
      <c r="E594" s="26"/>
      <c r="G594" s="54"/>
      <c r="N594" s="42"/>
    </row>
    <row r="595" spans="2:14" s="13" customFormat="1" x14ac:dyDescent="0.4">
      <c r="B595" s="25"/>
      <c r="E595" s="26"/>
      <c r="G595" s="54"/>
      <c r="N595" s="42"/>
    </row>
    <row r="596" spans="2:14" s="13" customFormat="1" x14ac:dyDescent="0.4">
      <c r="B596" s="25"/>
      <c r="E596" s="26"/>
      <c r="G596" s="54"/>
      <c r="N596" s="42"/>
    </row>
    <row r="597" spans="2:14" s="13" customFormat="1" x14ac:dyDescent="0.4">
      <c r="B597" s="25"/>
      <c r="E597" s="26"/>
      <c r="G597" s="54"/>
      <c r="N597" s="42"/>
    </row>
    <row r="598" spans="2:14" s="13" customFormat="1" x14ac:dyDescent="0.4">
      <c r="B598" s="25"/>
      <c r="E598" s="26"/>
      <c r="G598" s="54"/>
      <c r="N598" s="42"/>
    </row>
    <row r="599" spans="2:14" s="13" customFormat="1" x14ac:dyDescent="0.4">
      <c r="B599" s="25"/>
      <c r="E599" s="26"/>
      <c r="G599" s="54"/>
      <c r="N599" s="42"/>
    </row>
    <row r="600" spans="2:14" s="13" customFormat="1" x14ac:dyDescent="0.4">
      <c r="B600" s="25"/>
      <c r="E600" s="26"/>
      <c r="G600" s="54"/>
      <c r="N600" s="42"/>
    </row>
    <row r="601" spans="2:14" s="13" customFormat="1" x14ac:dyDescent="0.4">
      <c r="B601" s="25"/>
      <c r="E601" s="26"/>
      <c r="G601" s="54"/>
      <c r="N601" s="42"/>
    </row>
    <row r="602" spans="2:14" s="13" customFormat="1" x14ac:dyDescent="0.4">
      <c r="B602" s="25"/>
      <c r="E602" s="26"/>
      <c r="G602" s="54"/>
      <c r="N602" s="42"/>
    </row>
    <row r="603" spans="2:14" s="13" customFormat="1" x14ac:dyDescent="0.4">
      <c r="B603" s="25"/>
      <c r="E603" s="26"/>
      <c r="G603" s="54"/>
      <c r="N603" s="42"/>
    </row>
    <row r="604" spans="2:14" s="13" customFormat="1" x14ac:dyDescent="0.4">
      <c r="B604" s="25"/>
      <c r="E604" s="26"/>
      <c r="G604" s="54"/>
      <c r="N604" s="42"/>
    </row>
    <row r="605" spans="2:14" s="13" customFormat="1" x14ac:dyDescent="0.4">
      <c r="B605" s="25"/>
      <c r="E605" s="26"/>
      <c r="G605" s="54"/>
      <c r="N605" s="42"/>
    </row>
    <row r="606" spans="2:14" s="13" customFormat="1" x14ac:dyDescent="0.4">
      <c r="B606" s="25"/>
      <c r="E606" s="26"/>
      <c r="G606" s="54"/>
      <c r="N606" s="42"/>
    </row>
    <row r="607" spans="2:14" s="13" customFormat="1" x14ac:dyDescent="0.4">
      <c r="B607" s="25"/>
      <c r="E607" s="26"/>
      <c r="G607" s="54"/>
      <c r="N607" s="42"/>
    </row>
    <row r="608" spans="2:14" s="13" customFormat="1" x14ac:dyDescent="0.4">
      <c r="B608" s="25"/>
      <c r="E608" s="26"/>
      <c r="G608" s="54"/>
      <c r="N608" s="42"/>
    </row>
    <row r="609" spans="2:14" s="13" customFormat="1" x14ac:dyDescent="0.4">
      <c r="B609" s="25"/>
      <c r="E609" s="26"/>
      <c r="G609" s="54"/>
      <c r="N609" s="42"/>
    </row>
    <row r="610" spans="2:14" s="13" customFormat="1" x14ac:dyDescent="0.4">
      <c r="B610" s="25"/>
      <c r="E610" s="26"/>
      <c r="G610" s="54"/>
      <c r="N610" s="42"/>
    </row>
    <row r="611" spans="2:14" s="13" customFormat="1" x14ac:dyDescent="0.4">
      <c r="B611" s="25"/>
      <c r="E611" s="26"/>
      <c r="G611" s="54"/>
      <c r="N611" s="42"/>
    </row>
    <row r="612" spans="2:14" s="13" customFormat="1" x14ac:dyDescent="0.4">
      <c r="B612" s="25"/>
      <c r="E612" s="26"/>
      <c r="G612" s="54"/>
      <c r="N612" s="42"/>
    </row>
    <row r="613" spans="2:14" s="13" customFormat="1" x14ac:dyDescent="0.4">
      <c r="B613" s="25"/>
      <c r="E613" s="26"/>
      <c r="G613" s="54"/>
      <c r="N613" s="42"/>
    </row>
    <row r="614" spans="2:14" s="13" customFormat="1" x14ac:dyDescent="0.4">
      <c r="B614" s="25"/>
      <c r="E614" s="26"/>
      <c r="G614" s="54"/>
      <c r="N614" s="42"/>
    </row>
    <row r="615" spans="2:14" s="13" customFormat="1" x14ac:dyDescent="0.4">
      <c r="B615" s="25"/>
      <c r="E615" s="26"/>
      <c r="G615" s="54"/>
      <c r="N615" s="42"/>
    </row>
    <row r="616" spans="2:14" s="13" customFormat="1" x14ac:dyDescent="0.4">
      <c r="B616" s="25"/>
      <c r="E616" s="26"/>
      <c r="G616" s="54"/>
      <c r="N616" s="42"/>
    </row>
    <row r="617" spans="2:14" s="13" customFormat="1" x14ac:dyDescent="0.4">
      <c r="B617" s="25"/>
      <c r="E617" s="26"/>
      <c r="G617" s="54"/>
      <c r="N617" s="42"/>
    </row>
    <row r="618" spans="2:14" s="13" customFormat="1" x14ac:dyDescent="0.4">
      <c r="B618" s="25"/>
      <c r="E618" s="26"/>
      <c r="G618" s="54"/>
      <c r="N618" s="42"/>
    </row>
    <row r="619" spans="2:14" s="13" customFormat="1" x14ac:dyDescent="0.4">
      <c r="B619" s="25"/>
      <c r="E619" s="26"/>
      <c r="G619" s="54"/>
      <c r="N619" s="42"/>
    </row>
    <row r="620" spans="2:14" s="13" customFormat="1" x14ac:dyDescent="0.4">
      <c r="B620" s="25"/>
      <c r="E620" s="26"/>
      <c r="G620" s="54"/>
      <c r="N620" s="42"/>
    </row>
    <row r="621" spans="2:14" s="13" customFormat="1" x14ac:dyDescent="0.4">
      <c r="B621" s="25"/>
      <c r="E621" s="26"/>
      <c r="G621" s="54"/>
      <c r="N621" s="42"/>
    </row>
    <row r="622" spans="2:14" s="13" customFormat="1" x14ac:dyDescent="0.4">
      <c r="B622" s="25"/>
      <c r="E622" s="26"/>
      <c r="G622" s="54"/>
      <c r="N622" s="42"/>
    </row>
    <row r="623" spans="2:14" s="13" customFormat="1" x14ac:dyDescent="0.4">
      <c r="B623" s="25"/>
      <c r="E623" s="26"/>
      <c r="G623" s="54"/>
      <c r="N623" s="42"/>
    </row>
    <row r="624" spans="2:14" s="13" customFormat="1" x14ac:dyDescent="0.4">
      <c r="B624" s="25"/>
      <c r="E624" s="26"/>
      <c r="G624" s="54"/>
      <c r="N624" s="42"/>
    </row>
    <row r="625" spans="2:14" s="13" customFormat="1" x14ac:dyDescent="0.4">
      <c r="B625" s="25"/>
      <c r="E625" s="26"/>
      <c r="G625" s="54"/>
      <c r="N625" s="42"/>
    </row>
    <row r="626" spans="2:14" s="13" customFormat="1" x14ac:dyDescent="0.4">
      <c r="B626" s="25"/>
      <c r="E626" s="26"/>
      <c r="G626" s="54"/>
      <c r="N626" s="42"/>
    </row>
    <row r="627" spans="2:14" s="13" customFormat="1" x14ac:dyDescent="0.4">
      <c r="B627" s="25"/>
      <c r="E627" s="26"/>
      <c r="G627" s="54"/>
      <c r="N627" s="42"/>
    </row>
    <row r="628" spans="2:14" s="13" customFormat="1" x14ac:dyDescent="0.4">
      <c r="B628" s="25"/>
      <c r="E628" s="26"/>
      <c r="G628" s="54"/>
      <c r="N628" s="42"/>
    </row>
    <row r="629" spans="2:14" s="13" customFormat="1" x14ac:dyDescent="0.4">
      <c r="B629" s="25"/>
      <c r="E629" s="26"/>
      <c r="G629" s="54"/>
      <c r="N629" s="42"/>
    </row>
    <row r="630" spans="2:14" s="13" customFormat="1" x14ac:dyDescent="0.4">
      <c r="B630" s="25"/>
      <c r="E630" s="26"/>
      <c r="G630" s="54"/>
      <c r="N630" s="42"/>
    </row>
    <row r="631" spans="2:14" s="13" customFormat="1" x14ac:dyDescent="0.4">
      <c r="B631" s="25"/>
      <c r="E631" s="26"/>
      <c r="G631" s="54"/>
      <c r="N631" s="42"/>
    </row>
    <row r="632" spans="2:14" s="13" customFormat="1" x14ac:dyDescent="0.4">
      <c r="B632" s="25"/>
      <c r="E632" s="26"/>
      <c r="G632" s="54"/>
      <c r="N632" s="42"/>
    </row>
    <row r="633" spans="2:14" s="13" customFormat="1" x14ac:dyDescent="0.4">
      <c r="B633" s="25"/>
      <c r="E633" s="26"/>
      <c r="G633" s="54"/>
      <c r="N633" s="42"/>
    </row>
    <row r="634" spans="2:14" s="13" customFormat="1" x14ac:dyDescent="0.4">
      <c r="B634" s="25"/>
      <c r="E634" s="26"/>
      <c r="G634" s="54"/>
      <c r="N634" s="42"/>
    </row>
    <row r="635" spans="2:14" s="13" customFormat="1" x14ac:dyDescent="0.4">
      <c r="B635" s="25"/>
      <c r="E635" s="26"/>
      <c r="G635" s="54"/>
      <c r="N635" s="42"/>
    </row>
    <row r="636" spans="2:14" s="13" customFormat="1" x14ac:dyDescent="0.4">
      <c r="B636" s="25"/>
      <c r="E636" s="26"/>
      <c r="G636" s="54"/>
      <c r="N636" s="42"/>
    </row>
    <row r="637" spans="2:14" s="13" customFormat="1" x14ac:dyDescent="0.4">
      <c r="B637" s="25"/>
      <c r="E637" s="26"/>
      <c r="G637" s="54"/>
      <c r="N637" s="42"/>
    </row>
    <row r="638" spans="2:14" s="13" customFormat="1" x14ac:dyDescent="0.4">
      <c r="B638" s="25"/>
      <c r="E638" s="26"/>
      <c r="G638" s="54"/>
      <c r="N638" s="42"/>
    </row>
    <row r="639" spans="2:14" s="13" customFormat="1" x14ac:dyDescent="0.4">
      <c r="B639" s="25"/>
      <c r="E639" s="26"/>
      <c r="G639" s="54"/>
      <c r="N639" s="42"/>
    </row>
  </sheetData>
  <sheetProtection algorithmName="SHA-512" hashValue="Whof5LpAC5pB8LMy7kUqb4bIe1pbhx3lXqiPXSJ3wzScBTYPb/cxtZlZRkgfhhL06awIagf/UAxpgBLP7Jq7tQ==" saltValue="7XhLnVXvFoPXbnV+h4r0Uw==" spinCount="100000" sheet="1" formatCells="0" formatColumns="0" formatRows="0"/>
  <mergeCells count="10">
    <mergeCell ref="A7:A21"/>
    <mergeCell ref="B7:B21"/>
    <mergeCell ref="C7:C11"/>
    <mergeCell ref="D7:D11"/>
    <mergeCell ref="C12:C17"/>
    <mergeCell ref="D12:D17"/>
    <mergeCell ref="C18:C19"/>
    <mergeCell ref="D18:D19"/>
    <mergeCell ref="C20:C21"/>
    <mergeCell ref="D20:D21"/>
  </mergeCells>
  <dataValidations count="1">
    <dataValidation type="list" allowBlank="1" showInputMessage="1" showErrorMessage="1" errorTitle="ASVS Test Result" error="Invalid selection!" promptTitle="ASVS Test Result" prompt="Please select test result from the list." sqref="G7:G21" xr:uid="{FA50BC26-1CC4-4539-8516-1D7ACEAEA53D}">
      <formula1>testResult</formula1>
    </dataValidation>
  </dataValidations>
  <hyperlinks>
    <hyperlink ref="F14" r:id="rId1" display="https://www.owasp.org/index.php/Cross-Site_Request_Forgery_(CSRF)_Prevention_Cheat_Sheet" xr:uid="{C183A8DA-268A-47A6-A48B-E3295EAACD8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Sheet17.Confirm_Reset_Answers_V13">
                <anchor moveWithCells="1" sizeWithCells="1">
                  <from>
                    <xdr:col>0</xdr:col>
                    <xdr:colOff>95250</xdr:colOff>
                    <xdr:row>0</xdr:row>
                    <xdr:rowOff>57150</xdr:rowOff>
                  </from>
                  <to>
                    <xdr:col>1</xdr:col>
                    <xdr:colOff>1504950</xdr:colOff>
                    <xdr:row>2</xdr:row>
                    <xdr:rowOff>69850</xdr:rowOff>
                  </to>
                </anchor>
              </controlPr>
            </control>
          </mc:Choice>
        </mc:AlternateContent>
        <mc:AlternateContent xmlns:mc="http://schemas.openxmlformats.org/markup-compatibility/2006">
          <mc:Choice Requires="x14">
            <control shapeId="32772" r:id="rId5" name="Button 4">
              <controlPr defaultSize="0" print="0" autoFill="0" autoPict="0" macro="[0]!Confirm_Reset_All_Answers">
                <anchor moveWithCells="1" sizeWithCells="1">
                  <from>
                    <xdr:col>0</xdr:col>
                    <xdr:colOff>95250</xdr:colOff>
                    <xdr:row>2</xdr:row>
                    <xdr:rowOff>107950</xdr:rowOff>
                  </from>
                  <to>
                    <xdr:col>1</xdr:col>
                    <xdr:colOff>1504950</xdr:colOff>
                    <xdr:row>4</xdr:row>
                    <xdr:rowOff>127000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EF0FD-470C-4B62-9A60-D4A9139DB64F}">
  <sheetPr codeName="Sheet18">
    <tabColor theme="9" tint="-0.499984740745262"/>
  </sheetPr>
  <dimension ref="A1:CRF639"/>
  <sheetViews>
    <sheetView showGridLines="0" showRowColHeaders="0" workbookViewId="0">
      <pane ySplit="6" topLeftCell="A7" activePane="bottomLeft" state="frozen"/>
      <selection pane="bottomLeft" activeCell="A7" sqref="A7:A31"/>
    </sheetView>
  </sheetViews>
  <sheetFormatPr defaultRowHeight="15" x14ac:dyDescent="0.4"/>
  <cols>
    <col min="1" max="1" width="11" customWidth="1"/>
    <col min="2" max="2" width="24.1796875" style="20" customWidth="1"/>
    <col min="3" max="3" width="10.26953125" customWidth="1"/>
    <col min="4" max="4" width="31.81640625" customWidth="1"/>
    <col min="5" max="5" width="9.1796875" style="21"/>
    <col min="6" max="6" width="56.1796875" customWidth="1"/>
    <col min="7" max="7" width="19.1796875" style="55" customWidth="1"/>
    <col min="8" max="10" width="3.7265625" bestFit="1" customWidth="1"/>
    <col min="12" max="12" width="13.1796875" customWidth="1"/>
    <col min="13" max="13" width="33.1796875" bestFit="1" customWidth="1"/>
    <col min="14" max="14" width="47.7265625" style="43" customWidth="1"/>
    <col min="15" max="136" width="9.1796875" style="13"/>
  </cols>
  <sheetData>
    <row r="1" spans="1:2502" s="13" customFormat="1" ht="12" customHeight="1" x14ac:dyDescent="0.4">
      <c r="A1" s="68"/>
      <c r="B1" s="69"/>
      <c r="C1" s="68"/>
      <c r="D1" s="68"/>
      <c r="E1" s="70"/>
      <c r="F1" s="71" t="s">
        <v>847</v>
      </c>
      <c r="G1" s="72" t="str">
        <f>SELECTED_ASSESSMENT_LEVEL</f>
        <v>Advanced</v>
      </c>
      <c r="H1" s="68"/>
      <c r="I1" s="68"/>
      <c r="J1" s="68"/>
      <c r="K1" s="68"/>
      <c r="L1" s="68"/>
      <c r="M1" s="68"/>
      <c r="N1" s="73"/>
    </row>
    <row r="2" spans="1:2502" s="13" customFormat="1" ht="12" customHeight="1" x14ac:dyDescent="0.4">
      <c r="A2" s="68"/>
      <c r="B2" s="69"/>
      <c r="C2" s="68"/>
      <c r="D2" s="68"/>
      <c r="E2" s="70"/>
      <c r="F2" s="71" t="str">
        <f>SCORE_PASS</f>
        <v>Pass</v>
      </c>
      <c r="G2" s="74">
        <f ca="1">COUNTIF(INDIRECT("ASVS_ANSWERS_"&amp;$A$7), $F$2)</f>
        <v>0</v>
      </c>
      <c r="H2" s="68"/>
      <c r="I2" s="68"/>
      <c r="J2" s="68"/>
      <c r="K2" s="68"/>
      <c r="L2" s="68"/>
      <c r="M2" s="68"/>
      <c r="N2" s="73"/>
    </row>
    <row r="3" spans="1:2502" s="13" customFormat="1" ht="12" customHeight="1" x14ac:dyDescent="0.4">
      <c r="A3" s="68"/>
      <c r="B3" s="69"/>
      <c r="C3" s="68"/>
      <c r="D3" s="68"/>
      <c r="E3" s="70"/>
      <c r="F3" s="71" t="str">
        <f>SCORE_FAIL</f>
        <v>Fail</v>
      </c>
      <c r="G3" s="74">
        <f ca="1">COUNTIF(INDIRECT("ASVS_ANSWERS_"&amp;$A$7), $F$3)</f>
        <v>0</v>
      </c>
      <c r="H3" s="68"/>
      <c r="I3" s="68"/>
      <c r="J3" s="68"/>
      <c r="K3" s="68"/>
      <c r="L3" s="68"/>
      <c r="M3" s="68"/>
      <c r="N3" s="73"/>
    </row>
    <row r="4" spans="1:2502" s="13" customFormat="1" ht="12" customHeight="1" x14ac:dyDescent="0.4">
      <c r="A4" s="68"/>
      <c r="B4" s="69"/>
      <c r="C4" s="68"/>
      <c r="D4" s="68"/>
      <c r="E4" s="70"/>
      <c r="F4" s="71" t="str">
        <f>SCORE_NA</f>
        <v>Not Applicable</v>
      </c>
      <c r="G4" s="74">
        <f ca="1">COUNTIF(INDIRECT("ASVS_ANSWERS_"&amp;$A$7), $F$4)</f>
        <v>0</v>
      </c>
      <c r="H4" s="68"/>
      <c r="I4" s="68"/>
      <c r="J4" s="68"/>
      <c r="K4" s="68"/>
      <c r="L4" s="68"/>
      <c r="M4" s="68"/>
      <c r="N4" s="73"/>
    </row>
    <row r="5" spans="1:2502" s="13" customFormat="1" ht="12" customHeight="1" x14ac:dyDescent="0.35">
      <c r="A5" s="68"/>
      <c r="B5" s="69"/>
      <c r="C5" s="75"/>
      <c r="D5" s="75"/>
      <c r="E5" s="76"/>
      <c r="F5" s="77" t="s">
        <v>62</v>
      </c>
      <c r="G5" s="77">
        <f>TOTAL_ASVS_V14</f>
        <v>25</v>
      </c>
      <c r="H5" s="78"/>
      <c r="I5" s="78"/>
      <c r="J5" s="78"/>
      <c r="K5" s="68"/>
      <c r="L5" s="79"/>
      <c r="M5" s="79"/>
      <c r="N5" s="80"/>
    </row>
    <row r="6" spans="1:2502" s="7" customFormat="1" ht="26.25" customHeight="1" x14ac:dyDescent="0.35">
      <c r="A6" s="81" t="s">
        <v>26</v>
      </c>
      <c r="B6" s="81" t="s">
        <v>24</v>
      </c>
      <c r="C6" s="81" t="s">
        <v>791</v>
      </c>
      <c r="D6" s="81" t="s">
        <v>790</v>
      </c>
      <c r="E6" s="81" t="s">
        <v>854</v>
      </c>
      <c r="F6" s="81" t="s">
        <v>25</v>
      </c>
      <c r="G6" s="81" t="s">
        <v>31</v>
      </c>
      <c r="H6" s="81" t="s">
        <v>816</v>
      </c>
      <c r="I6" s="81" t="s">
        <v>817</v>
      </c>
      <c r="J6" s="81" t="s">
        <v>818</v>
      </c>
      <c r="K6" s="81" t="s">
        <v>79</v>
      </c>
      <c r="L6" s="81" t="s">
        <v>792</v>
      </c>
      <c r="M6" s="81" t="s">
        <v>839</v>
      </c>
      <c r="N6" s="81" t="s">
        <v>814</v>
      </c>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c r="IW6" s="6"/>
      <c r="IX6" s="6"/>
      <c r="IY6" s="6"/>
      <c r="IZ6" s="6"/>
      <c r="JA6" s="6"/>
      <c r="JB6" s="6"/>
      <c r="JC6" s="6"/>
      <c r="JD6" s="6"/>
      <c r="JE6" s="6"/>
      <c r="JF6" s="6"/>
      <c r="JG6" s="6"/>
      <c r="JH6" s="6"/>
      <c r="JI6" s="6"/>
      <c r="JJ6" s="6"/>
      <c r="JK6" s="6"/>
      <c r="JL6" s="6"/>
      <c r="JM6" s="6"/>
      <c r="JN6" s="6"/>
      <c r="JO6" s="6"/>
      <c r="JP6" s="6"/>
      <c r="JQ6" s="6"/>
      <c r="JR6" s="6"/>
      <c r="JS6" s="6"/>
      <c r="JT6" s="6"/>
      <c r="JU6" s="6"/>
      <c r="JV6" s="6"/>
      <c r="JW6" s="6"/>
      <c r="JX6" s="6"/>
      <c r="JY6" s="6"/>
      <c r="JZ6" s="6"/>
      <c r="KA6" s="6"/>
      <c r="KB6" s="6"/>
      <c r="KC6" s="6"/>
      <c r="KD6" s="6"/>
      <c r="KE6" s="6"/>
      <c r="KF6" s="6"/>
      <c r="KG6" s="6"/>
      <c r="KH6" s="6"/>
      <c r="KI6" s="6"/>
      <c r="KJ6" s="6"/>
      <c r="KK6" s="6"/>
      <c r="KL6" s="6"/>
      <c r="KM6" s="6"/>
      <c r="KN6" s="6"/>
      <c r="KO6" s="6"/>
      <c r="KP6" s="6"/>
      <c r="KQ6" s="6"/>
      <c r="KR6" s="6"/>
      <c r="KS6" s="6"/>
      <c r="KT6" s="6"/>
      <c r="KU6" s="6"/>
      <c r="KV6" s="6"/>
      <c r="KW6" s="6"/>
      <c r="KX6" s="6"/>
      <c r="KY6" s="6"/>
      <c r="KZ6" s="6"/>
      <c r="LA6" s="6"/>
      <c r="LB6" s="6"/>
      <c r="LC6" s="6"/>
      <c r="LD6" s="6"/>
      <c r="LE6" s="6"/>
      <c r="LF6" s="6"/>
      <c r="LG6" s="6"/>
      <c r="LH6" s="6"/>
      <c r="LI6" s="6"/>
      <c r="LJ6" s="6"/>
      <c r="LK6" s="6"/>
      <c r="LL6" s="6"/>
      <c r="LM6" s="6"/>
      <c r="LN6" s="6"/>
      <c r="LO6" s="6"/>
      <c r="LP6" s="6"/>
      <c r="LQ6" s="6"/>
      <c r="LR6" s="6"/>
      <c r="LS6" s="6"/>
      <c r="LT6" s="6"/>
      <c r="LU6" s="6"/>
      <c r="LV6" s="6"/>
      <c r="LW6" s="6"/>
      <c r="LX6" s="6"/>
      <c r="LY6" s="6"/>
      <c r="LZ6" s="6"/>
      <c r="MA6" s="6"/>
      <c r="MB6" s="6"/>
      <c r="MC6" s="6"/>
      <c r="MD6" s="6"/>
      <c r="ME6" s="6"/>
      <c r="MF6" s="6"/>
      <c r="MG6" s="6"/>
      <c r="MH6" s="6"/>
      <c r="MI6" s="6"/>
      <c r="MJ6" s="6"/>
      <c r="MK6" s="6"/>
      <c r="ML6" s="6"/>
      <c r="MM6" s="6"/>
      <c r="MN6" s="6"/>
      <c r="MO6" s="6"/>
      <c r="MP6" s="6"/>
      <c r="MQ6" s="6"/>
      <c r="MR6" s="6"/>
      <c r="MS6" s="6"/>
      <c r="MT6" s="6"/>
      <c r="MU6" s="6"/>
      <c r="MV6" s="6"/>
      <c r="MW6" s="6"/>
      <c r="MX6" s="6"/>
      <c r="MY6" s="6"/>
      <c r="MZ6" s="6"/>
      <c r="NA6" s="6"/>
      <c r="NB6" s="6"/>
      <c r="NC6" s="6"/>
      <c r="ND6" s="6"/>
      <c r="NE6" s="6"/>
      <c r="NF6" s="6"/>
      <c r="NG6" s="6"/>
      <c r="NH6" s="6"/>
      <c r="NI6" s="6"/>
      <c r="NJ6" s="6"/>
      <c r="NK6" s="6"/>
      <c r="NL6" s="6"/>
      <c r="NM6" s="6"/>
      <c r="NN6" s="6"/>
      <c r="NO6" s="6"/>
      <c r="NP6" s="6"/>
      <c r="NQ6" s="6"/>
      <c r="NR6" s="6"/>
      <c r="NS6" s="6"/>
      <c r="NT6" s="6"/>
      <c r="NU6" s="6"/>
      <c r="NV6" s="6"/>
      <c r="NW6" s="6"/>
      <c r="NX6" s="6"/>
      <c r="NY6" s="6"/>
      <c r="NZ6" s="6"/>
      <c r="OA6" s="6"/>
      <c r="OB6" s="6"/>
      <c r="OC6" s="6"/>
      <c r="OD6" s="6"/>
      <c r="OE6" s="6"/>
      <c r="OF6" s="6"/>
      <c r="OG6" s="6"/>
      <c r="OH6" s="6"/>
      <c r="OI6" s="6"/>
      <c r="OJ6" s="6"/>
      <c r="OK6" s="6"/>
      <c r="OL6" s="6"/>
      <c r="OM6" s="6"/>
      <c r="ON6" s="6"/>
      <c r="OO6" s="6"/>
      <c r="OP6" s="6"/>
      <c r="OQ6" s="6"/>
      <c r="OR6" s="6"/>
      <c r="OS6" s="6"/>
      <c r="OT6" s="6"/>
      <c r="OU6" s="6"/>
      <c r="OV6" s="6"/>
      <c r="OW6" s="6"/>
      <c r="OX6" s="6"/>
      <c r="OY6" s="6"/>
      <c r="OZ6" s="6"/>
      <c r="PA6" s="6"/>
      <c r="PB6" s="6"/>
      <c r="PC6" s="6"/>
      <c r="PD6" s="6"/>
      <c r="PE6" s="6"/>
      <c r="PF6" s="6"/>
      <c r="PG6" s="6"/>
      <c r="PH6" s="6"/>
      <c r="PI6" s="6"/>
      <c r="PJ6" s="6"/>
      <c r="PK6" s="6"/>
      <c r="PL6" s="6"/>
      <c r="PM6" s="6"/>
      <c r="PN6" s="6"/>
      <c r="PO6" s="6"/>
      <c r="PP6" s="6"/>
      <c r="PQ6" s="6"/>
      <c r="PR6" s="6"/>
      <c r="PS6" s="6"/>
      <c r="PT6" s="6"/>
      <c r="PU6" s="6"/>
      <c r="PV6" s="6"/>
      <c r="PW6" s="6"/>
      <c r="PX6" s="6"/>
      <c r="PY6" s="6"/>
      <c r="PZ6" s="6"/>
      <c r="QA6" s="6"/>
      <c r="QB6" s="6"/>
      <c r="QC6" s="6"/>
      <c r="QD6" s="6"/>
      <c r="QE6" s="6"/>
      <c r="QF6" s="6"/>
      <c r="QG6" s="6"/>
      <c r="QH6" s="6"/>
      <c r="QI6" s="6"/>
      <c r="QJ6" s="6"/>
      <c r="QK6" s="6"/>
      <c r="QL6" s="6"/>
      <c r="QM6" s="6"/>
      <c r="QN6" s="6"/>
      <c r="QO6" s="6"/>
      <c r="QP6" s="6"/>
      <c r="QQ6" s="6"/>
      <c r="QR6" s="6"/>
      <c r="QS6" s="6"/>
      <c r="QT6" s="6"/>
      <c r="QU6" s="6"/>
      <c r="QV6" s="6"/>
      <c r="QW6" s="6"/>
      <c r="QX6" s="6"/>
      <c r="QY6" s="6"/>
      <c r="QZ6" s="6"/>
      <c r="RA6" s="6"/>
      <c r="RB6" s="6"/>
      <c r="RC6" s="6"/>
      <c r="RD6" s="6"/>
      <c r="RE6" s="6"/>
      <c r="RF6" s="6"/>
      <c r="RG6" s="6"/>
      <c r="RH6" s="6"/>
      <c r="RI6" s="6"/>
      <c r="RJ6" s="6"/>
      <c r="RK6" s="6"/>
      <c r="RL6" s="6"/>
      <c r="RM6" s="6"/>
      <c r="RN6" s="6"/>
      <c r="RO6" s="6"/>
      <c r="RP6" s="6"/>
      <c r="RQ6" s="6"/>
      <c r="RR6" s="6"/>
      <c r="RS6" s="6"/>
      <c r="RT6" s="6"/>
      <c r="RU6" s="6"/>
      <c r="RV6" s="6"/>
      <c r="RW6" s="6"/>
      <c r="RX6" s="6"/>
      <c r="RY6" s="6"/>
      <c r="RZ6" s="6"/>
      <c r="SA6" s="6"/>
      <c r="SB6" s="6"/>
      <c r="SC6" s="6"/>
      <c r="SD6" s="6"/>
      <c r="SE6" s="6"/>
      <c r="SF6" s="6"/>
      <c r="SG6" s="6"/>
      <c r="SH6" s="6"/>
      <c r="SI6" s="6"/>
      <c r="SJ6" s="6"/>
      <c r="SK6" s="6"/>
      <c r="SL6" s="6"/>
      <c r="SM6" s="6"/>
      <c r="SN6" s="6"/>
      <c r="SO6" s="6"/>
      <c r="SP6" s="6"/>
      <c r="SQ6" s="6"/>
      <c r="SR6" s="6"/>
      <c r="SS6" s="6"/>
      <c r="ST6" s="6"/>
      <c r="SU6" s="6"/>
      <c r="SV6" s="6"/>
      <c r="SW6" s="6"/>
      <c r="SX6" s="6"/>
      <c r="SY6" s="6"/>
      <c r="SZ6" s="6"/>
      <c r="TA6" s="6"/>
      <c r="TB6" s="6"/>
      <c r="TC6" s="6"/>
      <c r="TD6" s="6"/>
      <c r="TE6" s="6"/>
      <c r="TF6" s="6"/>
      <c r="TG6" s="6"/>
      <c r="TH6" s="6"/>
      <c r="TI6" s="6"/>
      <c r="TJ6" s="6"/>
      <c r="TK6" s="6"/>
      <c r="TL6" s="6"/>
      <c r="TM6" s="6"/>
      <c r="TN6" s="6"/>
      <c r="TO6" s="6"/>
      <c r="TP6" s="6"/>
      <c r="TQ6" s="6"/>
      <c r="TR6" s="6"/>
      <c r="TS6" s="6"/>
      <c r="TT6" s="6"/>
      <c r="TU6" s="6"/>
      <c r="TV6" s="6"/>
      <c r="TW6" s="6"/>
      <c r="TX6" s="6"/>
      <c r="TY6" s="6"/>
      <c r="TZ6" s="6"/>
      <c r="UA6" s="6"/>
      <c r="UB6" s="6"/>
      <c r="UC6" s="6"/>
      <c r="UD6" s="6"/>
      <c r="UE6" s="6"/>
      <c r="UF6" s="6"/>
      <c r="UG6" s="6"/>
      <c r="UH6" s="6"/>
      <c r="UI6" s="6"/>
      <c r="UJ6" s="6"/>
      <c r="UK6" s="6"/>
      <c r="UL6" s="6"/>
      <c r="UM6" s="6"/>
      <c r="UN6" s="6"/>
      <c r="UO6" s="6"/>
      <c r="UP6" s="6"/>
      <c r="UQ6" s="6"/>
      <c r="UR6" s="6"/>
      <c r="US6" s="6"/>
      <c r="UT6" s="6"/>
      <c r="UU6" s="6"/>
      <c r="UV6" s="6"/>
      <c r="UW6" s="6"/>
      <c r="UX6" s="6"/>
      <c r="UY6" s="6"/>
      <c r="UZ6" s="6"/>
      <c r="VA6" s="6"/>
      <c r="VB6" s="6"/>
      <c r="VC6" s="6"/>
      <c r="VD6" s="6"/>
      <c r="VE6" s="6"/>
      <c r="VF6" s="6"/>
      <c r="VG6" s="6"/>
      <c r="VH6" s="6"/>
      <c r="VI6" s="6"/>
      <c r="VJ6" s="6"/>
      <c r="VK6" s="6"/>
      <c r="VL6" s="6"/>
      <c r="VM6" s="6"/>
      <c r="VN6" s="6"/>
      <c r="VO6" s="6"/>
      <c r="VP6" s="6"/>
      <c r="VQ6" s="6"/>
      <c r="VR6" s="6"/>
      <c r="VS6" s="6"/>
      <c r="VT6" s="6"/>
      <c r="VU6" s="6"/>
      <c r="VV6" s="6"/>
      <c r="VW6" s="6"/>
      <c r="VX6" s="6"/>
      <c r="VY6" s="6"/>
      <c r="VZ6" s="6"/>
      <c r="WA6" s="6"/>
      <c r="WB6" s="6"/>
      <c r="WC6" s="6"/>
      <c r="WD6" s="6"/>
      <c r="WE6" s="6"/>
      <c r="WF6" s="6"/>
      <c r="WG6" s="6"/>
      <c r="WH6" s="6"/>
      <c r="WI6" s="6"/>
      <c r="WJ6" s="6"/>
      <c r="WK6" s="6"/>
      <c r="WL6" s="6"/>
      <c r="WM6" s="6"/>
      <c r="WN6" s="6"/>
      <c r="WO6" s="6"/>
      <c r="WP6" s="6"/>
      <c r="WQ6" s="6"/>
      <c r="WR6" s="6"/>
      <c r="WS6" s="6"/>
      <c r="WT6" s="6"/>
      <c r="WU6" s="6"/>
      <c r="WV6" s="6"/>
      <c r="WW6" s="6"/>
      <c r="WX6" s="6"/>
      <c r="WY6" s="6"/>
      <c r="WZ6" s="6"/>
      <c r="XA6" s="6"/>
      <c r="XB6" s="6"/>
      <c r="XC6" s="6"/>
      <c r="XD6" s="6"/>
      <c r="XE6" s="6"/>
      <c r="XF6" s="6"/>
      <c r="XG6" s="6"/>
      <c r="XH6" s="6"/>
      <c r="XI6" s="6"/>
      <c r="XJ6" s="6"/>
      <c r="XK6" s="6"/>
      <c r="XL6" s="6"/>
      <c r="XM6" s="6"/>
      <c r="XN6" s="6"/>
      <c r="XO6" s="6"/>
      <c r="XP6" s="6"/>
      <c r="XQ6" s="6"/>
      <c r="XR6" s="6"/>
      <c r="XS6" s="6"/>
      <c r="XT6" s="6"/>
      <c r="XU6" s="6"/>
      <c r="XV6" s="6"/>
      <c r="XW6" s="6"/>
      <c r="XX6" s="6"/>
      <c r="XY6" s="6"/>
      <c r="XZ6" s="6"/>
      <c r="YA6" s="6"/>
      <c r="YB6" s="6"/>
      <c r="YC6" s="6"/>
      <c r="YD6" s="6"/>
      <c r="YE6" s="6"/>
      <c r="YF6" s="6"/>
      <c r="YG6" s="6"/>
      <c r="YH6" s="6"/>
      <c r="YI6" s="6"/>
      <c r="YJ6" s="6"/>
      <c r="YK6" s="6"/>
      <c r="YL6" s="6"/>
      <c r="YM6" s="6"/>
      <c r="YN6" s="6"/>
      <c r="YO6" s="6"/>
      <c r="YP6" s="6"/>
      <c r="YQ6" s="6"/>
      <c r="YR6" s="6"/>
      <c r="YS6" s="6"/>
      <c r="YT6" s="6"/>
      <c r="YU6" s="6"/>
      <c r="YV6" s="6"/>
      <c r="YW6" s="6"/>
      <c r="YX6" s="6"/>
      <c r="YY6" s="6"/>
      <c r="YZ6" s="6"/>
      <c r="ZA6" s="6"/>
      <c r="ZB6" s="6"/>
      <c r="ZC6" s="6"/>
      <c r="ZD6" s="6"/>
      <c r="ZE6" s="6"/>
      <c r="ZF6" s="6"/>
      <c r="ZG6" s="6"/>
      <c r="ZH6" s="6"/>
      <c r="ZI6" s="6"/>
      <c r="ZJ6" s="6"/>
      <c r="ZK6" s="6"/>
      <c r="ZL6" s="6"/>
      <c r="ZM6" s="6"/>
      <c r="ZN6" s="6"/>
      <c r="ZO6" s="6"/>
      <c r="ZP6" s="6"/>
      <c r="ZQ6" s="6"/>
      <c r="ZR6" s="6"/>
      <c r="ZS6" s="6"/>
      <c r="ZT6" s="6"/>
      <c r="ZU6" s="6"/>
      <c r="ZV6" s="6"/>
      <c r="ZW6" s="6"/>
      <c r="ZX6" s="6"/>
      <c r="ZY6" s="6"/>
      <c r="ZZ6" s="6"/>
      <c r="AAA6" s="6"/>
      <c r="AAB6" s="6"/>
      <c r="AAC6" s="6"/>
      <c r="AAD6" s="6"/>
      <c r="AAE6" s="6"/>
      <c r="AAF6" s="6"/>
      <c r="AAG6" s="6"/>
      <c r="AAH6" s="6"/>
      <c r="AAI6" s="6"/>
      <c r="AAJ6" s="6"/>
      <c r="AAK6" s="6"/>
      <c r="AAL6" s="6"/>
      <c r="AAM6" s="6"/>
      <c r="AAN6" s="6"/>
      <c r="AAO6" s="6"/>
      <c r="AAP6" s="6"/>
      <c r="AAQ6" s="6"/>
      <c r="AAR6" s="6"/>
      <c r="AAS6" s="6"/>
      <c r="AAT6" s="6"/>
      <c r="AAU6" s="6"/>
      <c r="AAV6" s="6"/>
      <c r="AAW6" s="6"/>
      <c r="AAX6" s="6"/>
      <c r="AAY6" s="6"/>
      <c r="AAZ6" s="6"/>
      <c r="ABA6" s="6"/>
      <c r="ABB6" s="6"/>
      <c r="ABC6" s="6"/>
      <c r="ABD6" s="6"/>
      <c r="ABE6" s="6"/>
      <c r="ABF6" s="6"/>
      <c r="ABG6" s="6"/>
      <c r="ABH6" s="6"/>
      <c r="ABI6" s="6"/>
      <c r="ABJ6" s="6"/>
      <c r="ABK6" s="6"/>
      <c r="ABL6" s="6"/>
      <c r="ABM6" s="6"/>
      <c r="ABN6" s="6"/>
      <c r="ABO6" s="6"/>
      <c r="ABP6" s="6"/>
      <c r="ABQ6" s="6"/>
      <c r="ABR6" s="6"/>
      <c r="ABS6" s="6"/>
      <c r="ABT6" s="6"/>
      <c r="ABU6" s="6"/>
      <c r="ABV6" s="6"/>
      <c r="ABW6" s="6"/>
      <c r="ABX6" s="6"/>
      <c r="ABY6" s="6"/>
      <c r="ABZ6" s="6"/>
      <c r="ACA6" s="6"/>
      <c r="ACB6" s="6"/>
      <c r="ACC6" s="6"/>
      <c r="ACD6" s="6"/>
      <c r="ACE6" s="6"/>
      <c r="ACF6" s="6"/>
      <c r="ACG6" s="6"/>
      <c r="ACH6" s="6"/>
      <c r="ACI6" s="6"/>
      <c r="ACJ6" s="6"/>
      <c r="ACK6" s="6"/>
      <c r="ACL6" s="6"/>
      <c r="ACM6" s="6"/>
      <c r="ACN6" s="6"/>
      <c r="ACO6" s="6"/>
      <c r="ACP6" s="6"/>
      <c r="ACQ6" s="6"/>
      <c r="ACR6" s="6"/>
      <c r="ACS6" s="6"/>
      <c r="ACT6" s="6"/>
      <c r="ACU6" s="6"/>
      <c r="ACV6" s="6"/>
      <c r="ACW6" s="6"/>
      <c r="ACX6" s="6"/>
      <c r="ACY6" s="6"/>
      <c r="ACZ6" s="6"/>
      <c r="ADA6" s="6"/>
      <c r="ADB6" s="6"/>
      <c r="ADC6" s="6"/>
      <c r="ADD6" s="6"/>
      <c r="ADE6" s="6"/>
      <c r="ADF6" s="6"/>
      <c r="ADG6" s="6"/>
      <c r="ADH6" s="6"/>
      <c r="ADI6" s="6"/>
      <c r="ADJ6" s="6"/>
      <c r="ADK6" s="6"/>
      <c r="ADL6" s="6"/>
      <c r="ADM6" s="6"/>
      <c r="ADN6" s="6"/>
      <c r="ADO6" s="6"/>
      <c r="ADP6" s="6"/>
      <c r="ADQ6" s="6"/>
      <c r="ADR6" s="6"/>
      <c r="ADS6" s="6"/>
      <c r="ADT6" s="6"/>
      <c r="ADU6" s="6"/>
      <c r="ADV6" s="6"/>
      <c r="ADW6" s="6"/>
      <c r="ADX6" s="6"/>
      <c r="ADY6" s="6"/>
      <c r="ADZ6" s="6"/>
      <c r="AEA6" s="6"/>
      <c r="AEB6" s="6"/>
      <c r="AEC6" s="6"/>
      <c r="AED6" s="6"/>
      <c r="AEE6" s="6"/>
      <c r="AEF6" s="6"/>
      <c r="AEG6" s="6"/>
      <c r="AEH6" s="6"/>
      <c r="AEI6" s="6"/>
      <c r="AEJ6" s="6"/>
      <c r="AEK6" s="6"/>
      <c r="AEL6" s="6"/>
      <c r="AEM6" s="6"/>
      <c r="AEN6" s="6"/>
      <c r="AEO6" s="6"/>
      <c r="AEP6" s="6"/>
      <c r="AEQ6" s="6"/>
      <c r="AER6" s="6"/>
      <c r="AES6" s="6"/>
      <c r="AET6" s="6"/>
      <c r="AEU6" s="6"/>
      <c r="AEV6" s="6"/>
      <c r="AEW6" s="6"/>
      <c r="AEX6" s="6"/>
      <c r="AEY6" s="6"/>
      <c r="AEZ6" s="6"/>
      <c r="AFA6" s="6"/>
      <c r="AFB6" s="6"/>
      <c r="AFC6" s="6"/>
      <c r="AFD6" s="6"/>
      <c r="AFE6" s="6"/>
      <c r="AFF6" s="6"/>
      <c r="AFG6" s="6"/>
      <c r="AFH6" s="6"/>
      <c r="AFI6" s="6"/>
      <c r="AFJ6" s="6"/>
      <c r="AFK6" s="6"/>
      <c r="AFL6" s="6"/>
      <c r="AFM6" s="6"/>
      <c r="AFN6" s="6"/>
      <c r="AFO6" s="6"/>
      <c r="AFP6" s="6"/>
      <c r="AFQ6" s="6"/>
      <c r="AFR6" s="6"/>
      <c r="AFS6" s="6"/>
      <c r="AFT6" s="6"/>
      <c r="AFU6" s="6"/>
      <c r="AFV6" s="6"/>
      <c r="AFW6" s="6"/>
      <c r="AFX6" s="6"/>
      <c r="AFY6" s="6"/>
      <c r="AFZ6" s="6"/>
      <c r="AGA6" s="6"/>
      <c r="AGB6" s="6"/>
      <c r="AGC6" s="6"/>
      <c r="AGD6" s="6"/>
      <c r="AGE6" s="6"/>
      <c r="AGF6" s="6"/>
      <c r="AGG6" s="6"/>
      <c r="AGH6" s="6"/>
      <c r="AGI6" s="6"/>
      <c r="AGJ6" s="6"/>
      <c r="AGK6" s="6"/>
      <c r="AGL6" s="6"/>
      <c r="AGM6" s="6"/>
      <c r="AGN6" s="6"/>
      <c r="AGO6" s="6"/>
      <c r="AGP6" s="6"/>
      <c r="AGQ6" s="6"/>
      <c r="AGR6" s="6"/>
      <c r="AGS6" s="6"/>
      <c r="AGT6" s="6"/>
      <c r="AGU6" s="6"/>
      <c r="AGV6" s="6"/>
      <c r="AGW6" s="6"/>
      <c r="AGX6" s="6"/>
      <c r="AGY6" s="6"/>
      <c r="AGZ6" s="6"/>
      <c r="AHA6" s="6"/>
      <c r="AHB6" s="6"/>
      <c r="AHC6" s="6"/>
      <c r="AHD6" s="6"/>
      <c r="AHE6" s="6"/>
      <c r="AHF6" s="6"/>
      <c r="AHG6" s="6"/>
      <c r="AHH6" s="6"/>
      <c r="AHI6" s="6"/>
      <c r="AHJ6" s="6"/>
      <c r="AHK6" s="6"/>
      <c r="AHL6" s="6"/>
      <c r="AHM6" s="6"/>
      <c r="AHN6" s="6"/>
      <c r="AHO6" s="6"/>
      <c r="AHP6" s="6"/>
      <c r="AHQ6" s="6"/>
      <c r="AHR6" s="6"/>
      <c r="AHS6" s="6"/>
      <c r="AHT6" s="6"/>
      <c r="AHU6" s="6"/>
      <c r="AHV6" s="6"/>
      <c r="AHW6" s="6"/>
      <c r="AHX6" s="6"/>
      <c r="AHY6" s="6"/>
      <c r="AHZ6" s="6"/>
      <c r="AIA6" s="6"/>
      <c r="AIB6" s="6"/>
      <c r="AIC6" s="6"/>
      <c r="AID6" s="6"/>
      <c r="AIE6" s="6"/>
      <c r="AIF6" s="6"/>
      <c r="AIG6" s="6"/>
      <c r="AIH6" s="6"/>
      <c r="AII6" s="6"/>
      <c r="AIJ6" s="6"/>
      <c r="AIK6" s="6"/>
      <c r="AIL6" s="6"/>
      <c r="AIM6" s="6"/>
      <c r="AIN6" s="6"/>
      <c r="AIO6" s="6"/>
      <c r="AIP6" s="6"/>
      <c r="AIQ6" s="6"/>
      <c r="AIR6" s="6"/>
      <c r="AIS6" s="6"/>
      <c r="AIT6" s="6"/>
      <c r="AIU6" s="6"/>
      <c r="AIV6" s="6"/>
      <c r="AIW6" s="6"/>
      <c r="AIX6" s="6"/>
      <c r="AIY6" s="6"/>
      <c r="AIZ6" s="6"/>
      <c r="AJA6" s="6"/>
      <c r="AJB6" s="6"/>
      <c r="AJC6" s="6"/>
      <c r="AJD6" s="6"/>
      <c r="AJE6" s="6"/>
      <c r="AJF6" s="6"/>
      <c r="AJG6" s="6"/>
      <c r="AJH6" s="6"/>
      <c r="AJI6" s="6"/>
      <c r="AJJ6" s="6"/>
      <c r="AJK6" s="6"/>
      <c r="AJL6" s="6"/>
      <c r="AJM6" s="6"/>
      <c r="AJN6" s="6"/>
      <c r="AJO6" s="6"/>
      <c r="AJP6" s="6"/>
      <c r="AJQ6" s="6"/>
      <c r="AJR6" s="6"/>
      <c r="AJS6" s="6"/>
      <c r="AJT6" s="6"/>
      <c r="AJU6" s="6"/>
      <c r="AJV6" s="6"/>
      <c r="AJW6" s="6"/>
      <c r="AJX6" s="6"/>
      <c r="AJY6" s="6"/>
      <c r="AJZ6" s="6"/>
      <c r="AKA6" s="6"/>
      <c r="AKB6" s="6"/>
      <c r="AKC6" s="6"/>
      <c r="AKD6" s="6"/>
      <c r="AKE6" s="6"/>
      <c r="AKF6" s="6"/>
      <c r="AKG6" s="6"/>
      <c r="AKH6" s="6"/>
      <c r="AKI6" s="6"/>
      <c r="AKJ6" s="6"/>
      <c r="AKK6" s="6"/>
      <c r="AKL6" s="6"/>
      <c r="AKM6" s="6"/>
      <c r="AKN6" s="6"/>
      <c r="AKO6" s="6"/>
      <c r="AKP6" s="6"/>
      <c r="AKQ6" s="6"/>
      <c r="AKR6" s="6"/>
      <c r="AKS6" s="6"/>
      <c r="AKT6" s="6"/>
      <c r="AKU6" s="6"/>
      <c r="AKV6" s="6"/>
      <c r="AKW6" s="6"/>
      <c r="AKX6" s="6"/>
      <c r="AKY6" s="6"/>
      <c r="AKZ6" s="6"/>
      <c r="ALA6" s="6"/>
      <c r="ALB6" s="6"/>
      <c r="ALC6" s="6"/>
      <c r="ALD6" s="6"/>
      <c r="ALE6" s="6"/>
      <c r="ALF6" s="6"/>
      <c r="ALG6" s="6"/>
      <c r="ALH6" s="6"/>
      <c r="ALI6" s="6"/>
      <c r="ALJ6" s="6"/>
      <c r="ALK6" s="6"/>
      <c r="ALL6" s="6"/>
      <c r="ALM6" s="6"/>
      <c r="ALN6" s="6"/>
      <c r="ALO6" s="6"/>
      <c r="ALP6" s="6"/>
      <c r="ALQ6" s="6"/>
      <c r="ALR6" s="6"/>
      <c r="ALS6" s="6"/>
      <c r="ALT6" s="6"/>
      <c r="ALU6" s="6"/>
      <c r="ALV6" s="6"/>
      <c r="ALW6" s="6"/>
      <c r="ALX6" s="6"/>
      <c r="ALY6" s="6"/>
      <c r="ALZ6" s="6"/>
      <c r="AMA6" s="6"/>
      <c r="AMB6" s="6"/>
      <c r="AMC6" s="6"/>
      <c r="AMD6" s="6"/>
      <c r="AME6" s="6"/>
      <c r="AMF6" s="6"/>
      <c r="AMG6" s="6"/>
      <c r="AMH6" s="6"/>
      <c r="AMI6" s="6"/>
      <c r="AMJ6" s="6"/>
      <c r="AMK6" s="6"/>
      <c r="AML6" s="6"/>
      <c r="AMM6" s="6"/>
      <c r="AMN6" s="6"/>
      <c r="AMO6" s="6"/>
      <c r="AMP6" s="6"/>
      <c r="AMQ6" s="6"/>
      <c r="AMR6" s="6"/>
      <c r="AMS6" s="6"/>
      <c r="AMT6" s="6"/>
      <c r="AMU6" s="6"/>
      <c r="AMV6" s="6"/>
      <c r="AMW6" s="6"/>
      <c r="AMX6" s="6"/>
      <c r="AMY6" s="6"/>
      <c r="AMZ6" s="6"/>
      <c r="ANA6" s="6"/>
      <c r="ANB6" s="6"/>
      <c r="ANC6" s="6"/>
      <c r="AND6" s="6"/>
      <c r="ANE6" s="6"/>
      <c r="ANF6" s="6"/>
      <c r="ANG6" s="6"/>
      <c r="ANH6" s="6"/>
      <c r="ANI6" s="6"/>
      <c r="ANJ6" s="6"/>
      <c r="ANK6" s="6"/>
      <c r="ANL6" s="6"/>
      <c r="ANM6" s="6"/>
      <c r="ANN6" s="6"/>
      <c r="ANO6" s="6"/>
      <c r="ANP6" s="6"/>
      <c r="ANQ6" s="6"/>
      <c r="ANR6" s="6"/>
      <c r="ANS6" s="6"/>
      <c r="ANT6" s="6"/>
      <c r="ANU6" s="6"/>
      <c r="ANV6" s="6"/>
      <c r="ANW6" s="6"/>
      <c r="ANX6" s="6"/>
      <c r="ANY6" s="6"/>
      <c r="ANZ6" s="6"/>
      <c r="AOA6" s="6"/>
      <c r="AOB6" s="6"/>
      <c r="AOC6" s="6"/>
      <c r="AOD6" s="6"/>
      <c r="AOE6" s="6"/>
      <c r="AOF6" s="6"/>
      <c r="AOG6" s="6"/>
      <c r="AOH6" s="6"/>
      <c r="AOI6" s="6"/>
      <c r="AOJ6" s="6"/>
      <c r="AOK6" s="6"/>
      <c r="AOL6" s="6"/>
      <c r="AOM6" s="6"/>
      <c r="AON6" s="6"/>
      <c r="AOO6" s="6"/>
      <c r="AOP6" s="6"/>
      <c r="AOQ6" s="6"/>
      <c r="AOR6" s="6"/>
      <c r="AOS6" s="6"/>
      <c r="AOT6" s="6"/>
      <c r="AOU6" s="6"/>
      <c r="AOV6" s="6"/>
      <c r="AOW6" s="6"/>
      <c r="AOX6" s="6"/>
      <c r="AOY6" s="6"/>
      <c r="AOZ6" s="6"/>
      <c r="APA6" s="6"/>
      <c r="APB6" s="6"/>
      <c r="APC6" s="6"/>
      <c r="APD6" s="6"/>
      <c r="APE6" s="6"/>
      <c r="APF6" s="6"/>
      <c r="APG6" s="6"/>
      <c r="APH6" s="6"/>
      <c r="API6" s="6"/>
      <c r="APJ6" s="6"/>
      <c r="APK6" s="6"/>
      <c r="APL6" s="6"/>
      <c r="APM6" s="6"/>
      <c r="APN6" s="6"/>
      <c r="APO6" s="6"/>
      <c r="APP6" s="6"/>
      <c r="APQ6" s="6"/>
      <c r="APR6" s="6"/>
      <c r="APS6" s="6"/>
      <c r="APT6" s="6"/>
      <c r="APU6" s="6"/>
      <c r="APV6" s="6"/>
      <c r="APW6" s="6"/>
      <c r="APX6" s="6"/>
      <c r="APY6" s="6"/>
      <c r="APZ6" s="6"/>
      <c r="AQA6" s="6"/>
      <c r="AQB6" s="6"/>
      <c r="AQC6" s="6"/>
      <c r="AQD6" s="6"/>
      <c r="AQE6" s="6"/>
      <c r="AQF6" s="6"/>
      <c r="AQG6" s="6"/>
      <c r="AQH6" s="6"/>
      <c r="AQI6" s="6"/>
      <c r="AQJ6" s="6"/>
      <c r="AQK6" s="6"/>
      <c r="AQL6" s="6"/>
      <c r="AQM6" s="6"/>
      <c r="AQN6" s="6"/>
      <c r="AQO6" s="6"/>
      <c r="AQP6" s="6"/>
      <c r="AQQ6" s="6"/>
      <c r="AQR6" s="6"/>
      <c r="AQS6" s="6"/>
      <c r="AQT6" s="6"/>
      <c r="AQU6" s="6"/>
      <c r="AQV6" s="6"/>
      <c r="AQW6" s="6"/>
      <c r="AQX6" s="6"/>
      <c r="AQY6" s="6"/>
      <c r="AQZ6" s="6"/>
      <c r="ARA6" s="6"/>
      <c r="ARB6" s="6"/>
      <c r="ARC6" s="6"/>
      <c r="ARD6" s="6"/>
      <c r="ARE6" s="6"/>
      <c r="ARF6" s="6"/>
      <c r="ARG6" s="6"/>
      <c r="ARH6" s="6"/>
      <c r="ARI6" s="6"/>
      <c r="ARJ6" s="6"/>
      <c r="ARK6" s="6"/>
      <c r="ARL6" s="6"/>
      <c r="ARM6" s="6"/>
      <c r="ARN6" s="6"/>
      <c r="ARO6" s="6"/>
      <c r="ARP6" s="6"/>
      <c r="ARQ6" s="6"/>
      <c r="ARR6" s="6"/>
      <c r="ARS6" s="6"/>
      <c r="ART6" s="6"/>
      <c r="ARU6" s="6"/>
      <c r="ARV6" s="6"/>
      <c r="ARW6" s="6"/>
      <c r="ARX6" s="6"/>
      <c r="ARY6" s="6"/>
      <c r="ARZ6" s="6"/>
      <c r="ASA6" s="6"/>
      <c r="ASB6" s="6"/>
      <c r="ASC6" s="6"/>
      <c r="ASD6" s="6"/>
      <c r="ASE6" s="6"/>
      <c r="ASF6" s="6"/>
      <c r="ASG6" s="6"/>
      <c r="ASH6" s="6"/>
      <c r="ASI6" s="6"/>
      <c r="ASJ6" s="6"/>
      <c r="ASK6" s="6"/>
      <c r="ASL6" s="6"/>
      <c r="ASM6" s="6"/>
      <c r="ASN6" s="6"/>
      <c r="ASO6" s="6"/>
      <c r="ASP6" s="6"/>
      <c r="ASQ6" s="6"/>
      <c r="ASR6" s="6"/>
      <c r="ASS6" s="6"/>
      <c r="AST6" s="6"/>
      <c r="ASU6" s="6"/>
      <c r="ASV6" s="6"/>
      <c r="ASW6" s="6"/>
      <c r="ASX6" s="6"/>
      <c r="ASY6" s="6"/>
      <c r="ASZ6" s="6"/>
      <c r="ATA6" s="6"/>
      <c r="ATB6" s="6"/>
      <c r="ATC6" s="6"/>
      <c r="ATD6" s="6"/>
      <c r="ATE6" s="6"/>
      <c r="ATF6" s="6"/>
      <c r="ATG6" s="6"/>
      <c r="ATH6" s="6"/>
      <c r="ATI6" s="6"/>
      <c r="ATJ6" s="6"/>
      <c r="ATK6" s="6"/>
      <c r="ATL6" s="6"/>
      <c r="ATM6" s="6"/>
      <c r="ATN6" s="6"/>
      <c r="ATO6" s="6"/>
      <c r="ATP6" s="6"/>
      <c r="ATQ6" s="6"/>
      <c r="ATR6" s="6"/>
      <c r="ATS6" s="6"/>
      <c r="ATT6" s="6"/>
      <c r="ATU6" s="6"/>
      <c r="ATV6" s="6"/>
      <c r="ATW6" s="6"/>
      <c r="ATX6" s="6"/>
      <c r="ATY6" s="6"/>
      <c r="ATZ6" s="6"/>
      <c r="AUA6" s="6"/>
      <c r="AUB6" s="6"/>
      <c r="AUC6" s="6"/>
      <c r="AUD6" s="6"/>
      <c r="AUE6" s="6"/>
      <c r="AUF6" s="6"/>
      <c r="AUG6" s="6"/>
      <c r="AUH6" s="6"/>
      <c r="AUI6" s="6"/>
      <c r="AUJ6" s="6"/>
      <c r="AUK6" s="6"/>
      <c r="AUL6" s="6"/>
      <c r="AUM6" s="6"/>
      <c r="AUN6" s="6"/>
      <c r="AUO6" s="6"/>
      <c r="AUP6" s="6"/>
      <c r="AUQ6" s="6"/>
      <c r="AUR6" s="6"/>
      <c r="AUS6" s="6"/>
      <c r="AUT6" s="6"/>
      <c r="AUU6" s="6"/>
      <c r="AUV6" s="6"/>
      <c r="AUW6" s="6"/>
      <c r="AUX6" s="6"/>
      <c r="AUY6" s="6"/>
      <c r="AUZ6" s="6"/>
      <c r="AVA6" s="6"/>
      <c r="AVB6" s="6"/>
      <c r="AVC6" s="6"/>
      <c r="AVD6" s="6"/>
      <c r="AVE6" s="6"/>
      <c r="AVF6" s="6"/>
      <c r="AVG6" s="6"/>
      <c r="AVH6" s="6"/>
      <c r="AVI6" s="6"/>
      <c r="AVJ6" s="6"/>
      <c r="AVK6" s="6"/>
      <c r="AVL6" s="6"/>
      <c r="AVM6" s="6"/>
      <c r="AVN6" s="6"/>
      <c r="AVO6" s="6"/>
      <c r="AVP6" s="6"/>
      <c r="AVQ6" s="6"/>
      <c r="AVR6" s="6"/>
      <c r="AVS6" s="6"/>
      <c r="AVT6" s="6"/>
      <c r="AVU6" s="6"/>
      <c r="AVV6" s="6"/>
      <c r="AVW6" s="6"/>
      <c r="AVX6" s="6"/>
      <c r="AVY6" s="6"/>
      <c r="AVZ6" s="6"/>
      <c r="AWA6" s="6"/>
      <c r="AWB6" s="6"/>
      <c r="AWC6" s="6"/>
      <c r="AWD6" s="6"/>
      <c r="AWE6" s="6"/>
      <c r="AWF6" s="6"/>
      <c r="AWG6" s="6"/>
      <c r="AWH6" s="6"/>
      <c r="AWI6" s="6"/>
      <c r="AWJ6" s="6"/>
      <c r="AWK6" s="6"/>
      <c r="AWL6" s="6"/>
      <c r="AWM6" s="6"/>
      <c r="AWN6" s="6"/>
      <c r="AWO6" s="6"/>
      <c r="AWP6" s="6"/>
      <c r="AWQ6" s="6"/>
      <c r="AWR6" s="6"/>
      <c r="AWS6" s="6"/>
      <c r="AWT6" s="6"/>
      <c r="AWU6" s="6"/>
      <c r="AWV6" s="6"/>
      <c r="AWW6" s="6"/>
      <c r="AWX6" s="6"/>
      <c r="AWY6" s="6"/>
      <c r="AWZ6" s="6"/>
      <c r="AXA6" s="6"/>
      <c r="AXB6" s="6"/>
      <c r="AXC6" s="6"/>
      <c r="AXD6" s="6"/>
      <c r="AXE6" s="6"/>
      <c r="AXF6" s="6"/>
      <c r="AXG6" s="6"/>
      <c r="AXH6" s="6"/>
      <c r="AXI6" s="6"/>
      <c r="AXJ6" s="6"/>
      <c r="AXK6" s="6"/>
      <c r="AXL6" s="6"/>
      <c r="AXM6" s="6"/>
      <c r="AXN6" s="6"/>
      <c r="AXO6" s="6"/>
      <c r="AXP6" s="6"/>
      <c r="AXQ6" s="6"/>
      <c r="AXR6" s="6"/>
      <c r="AXS6" s="6"/>
      <c r="AXT6" s="6"/>
      <c r="AXU6" s="6"/>
      <c r="AXV6" s="6"/>
      <c r="AXW6" s="6"/>
      <c r="AXX6" s="6"/>
      <c r="AXY6" s="6"/>
      <c r="AXZ6" s="6"/>
      <c r="AYA6" s="6"/>
      <c r="AYB6" s="6"/>
      <c r="AYC6" s="6"/>
      <c r="AYD6" s="6"/>
      <c r="AYE6" s="6"/>
      <c r="AYF6" s="6"/>
      <c r="AYG6" s="6"/>
      <c r="AYH6" s="6"/>
      <c r="AYI6" s="6"/>
      <c r="AYJ6" s="6"/>
      <c r="AYK6" s="6"/>
      <c r="AYL6" s="6"/>
      <c r="AYM6" s="6"/>
      <c r="AYN6" s="6"/>
      <c r="AYO6" s="6"/>
      <c r="AYP6" s="6"/>
      <c r="AYQ6" s="6"/>
      <c r="AYR6" s="6"/>
      <c r="AYS6" s="6"/>
      <c r="AYT6" s="6"/>
      <c r="AYU6" s="6"/>
      <c r="AYV6" s="6"/>
      <c r="AYW6" s="6"/>
      <c r="AYX6" s="6"/>
      <c r="AYY6" s="6"/>
      <c r="AYZ6" s="6"/>
      <c r="AZA6" s="6"/>
      <c r="AZB6" s="6"/>
      <c r="AZC6" s="6"/>
      <c r="AZD6" s="6"/>
      <c r="AZE6" s="6"/>
      <c r="AZF6" s="6"/>
      <c r="AZG6" s="6"/>
      <c r="AZH6" s="6"/>
      <c r="AZI6" s="6"/>
      <c r="AZJ6" s="6"/>
      <c r="AZK6" s="6"/>
      <c r="AZL6" s="6"/>
      <c r="AZM6" s="6"/>
      <c r="AZN6" s="6"/>
      <c r="AZO6" s="6"/>
      <c r="AZP6" s="6"/>
      <c r="AZQ6" s="6"/>
      <c r="AZR6" s="6"/>
      <c r="AZS6" s="6"/>
      <c r="AZT6" s="6"/>
      <c r="AZU6" s="6"/>
      <c r="AZV6" s="6"/>
      <c r="AZW6" s="6"/>
      <c r="AZX6" s="6"/>
      <c r="AZY6" s="6"/>
      <c r="AZZ6" s="6"/>
      <c r="BAA6" s="6"/>
      <c r="BAB6" s="6"/>
      <c r="BAC6" s="6"/>
      <c r="BAD6" s="6"/>
      <c r="BAE6" s="6"/>
      <c r="BAF6" s="6"/>
      <c r="BAG6" s="6"/>
      <c r="BAH6" s="6"/>
      <c r="BAI6" s="6"/>
      <c r="BAJ6" s="6"/>
      <c r="BAK6" s="6"/>
      <c r="BAL6" s="6"/>
      <c r="BAM6" s="6"/>
      <c r="BAN6" s="6"/>
      <c r="BAO6" s="6"/>
      <c r="BAP6" s="6"/>
      <c r="BAQ6" s="6"/>
      <c r="BAR6" s="6"/>
      <c r="BAS6" s="6"/>
      <c r="BAT6" s="6"/>
      <c r="BAU6" s="6"/>
      <c r="BAV6" s="6"/>
      <c r="BAW6" s="6"/>
      <c r="BAX6" s="6"/>
      <c r="BAY6" s="6"/>
      <c r="BAZ6" s="6"/>
      <c r="BBA6" s="6"/>
      <c r="BBB6" s="6"/>
      <c r="BBC6" s="6"/>
      <c r="BBD6" s="6"/>
      <c r="BBE6" s="6"/>
      <c r="BBF6" s="6"/>
      <c r="BBG6" s="6"/>
      <c r="BBH6" s="6"/>
      <c r="BBI6" s="6"/>
      <c r="BBJ6" s="6"/>
      <c r="BBK6" s="6"/>
      <c r="BBL6" s="6"/>
      <c r="BBM6" s="6"/>
      <c r="BBN6" s="6"/>
      <c r="BBO6" s="6"/>
      <c r="BBP6" s="6"/>
      <c r="BBQ6" s="6"/>
      <c r="BBR6" s="6"/>
      <c r="BBS6" s="6"/>
      <c r="BBT6" s="6"/>
      <c r="BBU6" s="6"/>
      <c r="BBV6" s="6"/>
      <c r="BBW6" s="6"/>
      <c r="BBX6" s="6"/>
      <c r="BBY6" s="6"/>
      <c r="BBZ6" s="6"/>
      <c r="BCA6" s="6"/>
      <c r="BCB6" s="6"/>
      <c r="BCC6" s="6"/>
      <c r="BCD6" s="6"/>
      <c r="BCE6" s="6"/>
      <c r="BCF6" s="6"/>
      <c r="BCG6" s="6"/>
      <c r="BCH6" s="6"/>
      <c r="BCI6" s="6"/>
      <c r="BCJ6" s="6"/>
      <c r="BCK6" s="6"/>
      <c r="BCL6" s="6"/>
      <c r="BCM6" s="6"/>
      <c r="BCN6" s="6"/>
      <c r="BCO6" s="6"/>
      <c r="BCP6" s="6"/>
      <c r="BCQ6" s="6"/>
      <c r="BCR6" s="6"/>
      <c r="BCS6" s="6"/>
      <c r="BCT6" s="6"/>
      <c r="BCU6" s="6"/>
      <c r="BCV6" s="6"/>
      <c r="BCW6" s="6"/>
      <c r="BCX6" s="6"/>
      <c r="BCY6" s="6"/>
      <c r="BCZ6" s="6"/>
      <c r="BDA6" s="6"/>
      <c r="BDB6" s="6"/>
      <c r="BDC6" s="6"/>
      <c r="BDD6" s="6"/>
      <c r="BDE6" s="6"/>
      <c r="BDF6" s="6"/>
      <c r="BDG6" s="6"/>
      <c r="BDH6" s="6"/>
      <c r="BDI6" s="6"/>
      <c r="BDJ6" s="6"/>
      <c r="BDK6" s="6"/>
      <c r="BDL6" s="6"/>
      <c r="BDM6" s="6"/>
      <c r="BDN6" s="6"/>
      <c r="BDO6" s="6"/>
      <c r="BDP6" s="6"/>
      <c r="BDQ6" s="6"/>
      <c r="BDR6" s="6"/>
      <c r="BDS6" s="6"/>
      <c r="BDT6" s="6"/>
      <c r="BDU6" s="6"/>
      <c r="BDV6" s="6"/>
      <c r="BDW6" s="6"/>
      <c r="BDX6" s="6"/>
      <c r="BDY6" s="6"/>
      <c r="BDZ6" s="6"/>
      <c r="BEA6" s="6"/>
      <c r="BEB6" s="6"/>
      <c r="BEC6" s="6"/>
      <c r="BED6" s="6"/>
      <c r="BEE6" s="6"/>
      <c r="BEF6" s="6"/>
      <c r="BEG6" s="6"/>
      <c r="BEH6" s="6"/>
      <c r="BEI6" s="6"/>
      <c r="BEJ6" s="6"/>
      <c r="BEK6" s="6"/>
      <c r="BEL6" s="6"/>
      <c r="BEM6" s="6"/>
      <c r="BEN6" s="6"/>
      <c r="BEO6" s="6"/>
      <c r="BEP6" s="6"/>
      <c r="BEQ6" s="6"/>
      <c r="BER6" s="6"/>
      <c r="BES6" s="6"/>
      <c r="BET6" s="6"/>
      <c r="BEU6" s="6"/>
      <c r="BEV6" s="6"/>
      <c r="BEW6" s="6"/>
      <c r="BEX6" s="6"/>
      <c r="BEY6" s="6"/>
      <c r="BEZ6" s="6"/>
      <c r="BFA6" s="6"/>
      <c r="BFB6" s="6"/>
      <c r="BFC6" s="6"/>
      <c r="BFD6" s="6"/>
      <c r="BFE6" s="6"/>
      <c r="BFF6" s="6"/>
      <c r="BFG6" s="6"/>
      <c r="BFH6" s="6"/>
      <c r="BFI6" s="6"/>
      <c r="BFJ6" s="6"/>
      <c r="BFK6" s="6"/>
      <c r="BFL6" s="6"/>
      <c r="BFM6" s="6"/>
      <c r="BFN6" s="6"/>
      <c r="BFO6" s="6"/>
      <c r="BFP6" s="6"/>
      <c r="BFQ6" s="6"/>
      <c r="BFR6" s="6"/>
      <c r="BFS6" s="6"/>
      <c r="BFT6" s="6"/>
      <c r="BFU6" s="6"/>
      <c r="BFV6" s="6"/>
      <c r="BFW6" s="6"/>
      <c r="BFX6" s="6"/>
      <c r="BFY6" s="6"/>
      <c r="BFZ6" s="6"/>
      <c r="BGA6" s="6"/>
      <c r="BGB6" s="6"/>
      <c r="BGC6" s="6"/>
      <c r="BGD6" s="6"/>
      <c r="BGE6" s="6"/>
      <c r="BGF6" s="6"/>
      <c r="BGG6" s="6"/>
      <c r="BGH6" s="6"/>
      <c r="BGI6" s="6"/>
      <c r="BGJ6" s="6"/>
      <c r="BGK6" s="6"/>
      <c r="BGL6" s="6"/>
      <c r="BGM6" s="6"/>
      <c r="BGN6" s="6"/>
      <c r="BGO6" s="6"/>
      <c r="BGP6" s="6"/>
      <c r="BGQ6" s="6"/>
      <c r="BGR6" s="6"/>
      <c r="BGS6" s="6"/>
      <c r="BGT6" s="6"/>
      <c r="BGU6" s="6"/>
      <c r="BGV6" s="6"/>
      <c r="BGW6" s="6"/>
      <c r="BGX6" s="6"/>
      <c r="BGY6" s="6"/>
      <c r="BGZ6" s="6"/>
      <c r="BHA6" s="6"/>
      <c r="BHB6" s="6"/>
      <c r="BHC6" s="6"/>
      <c r="BHD6" s="6"/>
      <c r="BHE6" s="6"/>
      <c r="BHF6" s="6"/>
      <c r="BHG6" s="6"/>
      <c r="BHH6" s="6"/>
      <c r="BHI6" s="6"/>
      <c r="BHJ6" s="6"/>
      <c r="BHK6" s="6"/>
      <c r="BHL6" s="6"/>
      <c r="BHM6" s="6"/>
      <c r="BHN6" s="6"/>
      <c r="BHO6" s="6"/>
      <c r="BHP6" s="6"/>
      <c r="BHQ6" s="6"/>
      <c r="BHR6" s="6"/>
      <c r="BHS6" s="6"/>
      <c r="BHT6" s="6"/>
      <c r="BHU6" s="6"/>
      <c r="BHV6" s="6"/>
      <c r="BHW6" s="6"/>
      <c r="BHX6" s="6"/>
      <c r="BHY6" s="6"/>
      <c r="BHZ6" s="6"/>
      <c r="BIA6" s="6"/>
      <c r="BIB6" s="6"/>
      <c r="BIC6" s="6"/>
      <c r="BID6" s="6"/>
      <c r="BIE6" s="6"/>
      <c r="BIF6" s="6"/>
      <c r="BIG6" s="6"/>
      <c r="BIH6" s="6"/>
      <c r="BII6" s="6"/>
      <c r="BIJ6" s="6"/>
      <c r="BIK6" s="6"/>
      <c r="BIL6" s="6"/>
      <c r="BIM6" s="6"/>
      <c r="BIN6" s="6"/>
      <c r="BIO6" s="6"/>
      <c r="BIP6" s="6"/>
      <c r="BIQ6" s="6"/>
      <c r="BIR6" s="6"/>
      <c r="BIS6" s="6"/>
      <c r="BIT6" s="6"/>
      <c r="BIU6" s="6"/>
      <c r="BIV6" s="6"/>
      <c r="BIW6" s="6"/>
      <c r="BIX6" s="6"/>
      <c r="BIY6" s="6"/>
      <c r="BIZ6" s="6"/>
      <c r="BJA6" s="6"/>
      <c r="BJB6" s="6"/>
      <c r="BJC6" s="6"/>
      <c r="BJD6" s="6"/>
      <c r="BJE6" s="6"/>
      <c r="BJF6" s="6"/>
      <c r="BJG6" s="6"/>
      <c r="BJH6" s="6"/>
      <c r="BJI6" s="6"/>
      <c r="BJJ6" s="6"/>
      <c r="BJK6" s="6"/>
      <c r="BJL6" s="6"/>
      <c r="BJM6" s="6"/>
      <c r="BJN6" s="6"/>
      <c r="BJO6" s="6"/>
      <c r="BJP6" s="6"/>
      <c r="BJQ6" s="6"/>
      <c r="BJR6" s="6"/>
      <c r="BJS6" s="6"/>
      <c r="BJT6" s="6"/>
      <c r="BJU6" s="6"/>
      <c r="BJV6" s="6"/>
      <c r="BJW6" s="6"/>
      <c r="BJX6" s="6"/>
      <c r="BJY6" s="6"/>
      <c r="BJZ6" s="6"/>
      <c r="BKA6" s="6"/>
      <c r="BKB6" s="6"/>
      <c r="BKC6" s="6"/>
      <c r="BKD6" s="6"/>
      <c r="BKE6" s="6"/>
      <c r="BKF6" s="6"/>
      <c r="BKG6" s="6"/>
      <c r="BKH6" s="6"/>
      <c r="BKI6" s="6"/>
      <c r="BKJ6" s="6"/>
      <c r="BKK6" s="6"/>
      <c r="BKL6" s="6"/>
      <c r="BKM6" s="6"/>
      <c r="BKN6" s="6"/>
      <c r="BKO6" s="6"/>
      <c r="BKP6" s="6"/>
      <c r="BKQ6" s="6"/>
      <c r="BKR6" s="6"/>
      <c r="BKS6" s="6"/>
      <c r="BKT6" s="6"/>
      <c r="BKU6" s="6"/>
      <c r="BKV6" s="6"/>
      <c r="BKW6" s="6"/>
      <c r="BKX6" s="6"/>
      <c r="BKY6" s="6"/>
      <c r="BKZ6" s="6"/>
      <c r="BLA6" s="6"/>
      <c r="BLB6" s="6"/>
      <c r="BLC6" s="6"/>
      <c r="BLD6" s="6"/>
      <c r="BLE6" s="6"/>
      <c r="BLF6" s="6"/>
      <c r="BLG6" s="6"/>
      <c r="BLH6" s="6"/>
      <c r="BLI6" s="6"/>
      <c r="BLJ6" s="6"/>
      <c r="BLK6" s="6"/>
      <c r="BLL6" s="6"/>
      <c r="BLM6" s="6"/>
      <c r="BLN6" s="6"/>
      <c r="BLO6" s="6"/>
      <c r="BLP6" s="6"/>
      <c r="BLQ6" s="6"/>
      <c r="BLR6" s="6"/>
      <c r="BLS6" s="6"/>
      <c r="BLT6" s="6"/>
      <c r="BLU6" s="6"/>
      <c r="BLV6" s="6"/>
      <c r="BLW6" s="6"/>
      <c r="BLX6" s="6"/>
      <c r="BLY6" s="6"/>
      <c r="BLZ6" s="6"/>
      <c r="BMA6" s="6"/>
      <c r="BMB6" s="6"/>
      <c r="BMC6" s="6"/>
      <c r="BMD6" s="6"/>
      <c r="BME6" s="6"/>
      <c r="BMF6" s="6"/>
      <c r="BMG6" s="6"/>
      <c r="BMH6" s="6"/>
      <c r="BMI6" s="6"/>
      <c r="BMJ6" s="6"/>
      <c r="BMK6" s="6"/>
      <c r="BML6" s="6"/>
      <c r="BMM6" s="6"/>
      <c r="BMN6" s="6"/>
      <c r="BMO6" s="6"/>
      <c r="BMP6" s="6"/>
      <c r="BMQ6" s="6"/>
      <c r="BMR6" s="6"/>
      <c r="BMS6" s="6"/>
      <c r="BMT6" s="6"/>
      <c r="BMU6" s="6"/>
      <c r="BMV6" s="6"/>
      <c r="BMW6" s="6"/>
      <c r="BMX6" s="6"/>
      <c r="BMY6" s="6"/>
      <c r="BMZ6" s="6"/>
      <c r="BNA6" s="6"/>
      <c r="BNB6" s="6"/>
      <c r="BNC6" s="6"/>
      <c r="BND6" s="6"/>
      <c r="BNE6" s="6"/>
      <c r="BNF6" s="6"/>
      <c r="BNG6" s="6"/>
      <c r="BNH6" s="6"/>
      <c r="BNI6" s="6"/>
      <c r="BNJ6" s="6"/>
      <c r="BNK6" s="6"/>
      <c r="BNL6" s="6"/>
      <c r="BNM6" s="6"/>
      <c r="BNN6" s="6"/>
      <c r="BNO6" s="6"/>
      <c r="BNP6" s="6"/>
      <c r="BNQ6" s="6"/>
      <c r="BNR6" s="6"/>
      <c r="BNS6" s="6"/>
      <c r="BNT6" s="6"/>
      <c r="BNU6" s="6"/>
      <c r="BNV6" s="6"/>
      <c r="BNW6" s="6"/>
      <c r="BNX6" s="6"/>
      <c r="BNY6" s="6"/>
      <c r="BNZ6" s="6"/>
      <c r="BOA6" s="6"/>
      <c r="BOB6" s="6"/>
      <c r="BOC6" s="6"/>
      <c r="BOD6" s="6"/>
      <c r="BOE6" s="6"/>
      <c r="BOF6" s="6"/>
      <c r="BOG6" s="6"/>
      <c r="BOH6" s="6"/>
      <c r="BOI6" s="6"/>
      <c r="BOJ6" s="6"/>
      <c r="BOK6" s="6"/>
      <c r="BOL6" s="6"/>
      <c r="BOM6" s="6"/>
      <c r="BON6" s="6"/>
      <c r="BOO6" s="6"/>
      <c r="BOP6" s="6"/>
      <c r="BOQ6" s="6"/>
      <c r="BOR6" s="6"/>
      <c r="BOS6" s="6"/>
      <c r="BOT6" s="6"/>
      <c r="BOU6" s="6"/>
      <c r="BOV6" s="6"/>
      <c r="BOW6" s="6"/>
      <c r="BOX6" s="6"/>
      <c r="BOY6" s="6"/>
      <c r="BOZ6" s="6"/>
      <c r="BPA6" s="6"/>
      <c r="BPB6" s="6"/>
      <c r="BPC6" s="6"/>
      <c r="BPD6" s="6"/>
      <c r="BPE6" s="6"/>
      <c r="BPF6" s="6"/>
      <c r="BPG6" s="6"/>
      <c r="BPH6" s="6"/>
      <c r="BPI6" s="6"/>
      <c r="BPJ6" s="6"/>
      <c r="BPK6" s="6"/>
      <c r="BPL6" s="6"/>
      <c r="BPM6" s="6"/>
      <c r="BPN6" s="6"/>
      <c r="BPO6" s="6"/>
      <c r="BPP6" s="6"/>
      <c r="BPQ6" s="6"/>
      <c r="BPR6" s="6"/>
      <c r="BPS6" s="6"/>
      <c r="BPT6" s="6"/>
      <c r="BPU6" s="6"/>
      <c r="BPV6" s="6"/>
      <c r="BPW6" s="6"/>
      <c r="BPX6" s="6"/>
      <c r="BPY6" s="6"/>
      <c r="BPZ6" s="6"/>
      <c r="BQA6" s="6"/>
      <c r="BQB6" s="6"/>
      <c r="BQC6" s="6"/>
      <c r="BQD6" s="6"/>
      <c r="BQE6" s="6"/>
      <c r="BQF6" s="6"/>
      <c r="BQG6" s="6"/>
      <c r="BQH6" s="6"/>
      <c r="BQI6" s="6"/>
      <c r="BQJ6" s="6"/>
      <c r="BQK6" s="6"/>
      <c r="BQL6" s="6"/>
      <c r="BQM6" s="6"/>
      <c r="BQN6" s="6"/>
      <c r="BQO6" s="6"/>
      <c r="BQP6" s="6"/>
      <c r="BQQ6" s="6"/>
      <c r="BQR6" s="6"/>
      <c r="BQS6" s="6"/>
      <c r="BQT6" s="6"/>
      <c r="BQU6" s="6"/>
      <c r="BQV6" s="6"/>
      <c r="BQW6" s="6"/>
      <c r="BQX6" s="6"/>
      <c r="BQY6" s="6"/>
      <c r="BQZ6" s="6"/>
      <c r="BRA6" s="6"/>
      <c r="BRB6" s="6"/>
      <c r="BRC6" s="6"/>
      <c r="BRD6" s="6"/>
      <c r="BRE6" s="6"/>
      <c r="BRF6" s="6"/>
      <c r="BRG6" s="6"/>
      <c r="BRH6" s="6"/>
      <c r="BRI6" s="6"/>
      <c r="BRJ6" s="6"/>
      <c r="BRK6" s="6"/>
      <c r="BRL6" s="6"/>
      <c r="BRM6" s="6"/>
      <c r="BRN6" s="6"/>
      <c r="BRO6" s="6"/>
      <c r="BRP6" s="6"/>
      <c r="BRQ6" s="6"/>
      <c r="BRR6" s="6"/>
      <c r="BRS6" s="6"/>
      <c r="BRT6" s="6"/>
      <c r="BRU6" s="6"/>
      <c r="BRV6" s="6"/>
      <c r="BRW6" s="6"/>
      <c r="BRX6" s="6"/>
      <c r="BRY6" s="6"/>
      <c r="BRZ6" s="6"/>
      <c r="BSA6" s="6"/>
      <c r="BSB6" s="6"/>
      <c r="BSC6" s="6"/>
      <c r="BSD6" s="6"/>
      <c r="BSE6" s="6"/>
      <c r="BSF6" s="6"/>
      <c r="BSG6" s="6"/>
      <c r="BSH6" s="6"/>
      <c r="BSI6" s="6"/>
      <c r="BSJ6" s="6"/>
      <c r="BSK6" s="6"/>
      <c r="BSL6" s="6"/>
      <c r="BSM6" s="6"/>
      <c r="BSN6" s="6"/>
      <c r="BSO6" s="6"/>
      <c r="BSP6" s="6"/>
      <c r="BSQ6" s="6"/>
      <c r="BSR6" s="6"/>
      <c r="BSS6" s="6"/>
      <c r="BST6" s="6"/>
      <c r="BSU6" s="6"/>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c r="BTW6" s="6"/>
      <c r="BTX6" s="6"/>
      <c r="BTY6" s="6"/>
      <c r="BTZ6" s="6"/>
      <c r="BUA6" s="6"/>
      <c r="BUB6" s="6"/>
      <c r="BUC6" s="6"/>
      <c r="BUD6" s="6"/>
      <c r="BUE6" s="6"/>
      <c r="BUF6" s="6"/>
      <c r="BUG6" s="6"/>
      <c r="BUH6" s="6"/>
      <c r="BUI6" s="6"/>
      <c r="BUJ6" s="6"/>
      <c r="BUK6" s="6"/>
      <c r="BUL6" s="6"/>
      <c r="BUM6" s="6"/>
      <c r="BUN6" s="6"/>
      <c r="BUO6" s="6"/>
      <c r="BUP6" s="6"/>
      <c r="BUQ6" s="6"/>
      <c r="BUR6" s="6"/>
      <c r="BUS6" s="6"/>
      <c r="BUT6" s="6"/>
      <c r="BUU6" s="6"/>
      <c r="BUV6" s="6"/>
      <c r="BUW6" s="6"/>
      <c r="BUX6" s="6"/>
      <c r="BUY6" s="6"/>
      <c r="BUZ6" s="6"/>
      <c r="BVA6" s="6"/>
      <c r="BVB6" s="6"/>
      <c r="BVC6" s="6"/>
      <c r="BVD6" s="6"/>
      <c r="BVE6" s="6"/>
      <c r="BVF6" s="6"/>
      <c r="BVG6" s="6"/>
      <c r="BVH6" s="6"/>
      <c r="BVI6" s="6"/>
      <c r="BVJ6" s="6"/>
      <c r="BVK6" s="6"/>
      <c r="BVL6" s="6"/>
      <c r="BVM6" s="6"/>
      <c r="BVN6" s="6"/>
      <c r="BVO6" s="6"/>
      <c r="BVP6" s="6"/>
      <c r="BVQ6" s="6"/>
      <c r="BVR6" s="6"/>
      <c r="BVS6" s="6"/>
      <c r="BVT6" s="6"/>
      <c r="BVU6" s="6"/>
      <c r="BVV6" s="6"/>
      <c r="BVW6" s="6"/>
      <c r="BVX6" s="6"/>
      <c r="BVY6" s="6"/>
      <c r="BVZ6" s="6"/>
      <c r="BWA6" s="6"/>
      <c r="BWB6" s="6"/>
      <c r="BWC6" s="6"/>
      <c r="BWD6" s="6"/>
      <c r="BWE6" s="6"/>
      <c r="BWF6" s="6"/>
      <c r="BWG6" s="6"/>
      <c r="BWH6" s="6"/>
      <c r="BWI6" s="6"/>
      <c r="BWJ6" s="6"/>
      <c r="BWK6" s="6"/>
      <c r="BWL6" s="6"/>
      <c r="BWM6" s="6"/>
      <c r="BWN6" s="6"/>
      <c r="BWO6" s="6"/>
      <c r="BWP6" s="6"/>
      <c r="BWQ6" s="6"/>
      <c r="BWR6" s="6"/>
      <c r="BWS6" s="6"/>
      <c r="BWT6" s="6"/>
      <c r="BWU6" s="6"/>
      <c r="BWV6" s="6"/>
      <c r="BWW6" s="6"/>
      <c r="BWX6" s="6"/>
      <c r="BWY6" s="6"/>
      <c r="BWZ6" s="6"/>
      <c r="BXA6" s="6"/>
      <c r="BXB6" s="6"/>
      <c r="BXC6" s="6"/>
      <c r="BXD6" s="6"/>
      <c r="BXE6" s="6"/>
      <c r="BXF6" s="6"/>
      <c r="BXG6" s="6"/>
      <c r="BXH6" s="6"/>
      <c r="BXI6" s="6"/>
      <c r="BXJ6" s="6"/>
      <c r="BXK6" s="6"/>
      <c r="BXL6" s="6"/>
      <c r="BXM6" s="6"/>
      <c r="BXN6" s="6"/>
      <c r="BXO6" s="6"/>
      <c r="BXP6" s="6"/>
      <c r="BXQ6" s="6"/>
      <c r="BXR6" s="6"/>
      <c r="BXS6" s="6"/>
      <c r="BXT6" s="6"/>
      <c r="BXU6" s="6"/>
      <c r="BXV6" s="6"/>
      <c r="BXW6" s="6"/>
      <c r="BXX6" s="6"/>
      <c r="BXY6" s="6"/>
      <c r="BXZ6" s="6"/>
      <c r="BYA6" s="6"/>
      <c r="BYB6" s="6"/>
      <c r="BYC6" s="6"/>
      <c r="BYD6" s="6"/>
      <c r="BYE6" s="6"/>
      <c r="BYF6" s="6"/>
      <c r="BYG6" s="6"/>
      <c r="BYH6" s="6"/>
      <c r="BYI6" s="6"/>
      <c r="BYJ6" s="6"/>
      <c r="BYK6" s="6"/>
      <c r="BYL6" s="6"/>
      <c r="BYM6" s="6"/>
      <c r="BYN6" s="6"/>
      <c r="BYO6" s="6"/>
      <c r="BYP6" s="6"/>
      <c r="BYQ6" s="6"/>
      <c r="BYR6" s="6"/>
      <c r="BYS6" s="6"/>
      <c r="BYT6" s="6"/>
      <c r="BYU6" s="6"/>
      <c r="BYV6" s="6"/>
      <c r="BYW6" s="6"/>
      <c r="BYX6" s="6"/>
      <c r="BYY6" s="6"/>
      <c r="BYZ6" s="6"/>
      <c r="BZA6" s="6"/>
      <c r="BZB6" s="6"/>
      <c r="BZC6" s="6"/>
      <c r="BZD6" s="6"/>
      <c r="BZE6" s="6"/>
      <c r="BZF6" s="6"/>
      <c r="BZG6" s="6"/>
      <c r="BZH6" s="6"/>
      <c r="BZI6" s="6"/>
      <c r="BZJ6" s="6"/>
      <c r="BZK6" s="6"/>
      <c r="BZL6" s="6"/>
      <c r="BZM6" s="6"/>
      <c r="BZN6" s="6"/>
      <c r="BZO6" s="6"/>
      <c r="BZP6" s="6"/>
      <c r="BZQ6" s="6"/>
      <c r="BZR6" s="6"/>
      <c r="BZS6" s="6"/>
      <c r="BZT6" s="6"/>
      <c r="BZU6" s="6"/>
      <c r="BZV6" s="6"/>
      <c r="BZW6" s="6"/>
      <c r="BZX6" s="6"/>
      <c r="BZY6" s="6"/>
      <c r="BZZ6" s="6"/>
      <c r="CAA6" s="6"/>
      <c r="CAB6" s="6"/>
      <c r="CAC6" s="6"/>
      <c r="CAD6" s="6"/>
      <c r="CAE6" s="6"/>
      <c r="CAF6" s="6"/>
      <c r="CAG6" s="6"/>
      <c r="CAH6" s="6"/>
      <c r="CAI6" s="6"/>
      <c r="CAJ6" s="6"/>
      <c r="CAK6" s="6"/>
      <c r="CAL6" s="6"/>
      <c r="CAM6" s="6"/>
      <c r="CAN6" s="6"/>
      <c r="CAO6" s="6"/>
      <c r="CAP6" s="6"/>
      <c r="CAQ6" s="6"/>
      <c r="CAR6" s="6"/>
      <c r="CAS6" s="6"/>
      <c r="CAT6" s="6"/>
      <c r="CAU6" s="6"/>
      <c r="CAV6" s="6"/>
      <c r="CAW6" s="6"/>
      <c r="CAX6" s="6"/>
      <c r="CAY6" s="6"/>
      <c r="CAZ6" s="6"/>
      <c r="CBA6" s="6"/>
      <c r="CBB6" s="6"/>
      <c r="CBC6" s="6"/>
      <c r="CBD6" s="6"/>
      <c r="CBE6" s="6"/>
      <c r="CBF6" s="6"/>
      <c r="CBG6" s="6"/>
      <c r="CBH6" s="6"/>
      <c r="CBI6" s="6"/>
      <c r="CBJ6" s="6"/>
      <c r="CBK6" s="6"/>
      <c r="CBL6" s="6"/>
      <c r="CBM6" s="6"/>
      <c r="CBN6" s="6"/>
      <c r="CBO6" s="6"/>
      <c r="CBP6" s="6"/>
      <c r="CBQ6" s="6"/>
      <c r="CBR6" s="6"/>
      <c r="CBS6" s="6"/>
      <c r="CBT6" s="6"/>
      <c r="CBU6" s="6"/>
      <c r="CBV6" s="6"/>
      <c r="CBW6" s="6"/>
      <c r="CBX6" s="6"/>
      <c r="CBY6" s="6"/>
      <c r="CBZ6" s="6"/>
      <c r="CCA6" s="6"/>
      <c r="CCB6" s="6"/>
      <c r="CCC6" s="6"/>
      <c r="CCD6" s="6"/>
      <c r="CCE6" s="6"/>
      <c r="CCF6" s="6"/>
      <c r="CCG6" s="6"/>
      <c r="CCH6" s="6"/>
      <c r="CCI6" s="6"/>
      <c r="CCJ6" s="6"/>
      <c r="CCK6" s="6"/>
      <c r="CCL6" s="6"/>
      <c r="CCM6" s="6"/>
      <c r="CCN6" s="6"/>
      <c r="CCO6" s="6"/>
      <c r="CCP6" s="6"/>
      <c r="CCQ6" s="6"/>
      <c r="CCR6" s="6"/>
      <c r="CCS6" s="6"/>
      <c r="CCT6" s="6"/>
      <c r="CCU6" s="6"/>
      <c r="CCV6" s="6"/>
      <c r="CCW6" s="6"/>
      <c r="CCX6" s="6"/>
      <c r="CCY6" s="6"/>
      <c r="CCZ6" s="6"/>
      <c r="CDA6" s="6"/>
      <c r="CDB6" s="6"/>
      <c r="CDC6" s="6"/>
      <c r="CDD6" s="6"/>
      <c r="CDE6" s="6"/>
      <c r="CDF6" s="6"/>
      <c r="CDG6" s="6"/>
      <c r="CDH6" s="6"/>
      <c r="CDI6" s="6"/>
      <c r="CDJ6" s="6"/>
      <c r="CDK6" s="6"/>
      <c r="CDL6" s="6"/>
      <c r="CDM6" s="6"/>
      <c r="CDN6" s="6"/>
      <c r="CDO6" s="6"/>
      <c r="CDP6" s="6"/>
      <c r="CDQ6" s="6"/>
      <c r="CDR6" s="6"/>
      <c r="CDS6" s="6"/>
      <c r="CDT6" s="6"/>
      <c r="CDU6" s="6"/>
      <c r="CDV6" s="6"/>
      <c r="CDW6" s="6"/>
      <c r="CDX6" s="6"/>
      <c r="CDY6" s="6"/>
      <c r="CDZ6" s="6"/>
      <c r="CEA6" s="6"/>
      <c r="CEB6" s="6"/>
      <c r="CEC6" s="6"/>
      <c r="CED6" s="6"/>
      <c r="CEE6" s="6"/>
      <c r="CEF6" s="6"/>
      <c r="CEG6" s="6"/>
      <c r="CEH6" s="6"/>
      <c r="CEI6" s="6"/>
      <c r="CEJ6" s="6"/>
      <c r="CEK6" s="6"/>
      <c r="CEL6" s="6"/>
      <c r="CEM6" s="6"/>
      <c r="CEN6" s="6"/>
      <c r="CEO6" s="6"/>
      <c r="CEP6" s="6"/>
      <c r="CEQ6" s="6"/>
      <c r="CER6" s="6"/>
      <c r="CES6" s="6"/>
      <c r="CET6" s="6"/>
      <c r="CEU6" s="6"/>
      <c r="CEV6" s="6"/>
      <c r="CEW6" s="6"/>
      <c r="CEX6" s="6"/>
      <c r="CEY6" s="6"/>
      <c r="CEZ6" s="6"/>
      <c r="CFA6" s="6"/>
      <c r="CFB6" s="6"/>
      <c r="CFC6" s="6"/>
      <c r="CFD6" s="6"/>
      <c r="CFE6" s="6"/>
      <c r="CFF6" s="6"/>
      <c r="CFG6" s="6"/>
      <c r="CFH6" s="6"/>
      <c r="CFI6" s="6"/>
      <c r="CFJ6" s="6"/>
      <c r="CFK6" s="6"/>
      <c r="CFL6" s="6"/>
      <c r="CFM6" s="6"/>
      <c r="CFN6" s="6"/>
      <c r="CFO6" s="6"/>
      <c r="CFP6" s="6"/>
      <c r="CFQ6" s="6"/>
      <c r="CFR6" s="6"/>
      <c r="CFS6" s="6"/>
      <c r="CFT6" s="6"/>
      <c r="CFU6" s="6"/>
      <c r="CFV6" s="6"/>
      <c r="CFW6" s="6"/>
      <c r="CFX6" s="6"/>
      <c r="CFY6" s="6"/>
      <c r="CFZ6" s="6"/>
      <c r="CGA6" s="6"/>
      <c r="CGB6" s="6"/>
      <c r="CGC6" s="6"/>
      <c r="CGD6" s="6"/>
      <c r="CGE6" s="6"/>
      <c r="CGF6" s="6"/>
      <c r="CGG6" s="6"/>
      <c r="CGH6" s="6"/>
      <c r="CGI6" s="6"/>
      <c r="CGJ6" s="6"/>
      <c r="CGK6" s="6"/>
      <c r="CGL6" s="6"/>
      <c r="CGM6" s="6"/>
      <c r="CGN6" s="6"/>
      <c r="CGO6" s="6"/>
      <c r="CGP6" s="6"/>
      <c r="CGQ6" s="6"/>
      <c r="CGR6" s="6"/>
      <c r="CGS6" s="6"/>
      <c r="CGT6" s="6"/>
      <c r="CGU6" s="6"/>
      <c r="CGV6" s="6"/>
      <c r="CGW6" s="6"/>
      <c r="CGX6" s="6"/>
      <c r="CGY6" s="6"/>
      <c r="CGZ6" s="6"/>
      <c r="CHA6" s="6"/>
      <c r="CHB6" s="6"/>
      <c r="CHC6" s="6"/>
      <c r="CHD6" s="6"/>
      <c r="CHE6" s="6"/>
      <c r="CHF6" s="6"/>
      <c r="CHG6" s="6"/>
      <c r="CHH6" s="6"/>
      <c r="CHI6" s="6"/>
      <c r="CHJ6" s="6"/>
      <c r="CHK6" s="6"/>
      <c r="CHL6" s="6"/>
      <c r="CHM6" s="6"/>
      <c r="CHN6" s="6"/>
      <c r="CHO6" s="6"/>
      <c r="CHP6" s="6"/>
      <c r="CHQ6" s="6"/>
      <c r="CHR6" s="6"/>
      <c r="CHS6" s="6"/>
      <c r="CHT6" s="6"/>
      <c r="CHU6" s="6"/>
      <c r="CHV6" s="6"/>
      <c r="CHW6" s="6"/>
      <c r="CHX6" s="6"/>
      <c r="CHY6" s="6"/>
      <c r="CHZ6" s="6"/>
      <c r="CIA6" s="6"/>
      <c r="CIB6" s="6"/>
      <c r="CIC6" s="6"/>
      <c r="CID6" s="6"/>
      <c r="CIE6" s="6"/>
      <c r="CIF6" s="6"/>
      <c r="CIG6" s="6"/>
      <c r="CIH6" s="6"/>
      <c r="CII6" s="6"/>
      <c r="CIJ6" s="6"/>
      <c r="CIK6" s="6"/>
      <c r="CIL6" s="6"/>
      <c r="CIM6" s="6"/>
      <c r="CIN6" s="6"/>
      <c r="CIO6" s="6"/>
      <c r="CIP6" s="6"/>
      <c r="CIQ6" s="6"/>
      <c r="CIR6" s="6"/>
      <c r="CIS6" s="6"/>
      <c r="CIT6" s="6"/>
      <c r="CIU6" s="6"/>
      <c r="CIV6" s="6"/>
      <c r="CIW6" s="6"/>
      <c r="CIX6" s="6"/>
      <c r="CIY6" s="6"/>
      <c r="CIZ6" s="6"/>
      <c r="CJA6" s="6"/>
      <c r="CJB6" s="6"/>
      <c r="CJC6" s="6"/>
      <c r="CJD6" s="6"/>
      <c r="CJE6" s="6"/>
      <c r="CJF6" s="6"/>
      <c r="CJG6" s="6"/>
      <c r="CJH6" s="6"/>
      <c r="CJI6" s="6"/>
      <c r="CJJ6" s="6"/>
      <c r="CJK6" s="6"/>
      <c r="CJL6" s="6"/>
      <c r="CJM6" s="6"/>
      <c r="CJN6" s="6"/>
      <c r="CJO6" s="6"/>
      <c r="CJP6" s="6"/>
      <c r="CJQ6" s="6"/>
      <c r="CJR6" s="6"/>
      <c r="CJS6" s="6"/>
      <c r="CJT6" s="6"/>
      <c r="CJU6" s="6"/>
      <c r="CJV6" s="6"/>
      <c r="CJW6" s="6"/>
      <c r="CJX6" s="6"/>
      <c r="CJY6" s="6"/>
      <c r="CJZ6" s="6"/>
      <c r="CKA6" s="6"/>
      <c r="CKB6" s="6"/>
      <c r="CKC6" s="6"/>
      <c r="CKD6" s="6"/>
      <c r="CKE6" s="6"/>
      <c r="CKF6" s="6"/>
      <c r="CKG6" s="6"/>
      <c r="CKH6" s="6"/>
      <c r="CKI6" s="6"/>
      <c r="CKJ6" s="6"/>
      <c r="CKK6" s="6"/>
      <c r="CKL6" s="6"/>
      <c r="CKM6" s="6"/>
      <c r="CKN6" s="6"/>
      <c r="CKO6" s="6"/>
      <c r="CKP6" s="6"/>
      <c r="CKQ6" s="6"/>
      <c r="CKR6" s="6"/>
      <c r="CKS6" s="6"/>
      <c r="CKT6" s="6"/>
      <c r="CKU6" s="6"/>
      <c r="CKV6" s="6"/>
      <c r="CKW6" s="6"/>
      <c r="CKX6" s="6"/>
      <c r="CKY6" s="6"/>
      <c r="CKZ6" s="6"/>
      <c r="CLA6" s="6"/>
      <c r="CLB6" s="6"/>
      <c r="CLC6" s="6"/>
      <c r="CLD6" s="6"/>
      <c r="CLE6" s="6"/>
      <c r="CLF6" s="6"/>
      <c r="CLG6" s="6"/>
      <c r="CLH6" s="6"/>
      <c r="CLI6" s="6"/>
      <c r="CLJ6" s="6"/>
      <c r="CLK6" s="6"/>
      <c r="CLL6" s="6"/>
      <c r="CLM6" s="6"/>
      <c r="CLN6" s="6"/>
      <c r="CLO6" s="6"/>
      <c r="CLP6" s="6"/>
      <c r="CLQ6" s="6"/>
      <c r="CLR6" s="6"/>
      <c r="CLS6" s="6"/>
      <c r="CLT6" s="6"/>
      <c r="CLU6" s="6"/>
      <c r="CLV6" s="6"/>
      <c r="CLW6" s="6"/>
      <c r="CLX6" s="6"/>
      <c r="CLY6" s="6"/>
      <c r="CLZ6" s="6"/>
      <c r="CMA6" s="6"/>
      <c r="CMB6" s="6"/>
      <c r="CMC6" s="6"/>
      <c r="CMD6" s="6"/>
      <c r="CME6" s="6"/>
      <c r="CMF6" s="6"/>
      <c r="CMG6" s="6"/>
      <c r="CMH6" s="6"/>
      <c r="CMI6" s="6"/>
      <c r="CMJ6" s="6"/>
      <c r="CMK6" s="6"/>
      <c r="CML6" s="6"/>
      <c r="CMM6" s="6"/>
      <c r="CMN6" s="6"/>
      <c r="CMO6" s="6"/>
      <c r="CMP6" s="6"/>
      <c r="CMQ6" s="6"/>
      <c r="CMR6" s="6"/>
      <c r="CMS6" s="6"/>
      <c r="CMT6" s="6"/>
      <c r="CMU6" s="6"/>
      <c r="CMV6" s="6"/>
      <c r="CMW6" s="6"/>
      <c r="CMX6" s="6"/>
      <c r="CMY6" s="6"/>
      <c r="CMZ6" s="6"/>
      <c r="CNA6" s="6"/>
      <c r="CNB6" s="6"/>
      <c r="CNC6" s="6"/>
      <c r="CND6" s="6"/>
      <c r="CNE6" s="6"/>
      <c r="CNF6" s="6"/>
      <c r="CNG6" s="6"/>
      <c r="CNH6" s="6"/>
      <c r="CNI6" s="6"/>
      <c r="CNJ6" s="6"/>
      <c r="CNK6" s="6"/>
      <c r="CNL6" s="6"/>
      <c r="CNM6" s="6"/>
      <c r="CNN6" s="6"/>
      <c r="CNO6" s="6"/>
      <c r="CNP6" s="6"/>
      <c r="CNQ6" s="6"/>
      <c r="CNR6" s="6"/>
      <c r="CNS6" s="6"/>
      <c r="CNT6" s="6"/>
      <c r="CNU6" s="6"/>
      <c r="CNV6" s="6"/>
      <c r="CNW6" s="6"/>
      <c r="CNX6" s="6"/>
      <c r="CNY6" s="6"/>
      <c r="CNZ6" s="6"/>
      <c r="COA6" s="6"/>
      <c r="COB6" s="6"/>
      <c r="COC6" s="6"/>
      <c r="COD6" s="6"/>
      <c r="COE6" s="6"/>
      <c r="COF6" s="6"/>
      <c r="COG6" s="6"/>
      <c r="COH6" s="6"/>
      <c r="COI6" s="6"/>
      <c r="COJ6" s="6"/>
      <c r="COK6" s="6"/>
      <c r="COL6" s="6"/>
      <c r="COM6" s="6"/>
      <c r="CON6" s="6"/>
      <c r="COO6" s="6"/>
      <c r="COP6" s="6"/>
      <c r="COQ6" s="6"/>
      <c r="COR6" s="6"/>
      <c r="COS6" s="6"/>
      <c r="COT6" s="6"/>
      <c r="COU6" s="6"/>
      <c r="COV6" s="6"/>
      <c r="COW6" s="6"/>
      <c r="COX6" s="6"/>
      <c r="COY6" s="6"/>
      <c r="COZ6" s="6"/>
      <c r="CPA6" s="6"/>
      <c r="CPB6" s="6"/>
      <c r="CPC6" s="6"/>
      <c r="CPD6" s="6"/>
      <c r="CPE6" s="6"/>
      <c r="CPF6" s="6"/>
      <c r="CPG6" s="6"/>
      <c r="CPH6" s="6"/>
      <c r="CPI6" s="6"/>
      <c r="CPJ6" s="6"/>
      <c r="CPK6" s="6"/>
      <c r="CPL6" s="6"/>
      <c r="CPM6" s="6"/>
      <c r="CPN6" s="6"/>
      <c r="CPO6" s="6"/>
      <c r="CPP6" s="6"/>
      <c r="CPQ6" s="6"/>
      <c r="CPR6" s="6"/>
      <c r="CPS6" s="6"/>
      <c r="CPT6" s="6"/>
      <c r="CPU6" s="6"/>
      <c r="CPV6" s="6"/>
      <c r="CPW6" s="6"/>
      <c r="CPX6" s="6"/>
      <c r="CPY6" s="6"/>
      <c r="CPZ6" s="6"/>
      <c r="CQA6" s="6"/>
      <c r="CQB6" s="6"/>
      <c r="CQC6" s="6"/>
      <c r="CQD6" s="6"/>
      <c r="CQE6" s="6"/>
      <c r="CQF6" s="6"/>
      <c r="CQG6" s="6"/>
      <c r="CQH6" s="6"/>
      <c r="CQI6" s="6"/>
      <c r="CQJ6" s="6"/>
      <c r="CQK6" s="6"/>
      <c r="CQL6" s="6"/>
      <c r="CQM6" s="6"/>
      <c r="CQN6" s="6"/>
      <c r="CQO6" s="6"/>
      <c r="CQP6" s="6"/>
      <c r="CQQ6" s="6"/>
      <c r="CQR6" s="6"/>
      <c r="CQS6" s="6"/>
      <c r="CQT6" s="6"/>
      <c r="CQU6" s="6"/>
      <c r="CQV6" s="6"/>
      <c r="CQW6" s="6"/>
      <c r="CQX6" s="6"/>
      <c r="CQY6" s="6"/>
      <c r="CQZ6" s="6"/>
      <c r="CRA6" s="6"/>
      <c r="CRB6" s="6"/>
      <c r="CRC6" s="6"/>
      <c r="CRD6" s="6"/>
      <c r="CRE6" s="6"/>
      <c r="CRF6" s="6"/>
    </row>
    <row r="7" spans="1:2502" s="13" customFormat="1" ht="52" x14ac:dyDescent="0.35">
      <c r="A7" s="113" t="s">
        <v>731</v>
      </c>
      <c r="B7" s="116" t="s">
        <v>730</v>
      </c>
      <c r="C7" s="113" t="s">
        <v>732</v>
      </c>
      <c r="D7" s="109" t="s">
        <v>733</v>
      </c>
      <c r="E7" s="22" t="s">
        <v>734</v>
      </c>
      <c r="F7" s="4" t="s">
        <v>735</v>
      </c>
      <c r="G7" s="91" t="s">
        <v>32</v>
      </c>
      <c r="H7" s="4"/>
      <c r="I7" s="39" t="s">
        <v>812</v>
      </c>
      <c r="J7" s="40" t="s">
        <v>812</v>
      </c>
      <c r="K7" s="4"/>
      <c r="L7" s="24"/>
      <c r="M7" s="131" t="s">
        <v>842</v>
      </c>
      <c r="N7" s="41"/>
    </row>
    <row r="8" spans="1:2502" s="13" customFormat="1" ht="52" x14ac:dyDescent="0.35">
      <c r="A8" s="114"/>
      <c r="B8" s="117"/>
      <c r="C8" s="114"/>
      <c r="D8" s="110"/>
      <c r="E8" s="22" t="s">
        <v>736</v>
      </c>
      <c r="F8" s="4" t="s">
        <v>737</v>
      </c>
      <c r="G8" s="91" t="s">
        <v>32</v>
      </c>
      <c r="H8" s="4"/>
      <c r="I8" s="39" t="s">
        <v>812</v>
      </c>
      <c r="J8" s="40" t="s">
        <v>812</v>
      </c>
      <c r="K8" s="4">
        <v>120</v>
      </c>
      <c r="L8" s="24"/>
      <c r="M8" s="120"/>
      <c r="N8" s="41"/>
    </row>
    <row r="9" spans="1:2502" s="13" customFormat="1" ht="26" x14ac:dyDescent="0.35">
      <c r="A9" s="114"/>
      <c r="B9" s="117"/>
      <c r="C9" s="114"/>
      <c r="D9" s="110"/>
      <c r="E9" s="22" t="s">
        <v>738</v>
      </c>
      <c r="F9" s="4" t="s">
        <v>739</v>
      </c>
      <c r="G9" s="91" t="s">
        <v>32</v>
      </c>
      <c r="H9" s="4"/>
      <c r="I9" s="39" t="s">
        <v>812</v>
      </c>
      <c r="J9" s="40" t="s">
        <v>812</v>
      </c>
      <c r="K9" s="4">
        <v>16</v>
      </c>
      <c r="L9" s="24"/>
      <c r="M9" s="120"/>
      <c r="N9" s="41"/>
    </row>
    <row r="10" spans="1:2502" s="13" customFormat="1" ht="52" x14ac:dyDescent="0.35">
      <c r="A10" s="114"/>
      <c r="B10" s="117"/>
      <c r="C10" s="114"/>
      <c r="D10" s="110"/>
      <c r="E10" s="22" t="s">
        <v>740</v>
      </c>
      <c r="F10" s="4" t="s">
        <v>741</v>
      </c>
      <c r="G10" s="91" t="s">
        <v>32</v>
      </c>
      <c r="H10" s="4"/>
      <c r="I10" s="39" t="s">
        <v>812</v>
      </c>
      <c r="J10" s="40" t="s">
        <v>812</v>
      </c>
      <c r="K10" s="4"/>
      <c r="L10" s="24"/>
      <c r="M10" s="120"/>
      <c r="N10" s="41"/>
    </row>
    <row r="11" spans="1:2502" s="13" customFormat="1" ht="26" x14ac:dyDescent="0.35">
      <c r="A11" s="114"/>
      <c r="B11" s="117"/>
      <c r="C11" s="115"/>
      <c r="D11" s="111"/>
      <c r="E11" s="22" t="s">
        <v>742</v>
      </c>
      <c r="F11" s="4" t="s">
        <v>743</v>
      </c>
      <c r="G11" s="91" t="s">
        <v>32</v>
      </c>
      <c r="H11" s="4"/>
      <c r="I11" s="4"/>
      <c r="J11" s="40" t="s">
        <v>812</v>
      </c>
      <c r="K11" s="4"/>
      <c r="L11" s="24"/>
      <c r="M11" s="120"/>
      <c r="N11" s="41"/>
    </row>
    <row r="12" spans="1:2502" s="13" customFormat="1" ht="26" x14ac:dyDescent="0.35">
      <c r="A12" s="114"/>
      <c r="B12" s="117"/>
      <c r="C12" s="113" t="s">
        <v>744</v>
      </c>
      <c r="D12" s="109" t="s">
        <v>745</v>
      </c>
      <c r="E12" s="22" t="s">
        <v>746</v>
      </c>
      <c r="F12" s="23" t="s">
        <v>747</v>
      </c>
      <c r="G12" s="91" t="s">
        <v>32</v>
      </c>
      <c r="H12" s="38" t="s">
        <v>812</v>
      </c>
      <c r="I12" s="39" t="s">
        <v>812</v>
      </c>
      <c r="J12" s="40" t="s">
        <v>812</v>
      </c>
      <c r="K12" s="4">
        <v>1026</v>
      </c>
      <c r="L12" s="24"/>
      <c r="M12" s="120"/>
      <c r="N12" s="41"/>
    </row>
    <row r="13" spans="1:2502" s="13" customFormat="1" ht="39" x14ac:dyDescent="0.35">
      <c r="A13" s="114"/>
      <c r="B13" s="117"/>
      <c r="C13" s="114"/>
      <c r="D13" s="110"/>
      <c r="E13" s="22" t="s">
        <v>748</v>
      </c>
      <c r="F13" s="4" t="s">
        <v>749</v>
      </c>
      <c r="G13" s="91" t="s">
        <v>32</v>
      </c>
      <c r="H13" s="38" t="s">
        <v>812</v>
      </c>
      <c r="I13" s="39" t="s">
        <v>812</v>
      </c>
      <c r="J13" s="40" t="s">
        <v>812</v>
      </c>
      <c r="K13" s="4">
        <v>1002</v>
      </c>
      <c r="L13" s="24"/>
      <c r="M13" s="120"/>
      <c r="N13" s="41"/>
    </row>
    <row r="14" spans="1:2502" s="13" customFormat="1" ht="52" x14ac:dyDescent="0.35">
      <c r="A14" s="114"/>
      <c r="B14" s="117"/>
      <c r="C14" s="114"/>
      <c r="D14" s="110"/>
      <c r="E14" s="22" t="s">
        <v>750</v>
      </c>
      <c r="F14" s="4" t="s">
        <v>751</v>
      </c>
      <c r="G14" s="91" t="s">
        <v>32</v>
      </c>
      <c r="H14" s="38" t="s">
        <v>812</v>
      </c>
      <c r="I14" s="39" t="s">
        <v>812</v>
      </c>
      <c r="J14" s="40" t="s">
        <v>812</v>
      </c>
      <c r="K14" s="4">
        <v>714</v>
      </c>
      <c r="L14" s="24"/>
      <c r="M14" s="120"/>
      <c r="N14" s="41"/>
    </row>
    <row r="15" spans="1:2502" s="13" customFormat="1" ht="26" x14ac:dyDescent="0.35">
      <c r="A15" s="114"/>
      <c r="B15" s="117"/>
      <c r="C15" s="114"/>
      <c r="D15" s="110"/>
      <c r="E15" s="22" t="s">
        <v>752</v>
      </c>
      <c r="F15" s="23" t="s">
        <v>753</v>
      </c>
      <c r="G15" s="91" t="s">
        <v>32</v>
      </c>
      <c r="H15" s="4"/>
      <c r="I15" s="39" t="s">
        <v>812</v>
      </c>
      <c r="J15" s="40" t="s">
        <v>812</v>
      </c>
      <c r="K15" s="4">
        <v>829</v>
      </c>
      <c r="L15" s="24"/>
      <c r="M15" s="120"/>
      <c r="N15" s="41"/>
    </row>
    <row r="16" spans="1:2502" s="13" customFormat="1" ht="26" x14ac:dyDescent="0.35">
      <c r="A16" s="114"/>
      <c r="B16" s="117"/>
      <c r="C16" s="114"/>
      <c r="D16" s="110"/>
      <c r="E16" s="22" t="s">
        <v>754</v>
      </c>
      <c r="F16" s="23" t="s">
        <v>755</v>
      </c>
      <c r="G16" s="91" t="s">
        <v>32</v>
      </c>
      <c r="H16" s="4"/>
      <c r="I16" s="39" t="s">
        <v>812</v>
      </c>
      <c r="J16" s="40" t="s">
        <v>812</v>
      </c>
      <c r="K16" s="4"/>
      <c r="L16" s="24"/>
      <c r="M16" s="120"/>
      <c r="N16" s="41"/>
    </row>
    <row r="17" spans="1:14" s="13" customFormat="1" ht="39" x14ac:dyDescent="0.35">
      <c r="A17" s="114"/>
      <c r="B17" s="117"/>
      <c r="C17" s="115"/>
      <c r="D17" s="111"/>
      <c r="E17" s="22" t="s">
        <v>756</v>
      </c>
      <c r="F17" s="23" t="s">
        <v>757</v>
      </c>
      <c r="G17" s="91" t="s">
        <v>32</v>
      </c>
      <c r="H17" s="4"/>
      <c r="I17" s="39" t="s">
        <v>812</v>
      </c>
      <c r="J17" s="40" t="s">
        <v>812</v>
      </c>
      <c r="K17" s="4">
        <v>265</v>
      </c>
      <c r="L17" s="24"/>
      <c r="M17" s="120"/>
      <c r="N17" s="41"/>
    </row>
    <row r="18" spans="1:14" s="13" customFormat="1" ht="39" x14ac:dyDescent="0.35">
      <c r="A18" s="114"/>
      <c r="B18" s="117"/>
      <c r="C18" s="113" t="s">
        <v>758</v>
      </c>
      <c r="D18" s="109" t="s">
        <v>759</v>
      </c>
      <c r="E18" s="22" t="s">
        <v>760</v>
      </c>
      <c r="F18" s="4" t="s">
        <v>761</v>
      </c>
      <c r="G18" s="91" t="s">
        <v>32</v>
      </c>
      <c r="H18" s="38" t="s">
        <v>812</v>
      </c>
      <c r="I18" s="39" t="s">
        <v>812</v>
      </c>
      <c r="J18" s="40" t="s">
        <v>812</v>
      </c>
      <c r="K18" s="4">
        <v>209</v>
      </c>
      <c r="L18" s="24"/>
      <c r="M18" s="120"/>
      <c r="N18" s="41"/>
    </row>
    <row r="19" spans="1:14" s="13" customFormat="1" ht="39" x14ac:dyDescent="0.35">
      <c r="A19" s="114"/>
      <c r="B19" s="117"/>
      <c r="C19" s="114"/>
      <c r="D19" s="110"/>
      <c r="E19" s="22" t="s">
        <v>762</v>
      </c>
      <c r="F19" s="4" t="s">
        <v>763</v>
      </c>
      <c r="G19" s="91" t="s">
        <v>32</v>
      </c>
      <c r="H19" s="38" t="s">
        <v>812</v>
      </c>
      <c r="I19" s="39" t="s">
        <v>812</v>
      </c>
      <c r="J19" s="40" t="s">
        <v>812</v>
      </c>
      <c r="K19" s="4">
        <v>497</v>
      </c>
      <c r="L19" s="24"/>
      <c r="M19" s="120"/>
      <c r="N19" s="41"/>
    </row>
    <row r="20" spans="1:14" s="13" customFormat="1" ht="26" x14ac:dyDescent="0.35">
      <c r="A20" s="114"/>
      <c r="B20" s="117"/>
      <c r="C20" s="115"/>
      <c r="D20" s="111"/>
      <c r="E20" s="22" t="s">
        <v>764</v>
      </c>
      <c r="F20" s="4" t="s">
        <v>22</v>
      </c>
      <c r="G20" s="91" t="s">
        <v>32</v>
      </c>
      <c r="H20" s="38" t="s">
        <v>812</v>
      </c>
      <c r="I20" s="39" t="s">
        <v>812</v>
      </c>
      <c r="J20" s="40" t="s">
        <v>812</v>
      </c>
      <c r="K20" s="4">
        <v>200</v>
      </c>
      <c r="L20" s="24"/>
      <c r="M20" s="120"/>
      <c r="N20" s="41"/>
    </row>
    <row r="21" spans="1:14" s="13" customFormat="1" ht="26" x14ac:dyDescent="0.35">
      <c r="A21" s="114"/>
      <c r="B21" s="117"/>
      <c r="C21" s="113" t="s">
        <v>765</v>
      </c>
      <c r="D21" s="109" t="s">
        <v>766</v>
      </c>
      <c r="E21" s="22" t="s">
        <v>767</v>
      </c>
      <c r="F21" s="4" t="s">
        <v>20</v>
      </c>
      <c r="G21" s="91" t="s">
        <v>32</v>
      </c>
      <c r="H21" s="38" t="s">
        <v>812</v>
      </c>
      <c r="I21" s="39" t="s">
        <v>812</v>
      </c>
      <c r="J21" s="40" t="s">
        <v>812</v>
      </c>
      <c r="K21" s="4">
        <v>173</v>
      </c>
      <c r="L21" s="24"/>
      <c r="M21" s="120"/>
      <c r="N21" s="41"/>
    </row>
    <row r="22" spans="1:14" s="13" customFormat="1" ht="39" x14ac:dyDescent="0.35">
      <c r="A22" s="114"/>
      <c r="B22" s="117"/>
      <c r="C22" s="114"/>
      <c r="D22" s="110"/>
      <c r="E22" s="22" t="s">
        <v>768</v>
      </c>
      <c r="F22" s="4" t="s">
        <v>769</v>
      </c>
      <c r="G22" s="91" t="s">
        <v>32</v>
      </c>
      <c r="H22" s="38" t="s">
        <v>812</v>
      </c>
      <c r="I22" s="39" t="s">
        <v>812</v>
      </c>
      <c r="J22" s="40" t="s">
        <v>812</v>
      </c>
      <c r="K22" s="4">
        <v>116</v>
      </c>
      <c r="L22" s="24"/>
      <c r="M22" s="120"/>
      <c r="N22" s="41"/>
    </row>
    <row r="23" spans="1:14" s="13" customFormat="1" ht="39" x14ac:dyDescent="0.35">
      <c r="A23" s="114"/>
      <c r="B23" s="117"/>
      <c r="C23" s="114"/>
      <c r="D23" s="110"/>
      <c r="E23" s="22" t="s">
        <v>770</v>
      </c>
      <c r="F23" s="4" t="s">
        <v>771</v>
      </c>
      <c r="G23" s="91" t="s">
        <v>32</v>
      </c>
      <c r="H23" s="38" t="s">
        <v>812</v>
      </c>
      <c r="I23" s="39" t="s">
        <v>812</v>
      </c>
      <c r="J23" s="40" t="s">
        <v>812</v>
      </c>
      <c r="K23" s="4">
        <v>1021</v>
      </c>
      <c r="L23" s="24"/>
      <c r="M23" s="120"/>
      <c r="N23" s="41"/>
    </row>
    <row r="24" spans="1:14" s="13" customFormat="1" ht="14.5" x14ac:dyDescent="0.35">
      <c r="A24" s="114"/>
      <c r="B24" s="117"/>
      <c r="C24" s="114"/>
      <c r="D24" s="110"/>
      <c r="E24" s="22" t="s">
        <v>772</v>
      </c>
      <c r="F24" s="4" t="s">
        <v>773</v>
      </c>
      <c r="G24" s="91" t="s">
        <v>32</v>
      </c>
      <c r="H24" s="38" t="s">
        <v>812</v>
      </c>
      <c r="I24" s="39" t="s">
        <v>812</v>
      </c>
      <c r="J24" s="40" t="s">
        <v>812</v>
      </c>
      <c r="K24" s="4">
        <v>116</v>
      </c>
      <c r="L24" s="24"/>
      <c r="M24" s="120"/>
      <c r="N24" s="41"/>
    </row>
    <row r="25" spans="1:14" s="13" customFormat="1" ht="39" x14ac:dyDescent="0.35">
      <c r="A25" s="114"/>
      <c r="B25" s="117"/>
      <c r="C25" s="114"/>
      <c r="D25" s="110"/>
      <c r="E25" s="22" t="s">
        <v>774</v>
      </c>
      <c r="F25" s="4" t="s">
        <v>775</v>
      </c>
      <c r="G25" s="91" t="s">
        <v>32</v>
      </c>
      <c r="H25" s="38" t="s">
        <v>812</v>
      </c>
      <c r="I25" s="39" t="s">
        <v>812</v>
      </c>
      <c r="J25" s="40" t="s">
        <v>812</v>
      </c>
      <c r="K25" s="4">
        <v>523</v>
      </c>
      <c r="L25" s="24"/>
      <c r="M25" s="120"/>
      <c r="N25" s="41"/>
    </row>
    <row r="26" spans="1:14" s="13" customFormat="1" ht="26" x14ac:dyDescent="0.35">
      <c r="A26" s="114"/>
      <c r="B26" s="117"/>
      <c r="C26" s="114"/>
      <c r="D26" s="110"/>
      <c r="E26" s="22" t="s">
        <v>776</v>
      </c>
      <c r="F26" s="4" t="s">
        <v>777</v>
      </c>
      <c r="G26" s="91" t="s">
        <v>32</v>
      </c>
      <c r="H26" s="38" t="s">
        <v>812</v>
      </c>
      <c r="I26" s="39" t="s">
        <v>812</v>
      </c>
      <c r="J26" s="40" t="s">
        <v>812</v>
      </c>
      <c r="K26" s="4">
        <v>116</v>
      </c>
      <c r="L26" s="24"/>
      <c r="M26" s="120"/>
      <c r="N26" s="41"/>
    </row>
    <row r="27" spans="1:14" s="13" customFormat="1" ht="39" x14ac:dyDescent="0.35">
      <c r="A27" s="114"/>
      <c r="B27" s="117"/>
      <c r="C27" s="115"/>
      <c r="D27" s="111"/>
      <c r="E27" s="22" t="s">
        <v>778</v>
      </c>
      <c r="F27" s="4" t="s">
        <v>779</v>
      </c>
      <c r="G27" s="91" t="s">
        <v>32</v>
      </c>
      <c r="H27" s="38" t="s">
        <v>812</v>
      </c>
      <c r="I27" s="39" t="s">
        <v>812</v>
      </c>
      <c r="J27" s="40" t="s">
        <v>812</v>
      </c>
      <c r="K27" s="4">
        <v>346</v>
      </c>
      <c r="L27" s="24"/>
      <c r="M27" s="120"/>
      <c r="N27" s="41"/>
    </row>
    <row r="28" spans="1:14" s="13" customFormat="1" ht="26" x14ac:dyDescent="0.35">
      <c r="A28" s="114"/>
      <c r="B28" s="117"/>
      <c r="C28" s="113" t="s">
        <v>780</v>
      </c>
      <c r="D28" s="109" t="s">
        <v>781</v>
      </c>
      <c r="E28" s="22" t="s">
        <v>782</v>
      </c>
      <c r="F28" s="4" t="s">
        <v>783</v>
      </c>
      <c r="G28" s="91" t="s">
        <v>32</v>
      </c>
      <c r="H28" s="38" t="s">
        <v>812</v>
      </c>
      <c r="I28" s="39" t="s">
        <v>812</v>
      </c>
      <c r="J28" s="40" t="s">
        <v>812</v>
      </c>
      <c r="K28" s="4">
        <v>749</v>
      </c>
      <c r="L28" s="24"/>
      <c r="M28" s="120"/>
      <c r="N28" s="41"/>
    </row>
    <row r="29" spans="1:14" s="13" customFormat="1" ht="39" x14ac:dyDescent="0.35">
      <c r="A29" s="114"/>
      <c r="B29" s="117"/>
      <c r="C29" s="114"/>
      <c r="D29" s="110"/>
      <c r="E29" s="22" t="s">
        <v>784</v>
      </c>
      <c r="F29" s="4" t="s">
        <v>785</v>
      </c>
      <c r="G29" s="91" t="s">
        <v>32</v>
      </c>
      <c r="H29" s="38" t="s">
        <v>812</v>
      </c>
      <c r="I29" s="39" t="s">
        <v>812</v>
      </c>
      <c r="J29" s="40" t="s">
        <v>812</v>
      </c>
      <c r="K29" s="4">
        <v>346</v>
      </c>
      <c r="L29" s="24"/>
      <c r="M29" s="120"/>
      <c r="N29" s="41"/>
    </row>
    <row r="30" spans="1:14" s="13" customFormat="1" ht="39" x14ac:dyDescent="0.35">
      <c r="A30" s="114"/>
      <c r="B30" s="117"/>
      <c r="C30" s="114"/>
      <c r="D30" s="110"/>
      <c r="E30" s="22" t="s">
        <v>786</v>
      </c>
      <c r="F30" s="4" t="s">
        <v>787</v>
      </c>
      <c r="G30" s="91" t="s">
        <v>32</v>
      </c>
      <c r="H30" s="38" t="s">
        <v>812</v>
      </c>
      <c r="I30" s="39" t="s">
        <v>812</v>
      </c>
      <c r="J30" s="40" t="s">
        <v>812</v>
      </c>
      <c r="K30" s="4">
        <v>346</v>
      </c>
      <c r="L30" s="24"/>
      <c r="M30" s="120"/>
      <c r="N30" s="41"/>
    </row>
    <row r="31" spans="1:14" s="13" customFormat="1" ht="26" x14ac:dyDescent="0.35">
      <c r="A31" s="115"/>
      <c r="B31" s="118"/>
      <c r="C31" s="115"/>
      <c r="D31" s="111"/>
      <c r="E31" s="22" t="s">
        <v>788</v>
      </c>
      <c r="F31" s="4" t="s">
        <v>21</v>
      </c>
      <c r="G31" s="91" t="s">
        <v>32</v>
      </c>
      <c r="H31" s="4"/>
      <c r="I31" s="39" t="s">
        <v>812</v>
      </c>
      <c r="J31" s="40" t="s">
        <v>812</v>
      </c>
      <c r="K31" s="4">
        <v>306</v>
      </c>
      <c r="L31" s="24"/>
      <c r="M31" s="121"/>
      <c r="N31" s="41"/>
    </row>
    <row r="32" spans="1:14" s="13" customFormat="1" x14ac:dyDescent="0.4">
      <c r="B32" s="25"/>
      <c r="E32" s="26"/>
      <c r="G32" s="54"/>
      <c r="N32" s="42"/>
    </row>
    <row r="33" spans="2:14" s="13" customFormat="1" x14ac:dyDescent="0.4">
      <c r="B33" s="25"/>
      <c r="E33" s="26"/>
      <c r="G33" s="54"/>
      <c r="N33" s="42"/>
    </row>
    <row r="34" spans="2:14" s="13" customFormat="1" x14ac:dyDescent="0.4">
      <c r="B34" s="25"/>
      <c r="E34" s="26"/>
      <c r="G34" s="54"/>
      <c r="N34" s="42"/>
    </row>
    <row r="35" spans="2:14" s="13" customFormat="1" x14ac:dyDescent="0.4">
      <c r="B35" s="25"/>
      <c r="E35" s="26"/>
      <c r="G35" s="54"/>
      <c r="N35" s="42"/>
    </row>
    <row r="36" spans="2:14" s="13" customFormat="1" x14ac:dyDescent="0.4">
      <c r="B36" s="25"/>
      <c r="E36" s="26"/>
      <c r="G36" s="54"/>
      <c r="N36" s="42"/>
    </row>
    <row r="37" spans="2:14" s="13" customFormat="1" x14ac:dyDescent="0.4">
      <c r="B37" s="25"/>
      <c r="E37" s="26"/>
      <c r="G37" s="54"/>
      <c r="N37" s="42"/>
    </row>
    <row r="38" spans="2:14" s="13" customFormat="1" x14ac:dyDescent="0.4">
      <c r="B38" s="25"/>
      <c r="E38" s="26"/>
      <c r="G38" s="54"/>
      <c r="N38" s="42"/>
    </row>
    <row r="39" spans="2:14" s="13" customFormat="1" x14ac:dyDescent="0.4">
      <c r="B39" s="25"/>
      <c r="E39" s="26"/>
      <c r="G39" s="54"/>
      <c r="N39" s="42"/>
    </row>
    <row r="40" spans="2:14" s="13" customFormat="1" x14ac:dyDescent="0.4">
      <c r="B40" s="25"/>
      <c r="E40" s="26"/>
      <c r="G40" s="54"/>
      <c r="N40" s="42"/>
    </row>
    <row r="41" spans="2:14" s="13" customFormat="1" x14ac:dyDescent="0.4">
      <c r="B41" s="25"/>
      <c r="E41" s="26"/>
      <c r="G41" s="54"/>
      <c r="N41" s="42"/>
    </row>
    <row r="42" spans="2:14" s="13" customFormat="1" x14ac:dyDescent="0.4">
      <c r="B42" s="25"/>
      <c r="E42" s="26"/>
      <c r="G42" s="54"/>
      <c r="N42" s="42"/>
    </row>
    <row r="43" spans="2:14" s="13" customFormat="1" x14ac:dyDescent="0.4">
      <c r="B43" s="25"/>
      <c r="E43" s="26"/>
      <c r="G43" s="54"/>
      <c r="N43" s="42"/>
    </row>
    <row r="44" spans="2:14" s="13" customFormat="1" x14ac:dyDescent="0.4">
      <c r="B44" s="25"/>
      <c r="E44" s="26"/>
      <c r="G44" s="54"/>
      <c r="N44" s="42"/>
    </row>
    <row r="45" spans="2:14" s="13" customFormat="1" x14ac:dyDescent="0.4">
      <c r="B45" s="25"/>
      <c r="E45" s="26"/>
      <c r="G45" s="54"/>
      <c r="N45" s="42"/>
    </row>
    <row r="46" spans="2:14" s="13" customFormat="1" x14ac:dyDescent="0.4">
      <c r="B46" s="25"/>
      <c r="E46" s="26"/>
      <c r="G46" s="54"/>
      <c r="N46" s="42"/>
    </row>
    <row r="47" spans="2:14" s="13" customFormat="1" x14ac:dyDescent="0.4">
      <c r="B47" s="25"/>
      <c r="E47" s="26"/>
      <c r="G47" s="54"/>
      <c r="N47" s="42"/>
    </row>
    <row r="48" spans="2:14" s="13" customFormat="1" x14ac:dyDescent="0.4">
      <c r="B48" s="25"/>
      <c r="E48" s="26"/>
      <c r="G48" s="54"/>
      <c r="N48" s="42"/>
    </row>
    <row r="49" spans="2:14" s="13" customFormat="1" x14ac:dyDescent="0.4">
      <c r="B49" s="25"/>
      <c r="E49" s="26"/>
      <c r="G49" s="54"/>
      <c r="N49" s="42"/>
    </row>
    <row r="50" spans="2:14" s="13" customFormat="1" x14ac:dyDescent="0.4">
      <c r="B50" s="25"/>
      <c r="E50" s="26"/>
      <c r="G50" s="54"/>
      <c r="N50" s="42"/>
    </row>
    <row r="51" spans="2:14" s="13" customFormat="1" x14ac:dyDescent="0.4">
      <c r="B51" s="25"/>
      <c r="E51" s="26"/>
      <c r="G51" s="54"/>
      <c r="N51" s="42"/>
    </row>
    <row r="52" spans="2:14" s="13" customFormat="1" x14ac:dyDescent="0.4">
      <c r="B52" s="25"/>
      <c r="E52" s="26"/>
      <c r="G52" s="54"/>
      <c r="N52" s="42"/>
    </row>
    <row r="53" spans="2:14" s="13" customFormat="1" x14ac:dyDescent="0.4">
      <c r="B53" s="25"/>
      <c r="E53" s="26"/>
      <c r="G53" s="54"/>
      <c r="N53" s="42"/>
    </row>
    <row r="54" spans="2:14" s="13" customFormat="1" x14ac:dyDescent="0.4">
      <c r="B54" s="25"/>
      <c r="E54" s="26"/>
      <c r="G54" s="54"/>
      <c r="N54" s="42"/>
    </row>
    <row r="55" spans="2:14" s="13" customFormat="1" x14ac:dyDescent="0.4">
      <c r="B55" s="25"/>
      <c r="E55" s="26"/>
      <c r="G55" s="54"/>
      <c r="N55" s="42"/>
    </row>
    <row r="56" spans="2:14" s="13" customFormat="1" x14ac:dyDescent="0.4">
      <c r="B56" s="25"/>
      <c r="E56" s="26"/>
      <c r="G56" s="54"/>
      <c r="N56" s="42"/>
    </row>
    <row r="57" spans="2:14" s="13" customFormat="1" x14ac:dyDescent="0.4">
      <c r="B57" s="25"/>
      <c r="E57" s="26"/>
      <c r="G57" s="54"/>
      <c r="N57" s="42"/>
    </row>
    <row r="58" spans="2:14" s="13" customFormat="1" x14ac:dyDescent="0.4">
      <c r="B58" s="25"/>
      <c r="E58" s="26"/>
      <c r="G58" s="54"/>
      <c r="N58" s="42"/>
    </row>
    <row r="59" spans="2:14" s="13" customFormat="1" x14ac:dyDescent="0.4">
      <c r="B59" s="25"/>
      <c r="E59" s="26"/>
      <c r="G59" s="54"/>
      <c r="N59" s="42"/>
    </row>
    <row r="60" spans="2:14" s="13" customFormat="1" x14ac:dyDescent="0.4">
      <c r="B60" s="25"/>
      <c r="E60" s="26"/>
      <c r="G60" s="54"/>
      <c r="N60" s="42"/>
    </row>
    <row r="61" spans="2:14" s="13" customFormat="1" x14ac:dyDescent="0.4">
      <c r="B61" s="25"/>
      <c r="E61" s="26"/>
      <c r="G61" s="54"/>
      <c r="N61" s="42"/>
    </row>
    <row r="62" spans="2:14" s="13" customFormat="1" x14ac:dyDescent="0.4">
      <c r="B62" s="25"/>
      <c r="E62" s="26"/>
      <c r="G62" s="54"/>
      <c r="N62" s="42"/>
    </row>
    <row r="63" spans="2:14" s="13" customFormat="1" x14ac:dyDescent="0.4">
      <c r="B63" s="25"/>
      <c r="E63" s="26"/>
      <c r="G63" s="54"/>
      <c r="N63" s="42"/>
    </row>
    <row r="64" spans="2:14" s="13" customFormat="1" x14ac:dyDescent="0.4">
      <c r="B64" s="25"/>
      <c r="E64" s="26"/>
      <c r="G64" s="54"/>
      <c r="N64" s="42"/>
    </row>
    <row r="65" spans="2:14" s="13" customFormat="1" x14ac:dyDescent="0.4">
      <c r="B65" s="25"/>
      <c r="E65" s="26"/>
      <c r="G65" s="54"/>
      <c r="N65" s="42"/>
    </row>
    <row r="66" spans="2:14" s="13" customFormat="1" x14ac:dyDescent="0.4">
      <c r="B66" s="25"/>
      <c r="E66" s="26"/>
      <c r="G66" s="54"/>
      <c r="N66" s="42"/>
    </row>
    <row r="67" spans="2:14" s="13" customFormat="1" x14ac:dyDescent="0.4">
      <c r="B67" s="25"/>
      <c r="E67" s="26"/>
      <c r="G67" s="54"/>
      <c r="N67" s="42"/>
    </row>
    <row r="68" spans="2:14" s="13" customFormat="1" x14ac:dyDescent="0.4">
      <c r="B68" s="25"/>
      <c r="E68" s="26"/>
      <c r="G68" s="54"/>
      <c r="N68" s="42"/>
    </row>
    <row r="69" spans="2:14" s="13" customFormat="1" x14ac:dyDescent="0.4">
      <c r="B69" s="25"/>
      <c r="E69" s="26"/>
      <c r="G69" s="54"/>
      <c r="N69" s="42"/>
    </row>
    <row r="70" spans="2:14" s="13" customFormat="1" x14ac:dyDescent="0.4">
      <c r="B70" s="25"/>
      <c r="E70" s="26"/>
      <c r="G70" s="54"/>
      <c r="N70" s="42"/>
    </row>
    <row r="71" spans="2:14" s="13" customFormat="1" x14ac:dyDescent="0.4">
      <c r="B71" s="25"/>
      <c r="E71" s="26"/>
      <c r="G71" s="54"/>
      <c r="N71" s="42"/>
    </row>
    <row r="72" spans="2:14" s="13" customFormat="1" x14ac:dyDescent="0.4">
      <c r="B72" s="25"/>
      <c r="E72" s="26"/>
      <c r="G72" s="54"/>
      <c r="N72" s="42"/>
    </row>
    <row r="73" spans="2:14" s="13" customFormat="1" x14ac:dyDescent="0.4">
      <c r="B73" s="25"/>
      <c r="E73" s="26"/>
      <c r="G73" s="54"/>
      <c r="N73" s="42"/>
    </row>
    <row r="74" spans="2:14" s="13" customFormat="1" x14ac:dyDescent="0.4">
      <c r="B74" s="25"/>
      <c r="E74" s="26"/>
      <c r="G74" s="54"/>
      <c r="N74" s="42"/>
    </row>
    <row r="75" spans="2:14" s="13" customFormat="1" x14ac:dyDescent="0.4">
      <c r="B75" s="25"/>
      <c r="E75" s="26"/>
      <c r="G75" s="54"/>
      <c r="N75" s="42"/>
    </row>
    <row r="76" spans="2:14" s="13" customFormat="1" x14ac:dyDescent="0.4">
      <c r="B76" s="25"/>
      <c r="E76" s="26"/>
      <c r="G76" s="54"/>
      <c r="N76" s="42"/>
    </row>
    <row r="77" spans="2:14" s="13" customFormat="1" x14ac:dyDescent="0.4">
      <c r="B77" s="25"/>
      <c r="E77" s="26"/>
      <c r="G77" s="54"/>
      <c r="N77" s="42"/>
    </row>
    <row r="78" spans="2:14" s="13" customFormat="1" x14ac:dyDescent="0.4">
      <c r="B78" s="25"/>
      <c r="E78" s="26"/>
      <c r="G78" s="54"/>
      <c r="N78" s="42"/>
    </row>
    <row r="79" spans="2:14" s="13" customFormat="1" x14ac:dyDescent="0.4">
      <c r="B79" s="25"/>
      <c r="E79" s="26"/>
      <c r="G79" s="54"/>
      <c r="N79" s="42"/>
    </row>
    <row r="80" spans="2:14" s="13" customFormat="1" x14ac:dyDescent="0.4">
      <c r="B80" s="25"/>
      <c r="E80" s="26"/>
      <c r="G80" s="54"/>
      <c r="N80" s="42"/>
    </row>
    <row r="81" spans="2:14" s="13" customFormat="1" x14ac:dyDescent="0.4">
      <c r="B81" s="25"/>
      <c r="E81" s="26"/>
      <c r="G81" s="54"/>
      <c r="N81" s="42"/>
    </row>
    <row r="82" spans="2:14" s="13" customFormat="1" x14ac:dyDescent="0.4">
      <c r="B82" s="25"/>
      <c r="E82" s="26"/>
      <c r="G82" s="54"/>
      <c r="N82" s="42"/>
    </row>
    <row r="83" spans="2:14" s="13" customFormat="1" x14ac:dyDescent="0.4">
      <c r="B83" s="25"/>
      <c r="E83" s="26"/>
      <c r="G83" s="54"/>
      <c r="N83" s="42"/>
    </row>
    <row r="84" spans="2:14" s="13" customFormat="1" x14ac:dyDescent="0.4">
      <c r="B84" s="25"/>
      <c r="E84" s="26"/>
      <c r="G84" s="54"/>
      <c r="N84" s="42"/>
    </row>
    <row r="85" spans="2:14" s="13" customFormat="1" x14ac:dyDescent="0.4">
      <c r="B85" s="25"/>
      <c r="E85" s="26"/>
      <c r="G85" s="54"/>
      <c r="N85" s="42"/>
    </row>
    <row r="86" spans="2:14" s="13" customFormat="1" x14ac:dyDescent="0.4">
      <c r="B86" s="25"/>
      <c r="E86" s="26"/>
      <c r="G86" s="54"/>
      <c r="N86" s="42"/>
    </row>
    <row r="87" spans="2:14" s="13" customFormat="1" x14ac:dyDescent="0.4">
      <c r="B87" s="25"/>
      <c r="E87" s="26"/>
      <c r="G87" s="54"/>
      <c r="N87" s="42"/>
    </row>
    <row r="88" spans="2:14" s="13" customFormat="1" x14ac:dyDescent="0.4">
      <c r="B88" s="25"/>
      <c r="E88" s="26"/>
      <c r="G88" s="54"/>
      <c r="N88" s="42"/>
    </row>
    <row r="89" spans="2:14" s="13" customFormat="1" x14ac:dyDescent="0.4">
      <c r="B89" s="25"/>
      <c r="E89" s="26"/>
      <c r="G89" s="54"/>
      <c r="N89" s="42"/>
    </row>
    <row r="90" spans="2:14" s="13" customFormat="1" x14ac:dyDescent="0.4">
      <c r="B90" s="25"/>
      <c r="E90" s="26"/>
      <c r="G90" s="54"/>
      <c r="N90" s="42"/>
    </row>
    <row r="91" spans="2:14" s="13" customFormat="1" x14ac:dyDescent="0.4">
      <c r="B91" s="25"/>
      <c r="E91" s="26"/>
      <c r="G91" s="54"/>
      <c r="N91" s="42"/>
    </row>
    <row r="92" spans="2:14" s="13" customFormat="1" x14ac:dyDescent="0.4">
      <c r="B92" s="25"/>
      <c r="E92" s="26"/>
      <c r="G92" s="54"/>
      <c r="N92" s="42"/>
    </row>
    <row r="93" spans="2:14" s="13" customFormat="1" x14ac:dyDescent="0.4">
      <c r="B93" s="25"/>
      <c r="E93" s="26"/>
      <c r="G93" s="54"/>
      <c r="N93" s="42"/>
    </row>
    <row r="94" spans="2:14" s="13" customFormat="1" x14ac:dyDescent="0.4">
      <c r="B94" s="25"/>
      <c r="E94" s="26"/>
      <c r="G94" s="54"/>
      <c r="N94" s="42"/>
    </row>
    <row r="95" spans="2:14" s="13" customFormat="1" x14ac:dyDescent="0.4">
      <c r="B95" s="25"/>
      <c r="E95" s="26"/>
      <c r="G95" s="54"/>
      <c r="N95" s="42"/>
    </row>
    <row r="96" spans="2:14" s="13" customFormat="1" x14ac:dyDescent="0.4">
      <c r="B96" s="25"/>
      <c r="E96" s="26"/>
      <c r="G96" s="54"/>
      <c r="N96" s="42"/>
    </row>
    <row r="97" spans="2:14" s="13" customFormat="1" x14ac:dyDescent="0.4">
      <c r="B97" s="25"/>
      <c r="E97" s="26"/>
      <c r="G97" s="54"/>
      <c r="N97" s="42"/>
    </row>
    <row r="98" spans="2:14" s="13" customFormat="1" x14ac:dyDescent="0.4">
      <c r="B98" s="25"/>
      <c r="E98" s="26"/>
      <c r="G98" s="54"/>
      <c r="N98" s="42"/>
    </row>
    <row r="99" spans="2:14" s="13" customFormat="1" x14ac:dyDescent="0.4">
      <c r="B99" s="25"/>
      <c r="E99" s="26"/>
      <c r="G99" s="54"/>
      <c r="N99" s="42"/>
    </row>
    <row r="100" spans="2:14" s="13" customFormat="1" x14ac:dyDescent="0.4">
      <c r="B100" s="25"/>
      <c r="E100" s="26"/>
      <c r="G100" s="54"/>
      <c r="N100" s="42"/>
    </row>
    <row r="101" spans="2:14" s="13" customFormat="1" x14ac:dyDescent="0.4">
      <c r="B101" s="25"/>
      <c r="E101" s="26"/>
      <c r="G101" s="54"/>
      <c r="N101" s="42"/>
    </row>
    <row r="102" spans="2:14" s="13" customFormat="1" x14ac:dyDescent="0.4">
      <c r="B102" s="25"/>
      <c r="E102" s="26"/>
      <c r="G102" s="54"/>
      <c r="N102" s="42"/>
    </row>
    <row r="103" spans="2:14" s="13" customFormat="1" x14ac:dyDescent="0.4">
      <c r="B103" s="25"/>
      <c r="E103" s="26"/>
      <c r="G103" s="54"/>
      <c r="N103" s="42"/>
    </row>
    <row r="104" spans="2:14" s="13" customFormat="1" x14ac:dyDescent="0.4">
      <c r="B104" s="25"/>
      <c r="E104" s="26"/>
      <c r="G104" s="54"/>
      <c r="N104" s="42"/>
    </row>
    <row r="105" spans="2:14" s="13" customFormat="1" x14ac:dyDescent="0.4">
      <c r="B105" s="25"/>
      <c r="E105" s="26"/>
      <c r="G105" s="54"/>
      <c r="N105" s="42"/>
    </row>
    <row r="106" spans="2:14" s="13" customFormat="1" x14ac:dyDescent="0.4">
      <c r="B106" s="25"/>
      <c r="E106" s="26"/>
      <c r="G106" s="54"/>
      <c r="N106" s="42"/>
    </row>
    <row r="107" spans="2:14" s="13" customFormat="1" x14ac:dyDescent="0.4">
      <c r="B107" s="25"/>
      <c r="E107" s="26"/>
      <c r="G107" s="54"/>
      <c r="N107" s="42"/>
    </row>
    <row r="108" spans="2:14" s="13" customFormat="1" x14ac:dyDescent="0.4">
      <c r="B108" s="25"/>
      <c r="E108" s="26"/>
      <c r="G108" s="54"/>
      <c r="N108" s="42"/>
    </row>
    <row r="109" spans="2:14" s="13" customFormat="1" x14ac:dyDescent="0.4">
      <c r="B109" s="25"/>
      <c r="E109" s="26"/>
      <c r="G109" s="54"/>
      <c r="N109" s="42"/>
    </row>
    <row r="110" spans="2:14" s="13" customFormat="1" x14ac:dyDescent="0.4">
      <c r="B110" s="25"/>
      <c r="E110" s="26"/>
      <c r="G110" s="54"/>
      <c r="N110" s="42"/>
    </row>
    <row r="111" spans="2:14" s="13" customFormat="1" x14ac:dyDescent="0.4">
      <c r="B111" s="25"/>
      <c r="E111" s="26"/>
      <c r="G111" s="54"/>
      <c r="N111" s="42"/>
    </row>
    <row r="112" spans="2:14" s="13" customFormat="1" x14ac:dyDescent="0.4">
      <c r="B112" s="25"/>
      <c r="E112" s="26"/>
      <c r="G112" s="54"/>
      <c r="N112" s="42"/>
    </row>
    <row r="113" spans="2:14" s="13" customFormat="1" x14ac:dyDescent="0.4">
      <c r="B113" s="25"/>
      <c r="E113" s="26"/>
      <c r="G113" s="54"/>
      <c r="N113" s="42"/>
    </row>
    <row r="114" spans="2:14" s="13" customFormat="1" x14ac:dyDescent="0.4">
      <c r="B114" s="25"/>
      <c r="E114" s="26"/>
      <c r="G114" s="54"/>
      <c r="N114" s="42"/>
    </row>
    <row r="115" spans="2:14" s="13" customFormat="1" x14ac:dyDescent="0.4">
      <c r="B115" s="25"/>
      <c r="E115" s="26"/>
      <c r="G115" s="54"/>
      <c r="N115" s="42"/>
    </row>
    <row r="116" spans="2:14" s="13" customFormat="1" x14ac:dyDescent="0.4">
      <c r="B116" s="25"/>
      <c r="E116" s="26"/>
      <c r="G116" s="54"/>
      <c r="N116" s="42"/>
    </row>
    <row r="117" spans="2:14" s="13" customFormat="1" x14ac:dyDescent="0.4">
      <c r="B117" s="25"/>
      <c r="E117" s="26"/>
      <c r="G117" s="54"/>
      <c r="N117" s="42"/>
    </row>
    <row r="118" spans="2:14" s="13" customFormat="1" x14ac:dyDescent="0.4">
      <c r="B118" s="25"/>
      <c r="E118" s="26"/>
      <c r="G118" s="54"/>
      <c r="N118" s="42"/>
    </row>
    <row r="119" spans="2:14" s="13" customFormat="1" x14ac:dyDescent="0.4">
      <c r="B119" s="25"/>
      <c r="E119" s="26"/>
      <c r="G119" s="54"/>
      <c r="N119" s="42"/>
    </row>
    <row r="120" spans="2:14" s="13" customFormat="1" x14ac:dyDescent="0.4">
      <c r="B120" s="25"/>
      <c r="E120" s="26"/>
      <c r="G120" s="54"/>
      <c r="N120" s="42"/>
    </row>
    <row r="121" spans="2:14" s="13" customFormat="1" x14ac:dyDescent="0.4">
      <c r="B121" s="25"/>
      <c r="E121" s="26"/>
      <c r="G121" s="54"/>
      <c r="N121" s="42"/>
    </row>
    <row r="122" spans="2:14" s="13" customFormat="1" x14ac:dyDescent="0.4">
      <c r="B122" s="25"/>
      <c r="E122" s="26"/>
      <c r="G122" s="54"/>
      <c r="N122" s="42"/>
    </row>
    <row r="123" spans="2:14" s="13" customFormat="1" x14ac:dyDescent="0.4">
      <c r="B123" s="25"/>
      <c r="E123" s="26"/>
      <c r="G123" s="54"/>
      <c r="N123" s="42"/>
    </row>
    <row r="124" spans="2:14" s="13" customFormat="1" x14ac:dyDescent="0.4">
      <c r="B124" s="25"/>
      <c r="E124" s="26"/>
      <c r="G124" s="54"/>
      <c r="N124" s="42"/>
    </row>
    <row r="125" spans="2:14" s="13" customFormat="1" x14ac:dyDescent="0.4">
      <c r="B125" s="25"/>
      <c r="E125" s="26"/>
      <c r="G125" s="54"/>
      <c r="N125" s="42"/>
    </row>
    <row r="126" spans="2:14" s="13" customFormat="1" x14ac:dyDescent="0.4">
      <c r="B126" s="25"/>
      <c r="E126" s="26"/>
      <c r="G126" s="54"/>
      <c r="N126" s="42"/>
    </row>
    <row r="127" spans="2:14" s="13" customFormat="1" x14ac:dyDescent="0.4">
      <c r="B127" s="25"/>
      <c r="E127" s="26"/>
      <c r="G127" s="54"/>
      <c r="N127" s="42"/>
    </row>
    <row r="128" spans="2:14" s="13" customFormat="1" x14ac:dyDescent="0.4">
      <c r="B128" s="25"/>
      <c r="E128" s="26"/>
      <c r="G128" s="54"/>
      <c r="N128" s="42"/>
    </row>
    <row r="129" spans="2:14" s="13" customFormat="1" x14ac:dyDescent="0.4">
      <c r="B129" s="25"/>
      <c r="E129" s="26"/>
      <c r="G129" s="54"/>
      <c r="N129" s="42"/>
    </row>
    <row r="130" spans="2:14" s="13" customFormat="1" x14ac:dyDescent="0.4">
      <c r="B130" s="25"/>
      <c r="E130" s="26"/>
      <c r="G130" s="54"/>
      <c r="N130" s="42"/>
    </row>
    <row r="131" spans="2:14" s="13" customFormat="1" x14ac:dyDescent="0.4">
      <c r="B131" s="25"/>
      <c r="E131" s="26"/>
      <c r="G131" s="54"/>
      <c r="N131" s="42"/>
    </row>
    <row r="132" spans="2:14" s="13" customFormat="1" x14ac:dyDescent="0.4">
      <c r="B132" s="25"/>
      <c r="E132" s="26"/>
      <c r="G132" s="54"/>
      <c r="N132" s="42"/>
    </row>
    <row r="133" spans="2:14" s="13" customFormat="1" x14ac:dyDescent="0.4">
      <c r="B133" s="25"/>
      <c r="E133" s="26"/>
      <c r="G133" s="54"/>
      <c r="N133" s="42"/>
    </row>
    <row r="134" spans="2:14" s="13" customFormat="1" x14ac:dyDescent="0.4">
      <c r="B134" s="25"/>
      <c r="E134" s="26"/>
      <c r="G134" s="54"/>
      <c r="N134" s="42"/>
    </row>
    <row r="135" spans="2:14" s="13" customFormat="1" x14ac:dyDescent="0.4">
      <c r="B135" s="25"/>
      <c r="E135" s="26"/>
      <c r="G135" s="54"/>
      <c r="N135" s="42"/>
    </row>
    <row r="136" spans="2:14" s="13" customFormat="1" x14ac:dyDescent="0.4">
      <c r="B136" s="25"/>
      <c r="E136" s="26"/>
      <c r="G136" s="54"/>
      <c r="N136" s="42"/>
    </row>
    <row r="137" spans="2:14" s="13" customFormat="1" x14ac:dyDescent="0.4">
      <c r="B137" s="25"/>
      <c r="E137" s="26"/>
      <c r="G137" s="54"/>
      <c r="N137" s="42"/>
    </row>
    <row r="138" spans="2:14" s="13" customFormat="1" x14ac:dyDescent="0.4">
      <c r="B138" s="25"/>
      <c r="E138" s="26"/>
      <c r="G138" s="54"/>
      <c r="N138" s="42"/>
    </row>
    <row r="139" spans="2:14" s="13" customFormat="1" x14ac:dyDescent="0.4">
      <c r="B139" s="25"/>
      <c r="E139" s="26"/>
      <c r="G139" s="54"/>
      <c r="N139" s="42"/>
    </row>
    <row r="140" spans="2:14" s="13" customFormat="1" x14ac:dyDescent="0.4">
      <c r="B140" s="25"/>
      <c r="E140" s="26"/>
      <c r="G140" s="54"/>
      <c r="N140" s="42"/>
    </row>
    <row r="141" spans="2:14" s="13" customFormat="1" x14ac:dyDescent="0.4">
      <c r="B141" s="25"/>
      <c r="E141" s="26"/>
      <c r="G141" s="54"/>
      <c r="N141" s="42"/>
    </row>
    <row r="142" spans="2:14" s="13" customFormat="1" x14ac:dyDescent="0.4">
      <c r="B142" s="25"/>
      <c r="E142" s="26"/>
      <c r="G142" s="54"/>
      <c r="N142" s="42"/>
    </row>
    <row r="143" spans="2:14" s="13" customFormat="1" x14ac:dyDescent="0.4">
      <c r="B143" s="25"/>
      <c r="E143" s="26"/>
      <c r="G143" s="54"/>
      <c r="N143" s="42"/>
    </row>
    <row r="144" spans="2:14" s="13" customFormat="1" x14ac:dyDescent="0.4">
      <c r="B144" s="25"/>
      <c r="E144" s="26"/>
      <c r="G144" s="54"/>
      <c r="N144" s="42"/>
    </row>
    <row r="145" spans="2:14" s="13" customFormat="1" x14ac:dyDescent="0.4">
      <c r="B145" s="25"/>
      <c r="E145" s="26"/>
      <c r="G145" s="54"/>
      <c r="N145" s="42"/>
    </row>
    <row r="146" spans="2:14" s="13" customFormat="1" x14ac:dyDescent="0.4">
      <c r="B146" s="25"/>
      <c r="E146" s="26"/>
      <c r="G146" s="54"/>
      <c r="N146" s="42"/>
    </row>
    <row r="147" spans="2:14" s="13" customFormat="1" x14ac:dyDescent="0.4">
      <c r="B147" s="25"/>
      <c r="E147" s="26"/>
      <c r="G147" s="54"/>
      <c r="N147" s="42"/>
    </row>
    <row r="148" spans="2:14" s="13" customFormat="1" x14ac:dyDescent="0.4">
      <c r="B148" s="25"/>
      <c r="E148" s="26"/>
      <c r="G148" s="54"/>
      <c r="N148" s="42"/>
    </row>
    <row r="149" spans="2:14" s="13" customFormat="1" x14ac:dyDescent="0.4">
      <c r="B149" s="25"/>
      <c r="E149" s="26"/>
      <c r="G149" s="54"/>
      <c r="N149" s="42"/>
    </row>
    <row r="150" spans="2:14" s="13" customFormat="1" x14ac:dyDescent="0.4">
      <c r="B150" s="25"/>
      <c r="E150" s="26"/>
      <c r="G150" s="54"/>
      <c r="N150" s="42"/>
    </row>
    <row r="151" spans="2:14" s="13" customFormat="1" x14ac:dyDescent="0.4">
      <c r="B151" s="25"/>
      <c r="E151" s="26"/>
      <c r="G151" s="54"/>
      <c r="N151" s="42"/>
    </row>
    <row r="152" spans="2:14" s="13" customFormat="1" x14ac:dyDescent="0.4">
      <c r="B152" s="25"/>
      <c r="E152" s="26"/>
      <c r="G152" s="54"/>
      <c r="N152" s="42"/>
    </row>
    <row r="153" spans="2:14" s="13" customFormat="1" x14ac:dyDescent="0.4">
      <c r="B153" s="25"/>
      <c r="E153" s="26"/>
      <c r="G153" s="54"/>
      <c r="N153" s="42"/>
    </row>
    <row r="154" spans="2:14" s="13" customFormat="1" x14ac:dyDescent="0.4">
      <c r="B154" s="25"/>
      <c r="E154" s="26"/>
      <c r="G154" s="54"/>
      <c r="N154" s="42"/>
    </row>
    <row r="155" spans="2:14" s="13" customFormat="1" x14ac:dyDescent="0.4">
      <c r="B155" s="25"/>
      <c r="E155" s="26"/>
      <c r="G155" s="54"/>
      <c r="N155" s="42"/>
    </row>
    <row r="156" spans="2:14" s="13" customFormat="1" x14ac:dyDescent="0.4">
      <c r="B156" s="25"/>
      <c r="E156" s="26"/>
      <c r="G156" s="54"/>
      <c r="N156" s="42"/>
    </row>
    <row r="157" spans="2:14" s="13" customFormat="1" x14ac:dyDescent="0.4">
      <c r="B157" s="25"/>
      <c r="E157" s="26"/>
      <c r="G157" s="54"/>
      <c r="N157" s="42"/>
    </row>
    <row r="158" spans="2:14" s="13" customFormat="1" x14ac:dyDescent="0.4">
      <c r="B158" s="25"/>
      <c r="E158" s="26"/>
      <c r="G158" s="54"/>
      <c r="N158" s="42"/>
    </row>
    <row r="159" spans="2:14" s="13" customFormat="1" x14ac:dyDescent="0.4">
      <c r="B159" s="25"/>
      <c r="E159" s="26"/>
      <c r="G159" s="54"/>
      <c r="N159" s="42"/>
    </row>
    <row r="160" spans="2:14" s="13" customFormat="1" x14ac:dyDescent="0.4">
      <c r="B160" s="25"/>
      <c r="E160" s="26"/>
      <c r="G160" s="54"/>
      <c r="N160" s="42"/>
    </row>
    <row r="161" spans="2:14" s="13" customFormat="1" x14ac:dyDescent="0.4">
      <c r="B161" s="25"/>
      <c r="E161" s="26"/>
      <c r="G161" s="54"/>
      <c r="N161" s="42"/>
    </row>
    <row r="162" spans="2:14" s="13" customFormat="1" x14ac:dyDescent="0.4">
      <c r="B162" s="25"/>
      <c r="E162" s="26"/>
      <c r="G162" s="54"/>
      <c r="N162" s="42"/>
    </row>
    <row r="163" spans="2:14" s="13" customFormat="1" x14ac:dyDescent="0.4">
      <c r="B163" s="25"/>
      <c r="E163" s="26"/>
      <c r="G163" s="54"/>
      <c r="N163" s="42"/>
    </row>
    <row r="164" spans="2:14" s="13" customFormat="1" x14ac:dyDescent="0.4">
      <c r="B164" s="25"/>
      <c r="E164" s="26"/>
      <c r="G164" s="54"/>
      <c r="N164" s="42"/>
    </row>
    <row r="165" spans="2:14" s="13" customFormat="1" x14ac:dyDescent="0.4">
      <c r="B165" s="25"/>
      <c r="E165" s="26"/>
      <c r="G165" s="54"/>
      <c r="N165" s="42"/>
    </row>
    <row r="166" spans="2:14" s="13" customFormat="1" x14ac:dyDescent="0.4">
      <c r="B166" s="25"/>
      <c r="E166" s="26"/>
      <c r="G166" s="54"/>
      <c r="N166" s="42"/>
    </row>
    <row r="167" spans="2:14" s="13" customFormat="1" x14ac:dyDescent="0.4">
      <c r="B167" s="25"/>
      <c r="E167" s="26"/>
      <c r="G167" s="54"/>
      <c r="N167" s="42"/>
    </row>
    <row r="168" spans="2:14" s="13" customFormat="1" x14ac:dyDescent="0.4">
      <c r="B168" s="25"/>
      <c r="E168" s="26"/>
      <c r="G168" s="54"/>
      <c r="N168" s="42"/>
    </row>
    <row r="169" spans="2:14" s="13" customFormat="1" x14ac:dyDescent="0.4">
      <c r="B169" s="25"/>
      <c r="E169" s="26"/>
      <c r="G169" s="54"/>
      <c r="N169" s="42"/>
    </row>
    <row r="170" spans="2:14" s="13" customFormat="1" x14ac:dyDescent="0.4">
      <c r="B170" s="25"/>
      <c r="E170" s="26"/>
      <c r="G170" s="54"/>
      <c r="N170" s="42"/>
    </row>
    <row r="171" spans="2:14" s="13" customFormat="1" x14ac:dyDescent="0.4">
      <c r="B171" s="25"/>
      <c r="E171" s="26"/>
      <c r="G171" s="54"/>
      <c r="N171" s="42"/>
    </row>
    <row r="172" spans="2:14" s="13" customFormat="1" x14ac:dyDescent="0.4">
      <c r="B172" s="25"/>
      <c r="E172" s="26"/>
      <c r="G172" s="54"/>
      <c r="N172" s="42"/>
    </row>
    <row r="173" spans="2:14" s="13" customFormat="1" x14ac:dyDescent="0.4">
      <c r="B173" s="25"/>
      <c r="E173" s="26"/>
      <c r="G173" s="54"/>
      <c r="N173" s="42"/>
    </row>
    <row r="174" spans="2:14" s="13" customFormat="1" x14ac:dyDescent="0.4">
      <c r="B174" s="25"/>
      <c r="E174" s="26"/>
      <c r="G174" s="54"/>
      <c r="N174" s="42"/>
    </row>
    <row r="175" spans="2:14" s="13" customFormat="1" x14ac:dyDescent="0.4">
      <c r="B175" s="25"/>
      <c r="E175" s="26"/>
      <c r="G175" s="54"/>
      <c r="N175" s="42"/>
    </row>
    <row r="176" spans="2:14" s="13" customFormat="1" x14ac:dyDescent="0.4">
      <c r="B176" s="25"/>
      <c r="E176" s="26"/>
      <c r="G176" s="54"/>
      <c r="N176" s="42"/>
    </row>
    <row r="177" spans="2:14" s="13" customFormat="1" x14ac:dyDescent="0.4">
      <c r="B177" s="25"/>
      <c r="E177" s="26"/>
      <c r="G177" s="54"/>
      <c r="N177" s="42"/>
    </row>
    <row r="178" spans="2:14" s="13" customFormat="1" x14ac:dyDescent="0.4">
      <c r="B178" s="25"/>
      <c r="E178" s="26"/>
      <c r="G178" s="54"/>
      <c r="N178" s="42"/>
    </row>
    <row r="179" spans="2:14" s="13" customFormat="1" x14ac:dyDescent="0.4">
      <c r="B179" s="25"/>
      <c r="E179" s="26"/>
      <c r="G179" s="54"/>
      <c r="N179" s="42"/>
    </row>
    <row r="180" spans="2:14" s="13" customFormat="1" x14ac:dyDescent="0.4">
      <c r="B180" s="25"/>
      <c r="E180" s="26"/>
      <c r="G180" s="54"/>
      <c r="N180" s="42"/>
    </row>
    <row r="181" spans="2:14" s="13" customFormat="1" x14ac:dyDescent="0.4">
      <c r="B181" s="25"/>
      <c r="E181" s="26"/>
      <c r="G181" s="54"/>
      <c r="N181" s="42"/>
    </row>
    <row r="182" spans="2:14" s="13" customFormat="1" x14ac:dyDescent="0.4">
      <c r="B182" s="25"/>
      <c r="E182" s="26"/>
      <c r="G182" s="54"/>
      <c r="N182" s="42"/>
    </row>
    <row r="183" spans="2:14" s="13" customFormat="1" x14ac:dyDescent="0.4">
      <c r="B183" s="25"/>
      <c r="E183" s="26"/>
      <c r="G183" s="54"/>
      <c r="N183" s="42"/>
    </row>
    <row r="184" spans="2:14" s="13" customFormat="1" x14ac:dyDescent="0.4">
      <c r="B184" s="25"/>
      <c r="E184" s="26"/>
      <c r="G184" s="54"/>
      <c r="N184" s="42"/>
    </row>
    <row r="185" spans="2:14" s="13" customFormat="1" x14ac:dyDescent="0.4">
      <c r="B185" s="25"/>
      <c r="E185" s="26"/>
      <c r="G185" s="54"/>
      <c r="N185" s="42"/>
    </row>
    <row r="186" spans="2:14" s="13" customFormat="1" x14ac:dyDescent="0.4">
      <c r="B186" s="25"/>
      <c r="E186" s="26"/>
      <c r="G186" s="54"/>
      <c r="N186" s="42"/>
    </row>
    <row r="187" spans="2:14" s="13" customFormat="1" x14ac:dyDescent="0.4">
      <c r="B187" s="25"/>
      <c r="E187" s="26"/>
      <c r="G187" s="54"/>
      <c r="N187" s="42"/>
    </row>
    <row r="188" spans="2:14" s="13" customFormat="1" x14ac:dyDescent="0.4">
      <c r="B188" s="25"/>
      <c r="E188" s="26"/>
      <c r="G188" s="54"/>
      <c r="N188" s="42"/>
    </row>
    <row r="189" spans="2:14" s="13" customFormat="1" x14ac:dyDescent="0.4">
      <c r="B189" s="25"/>
      <c r="E189" s="26"/>
      <c r="G189" s="54"/>
      <c r="N189" s="42"/>
    </row>
    <row r="190" spans="2:14" s="13" customFormat="1" x14ac:dyDescent="0.4">
      <c r="B190" s="25"/>
      <c r="E190" s="26"/>
      <c r="G190" s="54"/>
      <c r="N190" s="42"/>
    </row>
    <row r="191" spans="2:14" s="13" customFormat="1" x14ac:dyDescent="0.4">
      <c r="B191" s="25"/>
      <c r="E191" s="26"/>
      <c r="G191" s="54"/>
      <c r="N191" s="42"/>
    </row>
    <row r="192" spans="2:14" s="13" customFormat="1" x14ac:dyDescent="0.4">
      <c r="B192" s="25"/>
      <c r="E192" s="26"/>
      <c r="G192" s="54"/>
      <c r="N192" s="42"/>
    </row>
    <row r="193" spans="2:14" s="13" customFormat="1" x14ac:dyDescent="0.4">
      <c r="B193" s="25"/>
      <c r="E193" s="26"/>
      <c r="G193" s="54"/>
      <c r="N193" s="42"/>
    </row>
    <row r="194" spans="2:14" s="13" customFormat="1" x14ac:dyDescent="0.4">
      <c r="B194" s="25"/>
      <c r="E194" s="26"/>
      <c r="G194" s="54"/>
      <c r="N194" s="42"/>
    </row>
    <row r="195" spans="2:14" s="13" customFormat="1" x14ac:dyDescent="0.4">
      <c r="B195" s="25"/>
      <c r="E195" s="26"/>
      <c r="G195" s="54"/>
      <c r="N195" s="42"/>
    </row>
    <row r="196" spans="2:14" s="13" customFormat="1" x14ac:dyDescent="0.4">
      <c r="B196" s="25"/>
      <c r="E196" s="26"/>
      <c r="G196" s="54"/>
      <c r="N196" s="42"/>
    </row>
    <row r="197" spans="2:14" s="13" customFormat="1" x14ac:dyDescent="0.4">
      <c r="B197" s="25"/>
      <c r="E197" s="26"/>
      <c r="G197" s="54"/>
      <c r="N197" s="42"/>
    </row>
    <row r="198" spans="2:14" s="13" customFormat="1" x14ac:dyDescent="0.4">
      <c r="B198" s="25"/>
      <c r="E198" s="26"/>
      <c r="G198" s="54"/>
      <c r="N198" s="42"/>
    </row>
    <row r="199" spans="2:14" s="13" customFormat="1" x14ac:dyDescent="0.4">
      <c r="B199" s="25"/>
      <c r="E199" s="26"/>
      <c r="G199" s="54"/>
      <c r="N199" s="42"/>
    </row>
    <row r="200" spans="2:14" s="13" customFormat="1" x14ac:dyDescent="0.4">
      <c r="B200" s="25"/>
      <c r="E200" s="26"/>
      <c r="G200" s="54"/>
      <c r="N200" s="42"/>
    </row>
    <row r="201" spans="2:14" s="13" customFormat="1" x14ac:dyDescent="0.4">
      <c r="B201" s="25"/>
      <c r="E201" s="26"/>
      <c r="G201" s="54"/>
      <c r="N201" s="42"/>
    </row>
    <row r="202" spans="2:14" s="13" customFormat="1" x14ac:dyDescent="0.4">
      <c r="B202" s="25"/>
      <c r="E202" s="26"/>
      <c r="G202" s="54"/>
      <c r="N202" s="42"/>
    </row>
    <row r="203" spans="2:14" s="13" customFormat="1" x14ac:dyDescent="0.4">
      <c r="B203" s="25"/>
      <c r="E203" s="26"/>
      <c r="G203" s="54"/>
      <c r="N203" s="42"/>
    </row>
    <row r="204" spans="2:14" s="13" customFormat="1" x14ac:dyDescent="0.4">
      <c r="B204" s="25"/>
      <c r="E204" s="26"/>
      <c r="G204" s="54"/>
      <c r="N204" s="42"/>
    </row>
    <row r="205" spans="2:14" s="13" customFormat="1" x14ac:dyDescent="0.4">
      <c r="B205" s="25"/>
      <c r="E205" s="26"/>
      <c r="G205" s="54"/>
      <c r="N205" s="42"/>
    </row>
    <row r="206" spans="2:14" s="13" customFormat="1" x14ac:dyDescent="0.4">
      <c r="B206" s="25"/>
      <c r="E206" s="26"/>
      <c r="G206" s="54"/>
      <c r="N206" s="42"/>
    </row>
    <row r="207" spans="2:14" s="13" customFormat="1" x14ac:dyDescent="0.4">
      <c r="B207" s="25"/>
      <c r="E207" s="26"/>
      <c r="G207" s="54"/>
      <c r="N207" s="42"/>
    </row>
    <row r="208" spans="2:14" s="13" customFormat="1" x14ac:dyDescent="0.4">
      <c r="B208" s="25"/>
      <c r="E208" s="26"/>
      <c r="G208" s="54"/>
      <c r="N208" s="42"/>
    </row>
    <row r="209" spans="2:14" s="13" customFormat="1" x14ac:dyDescent="0.4">
      <c r="B209" s="25"/>
      <c r="E209" s="26"/>
      <c r="G209" s="54"/>
      <c r="N209" s="42"/>
    </row>
    <row r="210" spans="2:14" s="13" customFormat="1" x14ac:dyDescent="0.4">
      <c r="B210" s="25"/>
      <c r="E210" s="26"/>
      <c r="G210" s="54"/>
      <c r="N210" s="42"/>
    </row>
    <row r="211" spans="2:14" s="13" customFormat="1" x14ac:dyDescent="0.4">
      <c r="B211" s="25"/>
      <c r="E211" s="26"/>
      <c r="G211" s="54"/>
      <c r="N211" s="42"/>
    </row>
    <row r="212" spans="2:14" s="13" customFormat="1" x14ac:dyDescent="0.4">
      <c r="B212" s="25"/>
      <c r="E212" s="26"/>
      <c r="G212" s="54"/>
      <c r="N212" s="42"/>
    </row>
    <row r="213" spans="2:14" s="13" customFormat="1" x14ac:dyDescent="0.4">
      <c r="B213" s="25"/>
      <c r="E213" s="26"/>
      <c r="G213" s="54"/>
      <c r="N213" s="42"/>
    </row>
    <row r="214" spans="2:14" s="13" customFormat="1" x14ac:dyDescent="0.4">
      <c r="B214" s="25"/>
      <c r="E214" s="26"/>
      <c r="G214" s="54"/>
      <c r="N214" s="42"/>
    </row>
    <row r="215" spans="2:14" s="13" customFormat="1" x14ac:dyDescent="0.4">
      <c r="B215" s="25"/>
      <c r="E215" s="26"/>
      <c r="G215" s="54"/>
      <c r="N215" s="42"/>
    </row>
    <row r="216" spans="2:14" s="13" customFormat="1" x14ac:dyDescent="0.4">
      <c r="B216" s="25"/>
      <c r="E216" s="26"/>
      <c r="G216" s="54"/>
      <c r="N216" s="42"/>
    </row>
    <row r="217" spans="2:14" s="13" customFormat="1" x14ac:dyDescent="0.4">
      <c r="B217" s="25"/>
      <c r="E217" s="26"/>
      <c r="G217" s="54"/>
      <c r="N217" s="42"/>
    </row>
    <row r="218" spans="2:14" s="13" customFormat="1" x14ac:dyDescent="0.4">
      <c r="B218" s="25"/>
      <c r="E218" s="26"/>
      <c r="G218" s="54"/>
      <c r="N218" s="42"/>
    </row>
    <row r="219" spans="2:14" s="13" customFormat="1" x14ac:dyDescent="0.4">
      <c r="B219" s="25"/>
      <c r="E219" s="26"/>
      <c r="G219" s="54"/>
      <c r="N219" s="42"/>
    </row>
    <row r="220" spans="2:14" s="13" customFormat="1" x14ac:dyDescent="0.4">
      <c r="B220" s="25"/>
      <c r="E220" s="26"/>
      <c r="G220" s="54"/>
      <c r="N220" s="42"/>
    </row>
    <row r="221" spans="2:14" s="13" customFormat="1" x14ac:dyDescent="0.4">
      <c r="B221" s="25"/>
      <c r="E221" s="26"/>
      <c r="G221" s="54"/>
      <c r="N221" s="42"/>
    </row>
    <row r="222" spans="2:14" s="13" customFormat="1" x14ac:dyDescent="0.4">
      <c r="B222" s="25"/>
      <c r="E222" s="26"/>
      <c r="G222" s="54"/>
      <c r="N222" s="42"/>
    </row>
    <row r="223" spans="2:14" s="13" customFormat="1" x14ac:dyDescent="0.4">
      <c r="B223" s="25"/>
      <c r="E223" s="26"/>
      <c r="G223" s="54"/>
      <c r="N223" s="42"/>
    </row>
    <row r="224" spans="2:14" s="13" customFormat="1" x14ac:dyDescent="0.4">
      <c r="B224" s="25"/>
      <c r="E224" s="26"/>
      <c r="G224" s="54"/>
      <c r="N224" s="42"/>
    </row>
    <row r="225" spans="2:14" s="13" customFormat="1" x14ac:dyDescent="0.4">
      <c r="B225" s="25"/>
      <c r="E225" s="26"/>
      <c r="G225" s="54"/>
      <c r="N225" s="42"/>
    </row>
    <row r="226" spans="2:14" s="13" customFormat="1" x14ac:dyDescent="0.4">
      <c r="B226" s="25"/>
      <c r="E226" s="26"/>
      <c r="G226" s="54"/>
      <c r="N226" s="42"/>
    </row>
    <row r="227" spans="2:14" s="13" customFormat="1" x14ac:dyDescent="0.4">
      <c r="B227" s="25"/>
      <c r="E227" s="26"/>
      <c r="G227" s="54"/>
      <c r="N227" s="42"/>
    </row>
    <row r="228" spans="2:14" s="13" customFormat="1" x14ac:dyDescent="0.4">
      <c r="B228" s="25"/>
      <c r="E228" s="26"/>
      <c r="G228" s="54"/>
      <c r="N228" s="42"/>
    </row>
    <row r="229" spans="2:14" s="13" customFormat="1" x14ac:dyDescent="0.4">
      <c r="B229" s="25"/>
      <c r="E229" s="26"/>
      <c r="G229" s="54"/>
      <c r="N229" s="42"/>
    </row>
    <row r="230" spans="2:14" s="13" customFormat="1" x14ac:dyDescent="0.4">
      <c r="B230" s="25"/>
      <c r="E230" s="26"/>
      <c r="G230" s="54"/>
      <c r="N230" s="42"/>
    </row>
    <row r="231" spans="2:14" s="13" customFormat="1" x14ac:dyDescent="0.4">
      <c r="B231" s="25"/>
      <c r="E231" s="26"/>
      <c r="G231" s="54"/>
      <c r="N231" s="42"/>
    </row>
    <row r="232" spans="2:14" s="13" customFormat="1" x14ac:dyDescent="0.4">
      <c r="B232" s="25"/>
      <c r="E232" s="26"/>
      <c r="G232" s="54"/>
      <c r="N232" s="42"/>
    </row>
    <row r="233" spans="2:14" s="13" customFormat="1" x14ac:dyDescent="0.4">
      <c r="B233" s="25"/>
      <c r="E233" s="26"/>
      <c r="G233" s="54"/>
      <c r="N233" s="42"/>
    </row>
    <row r="234" spans="2:14" s="13" customFormat="1" x14ac:dyDescent="0.4">
      <c r="B234" s="25"/>
      <c r="E234" s="26"/>
      <c r="G234" s="54"/>
      <c r="N234" s="42"/>
    </row>
    <row r="235" spans="2:14" s="13" customFormat="1" x14ac:dyDescent="0.4">
      <c r="B235" s="25"/>
      <c r="E235" s="26"/>
      <c r="G235" s="54"/>
      <c r="N235" s="42"/>
    </row>
    <row r="236" spans="2:14" s="13" customFormat="1" x14ac:dyDescent="0.4">
      <c r="B236" s="25"/>
      <c r="E236" s="26"/>
      <c r="G236" s="54"/>
      <c r="N236" s="42"/>
    </row>
    <row r="237" spans="2:14" s="13" customFormat="1" x14ac:dyDescent="0.4">
      <c r="B237" s="25"/>
      <c r="E237" s="26"/>
      <c r="G237" s="54"/>
      <c r="N237" s="42"/>
    </row>
    <row r="238" spans="2:14" s="13" customFormat="1" x14ac:dyDescent="0.4">
      <c r="B238" s="25"/>
      <c r="E238" s="26"/>
      <c r="G238" s="54"/>
      <c r="N238" s="42"/>
    </row>
    <row r="239" spans="2:14" s="13" customFormat="1" x14ac:dyDescent="0.4">
      <c r="B239" s="25"/>
      <c r="E239" s="26"/>
      <c r="G239" s="54"/>
      <c r="N239" s="42"/>
    </row>
    <row r="240" spans="2:14" s="13" customFormat="1" x14ac:dyDescent="0.4">
      <c r="B240" s="25"/>
      <c r="E240" s="26"/>
      <c r="G240" s="54"/>
      <c r="N240" s="42"/>
    </row>
    <row r="241" spans="2:14" s="13" customFormat="1" x14ac:dyDescent="0.4">
      <c r="B241" s="25"/>
      <c r="E241" s="26"/>
      <c r="G241" s="54"/>
      <c r="N241" s="42"/>
    </row>
    <row r="242" spans="2:14" s="13" customFormat="1" x14ac:dyDescent="0.4">
      <c r="B242" s="25"/>
      <c r="E242" s="26"/>
      <c r="G242" s="54"/>
      <c r="N242" s="42"/>
    </row>
    <row r="243" spans="2:14" s="13" customFormat="1" x14ac:dyDescent="0.4">
      <c r="B243" s="25"/>
      <c r="E243" s="26"/>
      <c r="G243" s="54"/>
      <c r="N243" s="42"/>
    </row>
    <row r="244" spans="2:14" s="13" customFormat="1" x14ac:dyDescent="0.4">
      <c r="B244" s="25"/>
      <c r="E244" s="26"/>
      <c r="G244" s="54"/>
      <c r="N244" s="42"/>
    </row>
    <row r="245" spans="2:14" s="13" customFormat="1" x14ac:dyDescent="0.4">
      <c r="B245" s="25"/>
      <c r="E245" s="26"/>
      <c r="G245" s="54"/>
      <c r="N245" s="42"/>
    </row>
    <row r="246" spans="2:14" s="13" customFormat="1" x14ac:dyDescent="0.4">
      <c r="B246" s="25"/>
      <c r="E246" s="26"/>
      <c r="G246" s="54"/>
      <c r="N246" s="42"/>
    </row>
    <row r="247" spans="2:14" s="13" customFormat="1" x14ac:dyDescent="0.4">
      <c r="B247" s="25"/>
      <c r="E247" s="26"/>
      <c r="G247" s="54"/>
      <c r="N247" s="42"/>
    </row>
    <row r="248" spans="2:14" s="13" customFormat="1" x14ac:dyDescent="0.4">
      <c r="B248" s="25"/>
      <c r="E248" s="26"/>
      <c r="G248" s="54"/>
      <c r="N248" s="42"/>
    </row>
    <row r="249" spans="2:14" s="13" customFormat="1" x14ac:dyDescent="0.4">
      <c r="B249" s="25"/>
      <c r="E249" s="26"/>
      <c r="G249" s="54"/>
      <c r="N249" s="42"/>
    </row>
    <row r="250" spans="2:14" s="13" customFormat="1" x14ac:dyDescent="0.4">
      <c r="B250" s="25"/>
      <c r="E250" s="26"/>
      <c r="G250" s="54"/>
      <c r="N250" s="42"/>
    </row>
    <row r="251" spans="2:14" s="13" customFormat="1" x14ac:dyDescent="0.4">
      <c r="B251" s="25"/>
      <c r="E251" s="26"/>
      <c r="G251" s="54"/>
      <c r="N251" s="42"/>
    </row>
    <row r="252" spans="2:14" s="13" customFormat="1" x14ac:dyDescent="0.4">
      <c r="B252" s="25"/>
      <c r="E252" s="26"/>
      <c r="G252" s="54"/>
      <c r="N252" s="42"/>
    </row>
    <row r="253" spans="2:14" s="13" customFormat="1" x14ac:dyDescent="0.4">
      <c r="B253" s="25"/>
      <c r="E253" s="26"/>
      <c r="G253" s="54"/>
      <c r="N253" s="42"/>
    </row>
    <row r="254" spans="2:14" s="13" customFormat="1" x14ac:dyDescent="0.4">
      <c r="B254" s="25"/>
      <c r="E254" s="26"/>
      <c r="G254" s="54"/>
      <c r="N254" s="42"/>
    </row>
    <row r="255" spans="2:14" s="13" customFormat="1" x14ac:dyDescent="0.4">
      <c r="B255" s="25"/>
      <c r="E255" s="26"/>
      <c r="G255" s="54"/>
      <c r="N255" s="42"/>
    </row>
    <row r="256" spans="2:14" s="13" customFormat="1" x14ac:dyDescent="0.4">
      <c r="B256" s="25"/>
      <c r="E256" s="26"/>
      <c r="G256" s="54"/>
      <c r="N256" s="42"/>
    </row>
    <row r="257" spans="2:14" s="13" customFormat="1" x14ac:dyDescent="0.4">
      <c r="B257" s="25"/>
      <c r="E257" s="26"/>
      <c r="G257" s="54"/>
      <c r="N257" s="42"/>
    </row>
    <row r="258" spans="2:14" s="13" customFormat="1" x14ac:dyDescent="0.4">
      <c r="B258" s="25"/>
      <c r="E258" s="26"/>
      <c r="G258" s="54"/>
      <c r="N258" s="42"/>
    </row>
    <row r="259" spans="2:14" s="13" customFormat="1" x14ac:dyDescent="0.4">
      <c r="B259" s="25"/>
      <c r="E259" s="26"/>
      <c r="G259" s="54"/>
      <c r="N259" s="42"/>
    </row>
    <row r="260" spans="2:14" s="13" customFormat="1" x14ac:dyDescent="0.4">
      <c r="B260" s="25"/>
      <c r="E260" s="26"/>
      <c r="G260" s="54"/>
      <c r="N260" s="42"/>
    </row>
    <row r="261" spans="2:14" s="13" customFormat="1" x14ac:dyDescent="0.4">
      <c r="B261" s="25"/>
      <c r="E261" s="26"/>
      <c r="G261" s="54"/>
      <c r="N261" s="42"/>
    </row>
    <row r="262" spans="2:14" s="13" customFormat="1" x14ac:dyDescent="0.4">
      <c r="B262" s="25"/>
      <c r="E262" s="26"/>
      <c r="G262" s="54"/>
      <c r="N262" s="42"/>
    </row>
    <row r="263" spans="2:14" s="13" customFormat="1" x14ac:dyDescent="0.4">
      <c r="B263" s="25"/>
      <c r="E263" s="26"/>
      <c r="G263" s="54"/>
      <c r="N263" s="42"/>
    </row>
    <row r="264" spans="2:14" s="13" customFormat="1" x14ac:dyDescent="0.4">
      <c r="B264" s="25"/>
      <c r="E264" s="26"/>
      <c r="G264" s="54"/>
      <c r="N264" s="42"/>
    </row>
    <row r="265" spans="2:14" s="13" customFormat="1" x14ac:dyDescent="0.4">
      <c r="B265" s="25"/>
      <c r="E265" s="26"/>
      <c r="G265" s="54"/>
      <c r="N265" s="42"/>
    </row>
    <row r="266" spans="2:14" s="13" customFormat="1" x14ac:dyDescent="0.4">
      <c r="B266" s="25"/>
      <c r="E266" s="26"/>
      <c r="G266" s="54"/>
      <c r="N266" s="42"/>
    </row>
    <row r="267" spans="2:14" s="13" customFormat="1" x14ac:dyDescent="0.4">
      <c r="B267" s="25"/>
      <c r="E267" s="26"/>
      <c r="G267" s="54"/>
      <c r="N267" s="42"/>
    </row>
    <row r="268" spans="2:14" s="13" customFormat="1" x14ac:dyDescent="0.4">
      <c r="B268" s="25"/>
      <c r="E268" s="26"/>
      <c r="G268" s="54"/>
      <c r="N268" s="42"/>
    </row>
    <row r="269" spans="2:14" s="13" customFormat="1" x14ac:dyDescent="0.4">
      <c r="B269" s="25"/>
      <c r="E269" s="26"/>
      <c r="G269" s="54"/>
      <c r="N269" s="42"/>
    </row>
    <row r="270" spans="2:14" s="13" customFormat="1" x14ac:dyDescent="0.4">
      <c r="B270" s="25"/>
      <c r="E270" s="26"/>
      <c r="G270" s="54"/>
      <c r="N270" s="42"/>
    </row>
    <row r="271" spans="2:14" s="13" customFormat="1" x14ac:dyDescent="0.4">
      <c r="B271" s="25"/>
      <c r="E271" s="26"/>
      <c r="G271" s="54"/>
      <c r="N271" s="42"/>
    </row>
    <row r="272" spans="2:14" s="13" customFormat="1" x14ac:dyDescent="0.4">
      <c r="B272" s="25"/>
      <c r="E272" s="26"/>
      <c r="G272" s="54"/>
      <c r="N272" s="42"/>
    </row>
    <row r="273" spans="2:14" s="13" customFormat="1" x14ac:dyDescent="0.4">
      <c r="B273" s="25"/>
      <c r="E273" s="26"/>
      <c r="G273" s="54"/>
      <c r="N273" s="42"/>
    </row>
    <row r="274" spans="2:14" s="13" customFormat="1" x14ac:dyDescent="0.4">
      <c r="B274" s="25"/>
      <c r="E274" s="26"/>
      <c r="G274" s="54"/>
      <c r="N274" s="42"/>
    </row>
    <row r="275" spans="2:14" s="13" customFormat="1" x14ac:dyDescent="0.4">
      <c r="B275" s="25"/>
      <c r="E275" s="26"/>
      <c r="G275" s="54"/>
      <c r="N275" s="42"/>
    </row>
    <row r="276" spans="2:14" s="13" customFormat="1" x14ac:dyDescent="0.4">
      <c r="B276" s="25"/>
      <c r="E276" s="26"/>
      <c r="G276" s="54"/>
      <c r="N276" s="42"/>
    </row>
    <row r="277" spans="2:14" s="13" customFormat="1" x14ac:dyDescent="0.4">
      <c r="B277" s="25"/>
      <c r="E277" s="26"/>
      <c r="G277" s="54"/>
      <c r="N277" s="42"/>
    </row>
    <row r="278" spans="2:14" s="13" customFormat="1" x14ac:dyDescent="0.4">
      <c r="B278" s="25"/>
      <c r="E278" s="26"/>
      <c r="G278" s="54"/>
      <c r="N278" s="42"/>
    </row>
    <row r="279" spans="2:14" s="13" customFormat="1" x14ac:dyDescent="0.4">
      <c r="B279" s="25"/>
      <c r="E279" s="26"/>
      <c r="G279" s="54"/>
      <c r="N279" s="42"/>
    </row>
    <row r="280" spans="2:14" s="13" customFormat="1" x14ac:dyDescent="0.4">
      <c r="B280" s="25"/>
      <c r="E280" s="26"/>
      <c r="G280" s="54"/>
      <c r="N280" s="42"/>
    </row>
    <row r="281" spans="2:14" s="13" customFormat="1" x14ac:dyDescent="0.4">
      <c r="B281" s="25"/>
      <c r="E281" s="26"/>
      <c r="G281" s="54"/>
      <c r="N281" s="42"/>
    </row>
    <row r="282" spans="2:14" s="13" customFormat="1" x14ac:dyDescent="0.4">
      <c r="B282" s="25"/>
      <c r="E282" s="26"/>
      <c r="G282" s="54"/>
      <c r="N282" s="42"/>
    </row>
    <row r="283" spans="2:14" s="13" customFormat="1" x14ac:dyDescent="0.4">
      <c r="B283" s="25"/>
      <c r="E283" s="26"/>
      <c r="G283" s="54"/>
      <c r="N283" s="42"/>
    </row>
    <row r="284" spans="2:14" s="13" customFormat="1" x14ac:dyDescent="0.4">
      <c r="B284" s="25"/>
      <c r="E284" s="26"/>
      <c r="G284" s="54"/>
      <c r="N284" s="42"/>
    </row>
    <row r="285" spans="2:14" s="13" customFormat="1" x14ac:dyDescent="0.4">
      <c r="B285" s="25"/>
      <c r="E285" s="26"/>
      <c r="G285" s="54"/>
      <c r="N285" s="42"/>
    </row>
    <row r="286" spans="2:14" s="13" customFormat="1" x14ac:dyDescent="0.4">
      <c r="B286" s="25"/>
      <c r="E286" s="26"/>
      <c r="G286" s="54"/>
      <c r="N286" s="42"/>
    </row>
    <row r="287" spans="2:14" s="13" customFormat="1" x14ac:dyDescent="0.4">
      <c r="B287" s="25"/>
      <c r="E287" s="26"/>
      <c r="G287" s="54"/>
      <c r="N287" s="42"/>
    </row>
    <row r="288" spans="2:14" s="13" customFormat="1" x14ac:dyDescent="0.4">
      <c r="B288" s="25"/>
      <c r="E288" s="26"/>
      <c r="G288" s="54"/>
      <c r="N288" s="42"/>
    </row>
    <row r="289" spans="2:14" s="13" customFormat="1" x14ac:dyDescent="0.4">
      <c r="B289" s="25"/>
      <c r="E289" s="26"/>
      <c r="G289" s="54"/>
      <c r="N289" s="42"/>
    </row>
    <row r="290" spans="2:14" s="13" customFormat="1" x14ac:dyDescent="0.4">
      <c r="B290" s="25"/>
      <c r="E290" s="26"/>
      <c r="G290" s="54"/>
      <c r="N290" s="42"/>
    </row>
    <row r="291" spans="2:14" s="13" customFormat="1" x14ac:dyDescent="0.4">
      <c r="B291" s="25"/>
      <c r="E291" s="26"/>
      <c r="G291" s="54"/>
      <c r="N291" s="42"/>
    </row>
    <row r="292" spans="2:14" s="13" customFormat="1" x14ac:dyDescent="0.4">
      <c r="B292" s="25"/>
      <c r="E292" s="26"/>
      <c r="G292" s="54"/>
      <c r="N292" s="42"/>
    </row>
    <row r="293" spans="2:14" s="13" customFormat="1" x14ac:dyDescent="0.4">
      <c r="B293" s="25"/>
      <c r="E293" s="26"/>
      <c r="G293" s="54"/>
      <c r="N293" s="42"/>
    </row>
    <row r="294" spans="2:14" s="13" customFormat="1" x14ac:dyDescent="0.4">
      <c r="B294" s="25"/>
      <c r="E294" s="26"/>
      <c r="G294" s="54"/>
      <c r="N294" s="42"/>
    </row>
    <row r="295" spans="2:14" s="13" customFormat="1" x14ac:dyDescent="0.4">
      <c r="B295" s="25"/>
      <c r="E295" s="26"/>
      <c r="G295" s="54"/>
      <c r="N295" s="42"/>
    </row>
    <row r="296" spans="2:14" s="13" customFormat="1" x14ac:dyDescent="0.4">
      <c r="B296" s="25"/>
      <c r="E296" s="26"/>
      <c r="G296" s="54"/>
      <c r="N296" s="42"/>
    </row>
    <row r="297" spans="2:14" s="13" customFormat="1" x14ac:dyDescent="0.4">
      <c r="B297" s="25"/>
      <c r="E297" s="26"/>
      <c r="G297" s="54"/>
      <c r="N297" s="42"/>
    </row>
    <row r="298" spans="2:14" s="13" customFormat="1" x14ac:dyDescent="0.4">
      <c r="B298" s="25"/>
      <c r="E298" s="26"/>
      <c r="G298" s="54"/>
      <c r="N298" s="42"/>
    </row>
    <row r="299" spans="2:14" s="13" customFormat="1" x14ac:dyDescent="0.4">
      <c r="B299" s="25"/>
      <c r="E299" s="26"/>
      <c r="G299" s="54"/>
      <c r="N299" s="42"/>
    </row>
    <row r="300" spans="2:14" s="13" customFormat="1" x14ac:dyDescent="0.4">
      <c r="B300" s="25"/>
      <c r="E300" s="26"/>
      <c r="G300" s="54"/>
      <c r="N300" s="42"/>
    </row>
    <row r="301" spans="2:14" s="13" customFormat="1" x14ac:dyDescent="0.4">
      <c r="B301" s="25"/>
      <c r="E301" s="26"/>
      <c r="G301" s="54"/>
      <c r="N301" s="42"/>
    </row>
    <row r="302" spans="2:14" s="13" customFormat="1" x14ac:dyDescent="0.4">
      <c r="B302" s="25"/>
      <c r="E302" s="26"/>
      <c r="G302" s="54"/>
      <c r="N302" s="42"/>
    </row>
    <row r="303" spans="2:14" s="13" customFormat="1" x14ac:dyDescent="0.4">
      <c r="B303" s="25"/>
      <c r="E303" s="26"/>
      <c r="G303" s="54"/>
      <c r="N303" s="42"/>
    </row>
    <row r="304" spans="2:14" s="13" customFormat="1" x14ac:dyDescent="0.4">
      <c r="B304" s="25"/>
      <c r="E304" s="26"/>
      <c r="G304" s="54"/>
      <c r="N304" s="42"/>
    </row>
    <row r="305" spans="2:14" s="13" customFormat="1" x14ac:dyDescent="0.4">
      <c r="B305" s="25"/>
      <c r="E305" s="26"/>
      <c r="G305" s="54"/>
      <c r="N305" s="42"/>
    </row>
    <row r="306" spans="2:14" s="13" customFormat="1" x14ac:dyDescent="0.4">
      <c r="B306" s="25"/>
      <c r="E306" s="26"/>
      <c r="G306" s="54"/>
      <c r="N306" s="42"/>
    </row>
    <row r="307" spans="2:14" s="13" customFormat="1" x14ac:dyDescent="0.4">
      <c r="B307" s="25"/>
      <c r="E307" s="26"/>
      <c r="G307" s="54"/>
      <c r="N307" s="42"/>
    </row>
    <row r="308" spans="2:14" s="13" customFormat="1" x14ac:dyDescent="0.4">
      <c r="B308" s="25"/>
      <c r="E308" s="26"/>
      <c r="G308" s="54"/>
      <c r="N308" s="42"/>
    </row>
    <row r="309" spans="2:14" s="13" customFormat="1" x14ac:dyDescent="0.4">
      <c r="B309" s="25"/>
      <c r="E309" s="26"/>
      <c r="G309" s="54"/>
      <c r="N309" s="42"/>
    </row>
    <row r="310" spans="2:14" s="13" customFormat="1" x14ac:dyDescent="0.4">
      <c r="B310" s="25"/>
      <c r="E310" s="26"/>
      <c r="G310" s="54"/>
      <c r="N310" s="42"/>
    </row>
    <row r="311" spans="2:14" s="13" customFormat="1" x14ac:dyDescent="0.4">
      <c r="B311" s="25"/>
      <c r="E311" s="26"/>
      <c r="G311" s="54"/>
      <c r="N311" s="42"/>
    </row>
    <row r="312" spans="2:14" s="13" customFormat="1" x14ac:dyDescent="0.4">
      <c r="B312" s="25"/>
      <c r="E312" s="26"/>
      <c r="G312" s="54"/>
      <c r="N312" s="42"/>
    </row>
    <row r="313" spans="2:14" s="13" customFormat="1" x14ac:dyDescent="0.4">
      <c r="B313" s="25"/>
      <c r="E313" s="26"/>
      <c r="G313" s="54"/>
      <c r="N313" s="42"/>
    </row>
    <row r="314" spans="2:14" s="13" customFormat="1" x14ac:dyDescent="0.4">
      <c r="B314" s="25"/>
      <c r="E314" s="26"/>
      <c r="G314" s="54"/>
      <c r="N314" s="42"/>
    </row>
    <row r="315" spans="2:14" s="13" customFormat="1" x14ac:dyDescent="0.4">
      <c r="B315" s="25"/>
      <c r="E315" s="26"/>
      <c r="G315" s="54"/>
      <c r="N315" s="42"/>
    </row>
    <row r="316" spans="2:14" s="13" customFormat="1" x14ac:dyDescent="0.4">
      <c r="B316" s="25"/>
      <c r="E316" s="26"/>
      <c r="G316" s="54"/>
      <c r="N316" s="42"/>
    </row>
    <row r="317" spans="2:14" s="13" customFormat="1" x14ac:dyDescent="0.4">
      <c r="B317" s="25"/>
      <c r="E317" s="26"/>
      <c r="G317" s="54"/>
      <c r="N317" s="42"/>
    </row>
    <row r="318" spans="2:14" s="13" customFormat="1" x14ac:dyDescent="0.4">
      <c r="B318" s="25"/>
      <c r="E318" s="26"/>
      <c r="G318" s="54"/>
      <c r="N318" s="42"/>
    </row>
    <row r="319" spans="2:14" s="13" customFormat="1" x14ac:dyDescent="0.4">
      <c r="B319" s="25"/>
      <c r="E319" s="26"/>
      <c r="G319" s="54"/>
      <c r="N319" s="42"/>
    </row>
    <row r="320" spans="2:14" s="13" customFormat="1" x14ac:dyDescent="0.4">
      <c r="B320" s="25"/>
      <c r="E320" s="26"/>
      <c r="G320" s="54"/>
      <c r="N320" s="42"/>
    </row>
    <row r="321" spans="2:14" s="13" customFormat="1" x14ac:dyDescent="0.4">
      <c r="B321" s="25"/>
      <c r="E321" s="26"/>
      <c r="G321" s="54"/>
      <c r="N321" s="42"/>
    </row>
    <row r="322" spans="2:14" s="13" customFormat="1" x14ac:dyDescent="0.4">
      <c r="B322" s="25"/>
      <c r="E322" s="26"/>
      <c r="G322" s="54"/>
      <c r="N322" s="42"/>
    </row>
    <row r="323" spans="2:14" s="13" customFormat="1" x14ac:dyDescent="0.4">
      <c r="B323" s="25"/>
      <c r="E323" s="26"/>
      <c r="G323" s="54"/>
      <c r="N323" s="42"/>
    </row>
    <row r="324" spans="2:14" s="13" customFormat="1" x14ac:dyDescent="0.4">
      <c r="B324" s="25"/>
      <c r="E324" s="26"/>
      <c r="G324" s="54"/>
      <c r="N324" s="42"/>
    </row>
    <row r="325" spans="2:14" s="13" customFormat="1" x14ac:dyDescent="0.4">
      <c r="B325" s="25"/>
      <c r="E325" s="26"/>
      <c r="G325" s="54"/>
      <c r="N325" s="42"/>
    </row>
    <row r="326" spans="2:14" s="13" customFormat="1" x14ac:dyDescent="0.4">
      <c r="B326" s="25"/>
      <c r="E326" s="26"/>
      <c r="G326" s="54"/>
      <c r="N326" s="42"/>
    </row>
    <row r="327" spans="2:14" s="13" customFormat="1" x14ac:dyDescent="0.4">
      <c r="B327" s="25"/>
      <c r="E327" s="26"/>
      <c r="G327" s="54"/>
      <c r="N327" s="42"/>
    </row>
    <row r="328" spans="2:14" s="13" customFormat="1" x14ac:dyDescent="0.4">
      <c r="B328" s="25"/>
      <c r="E328" s="26"/>
      <c r="G328" s="54"/>
      <c r="N328" s="42"/>
    </row>
    <row r="329" spans="2:14" s="13" customFormat="1" x14ac:dyDescent="0.4">
      <c r="B329" s="25"/>
      <c r="E329" s="26"/>
      <c r="G329" s="54"/>
      <c r="N329" s="42"/>
    </row>
    <row r="330" spans="2:14" s="13" customFormat="1" x14ac:dyDescent="0.4">
      <c r="B330" s="25"/>
      <c r="E330" s="26"/>
      <c r="G330" s="54"/>
      <c r="N330" s="42"/>
    </row>
    <row r="331" spans="2:14" s="13" customFormat="1" x14ac:dyDescent="0.4">
      <c r="B331" s="25"/>
      <c r="E331" s="26"/>
      <c r="G331" s="54"/>
      <c r="N331" s="42"/>
    </row>
    <row r="332" spans="2:14" s="13" customFormat="1" x14ac:dyDescent="0.4">
      <c r="B332" s="25"/>
      <c r="E332" s="26"/>
      <c r="G332" s="54"/>
      <c r="N332" s="42"/>
    </row>
    <row r="333" spans="2:14" s="13" customFormat="1" x14ac:dyDescent="0.4">
      <c r="B333" s="25"/>
      <c r="E333" s="26"/>
      <c r="G333" s="54"/>
      <c r="N333" s="42"/>
    </row>
    <row r="334" spans="2:14" s="13" customFormat="1" x14ac:dyDescent="0.4">
      <c r="B334" s="25"/>
      <c r="E334" s="26"/>
      <c r="G334" s="54"/>
      <c r="N334" s="42"/>
    </row>
    <row r="335" spans="2:14" s="13" customFormat="1" x14ac:dyDescent="0.4">
      <c r="B335" s="25"/>
      <c r="E335" s="26"/>
      <c r="G335" s="54"/>
      <c r="N335" s="42"/>
    </row>
    <row r="336" spans="2:14" s="13" customFormat="1" x14ac:dyDescent="0.4">
      <c r="B336" s="25"/>
      <c r="E336" s="26"/>
      <c r="G336" s="54"/>
      <c r="N336" s="42"/>
    </row>
    <row r="337" spans="2:14" s="13" customFormat="1" x14ac:dyDescent="0.4">
      <c r="B337" s="25"/>
      <c r="E337" s="26"/>
      <c r="G337" s="54"/>
      <c r="N337" s="42"/>
    </row>
    <row r="338" spans="2:14" s="13" customFormat="1" x14ac:dyDescent="0.4">
      <c r="B338" s="25"/>
      <c r="E338" s="26"/>
      <c r="G338" s="54"/>
      <c r="N338" s="42"/>
    </row>
    <row r="339" spans="2:14" s="13" customFormat="1" x14ac:dyDescent="0.4">
      <c r="B339" s="25"/>
      <c r="E339" s="26"/>
      <c r="G339" s="54"/>
      <c r="N339" s="42"/>
    </row>
    <row r="340" spans="2:14" s="13" customFormat="1" x14ac:dyDescent="0.4">
      <c r="B340" s="25"/>
      <c r="E340" s="26"/>
      <c r="G340" s="54"/>
      <c r="N340" s="42"/>
    </row>
    <row r="341" spans="2:14" s="13" customFormat="1" x14ac:dyDescent="0.4">
      <c r="B341" s="25"/>
      <c r="E341" s="26"/>
      <c r="G341" s="54"/>
      <c r="N341" s="42"/>
    </row>
    <row r="342" spans="2:14" s="13" customFormat="1" x14ac:dyDescent="0.4">
      <c r="B342" s="25"/>
      <c r="E342" s="26"/>
      <c r="G342" s="54"/>
      <c r="N342" s="42"/>
    </row>
    <row r="343" spans="2:14" s="13" customFormat="1" x14ac:dyDescent="0.4">
      <c r="B343" s="25"/>
      <c r="E343" s="26"/>
      <c r="G343" s="54"/>
      <c r="N343" s="42"/>
    </row>
    <row r="344" spans="2:14" s="13" customFormat="1" x14ac:dyDescent="0.4">
      <c r="B344" s="25"/>
      <c r="E344" s="26"/>
      <c r="G344" s="54"/>
      <c r="N344" s="42"/>
    </row>
    <row r="345" spans="2:14" s="13" customFormat="1" x14ac:dyDescent="0.4">
      <c r="B345" s="25"/>
      <c r="E345" s="26"/>
      <c r="G345" s="54"/>
      <c r="N345" s="42"/>
    </row>
    <row r="346" spans="2:14" s="13" customFormat="1" x14ac:dyDescent="0.4">
      <c r="B346" s="25"/>
      <c r="E346" s="26"/>
      <c r="G346" s="54"/>
      <c r="N346" s="42"/>
    </row>
    <row r="347" spans="2:14" s="13" customFormat="1" x14ac:dyDescent="0.4">
      <c r="B347" s="25"/>
      <c r="E347" s="26"/>
      <c r="G347" s="54"/>
      <c r="N347" s="42"/>
    </row>
    <row r="348" spans="2:14" s="13" customFormat="1" x14ac:dyDescent="0.4">
      <c r="B348" s="25"/>
      <c r="E348" s="26"/>
      <c r="G348" s="54"/>
      <c r="N348" s="42"/>
    </row>
    <row r="349" spans="2:14" s="13" customFormat="1" x14ac:dyDescent="0.4">
      <c r="B349" s="25"/>
      <c r="E349" s="26"/>
      <c r="G349" s="54"/>
      <c r="N349" s="42"/>
    </row>
    <row r="350" spans="2:14" s="13" customFormat="1" x14ac:dyDescent="0.4">
      <c r="B350" s="25"/>
      <c r="E350" s="26"/>
      <c r="G350" s="54"/>
      <c r="N350" s="42"/>
    </row>
    <row r="351" spans="2:14" s="13" customFormat="1" x14ac:dyDescent="0.4">
      <c r="B351" s="25"/>
      <c r="E351" s="26"/>
      <c r="G351" s="54"/>
      <c r="N351" s="42"/>
    </row>
    <row r="352" spans="2:14" s="13" customFormat="1" x14ac:dyDescent="0.4">
      <c r="B352" s="25"/>
      <c r="E352" s="26"/>
      <c r="G352" s="54"/>
      <c r="N352" s="42"/>
    </row>
    <row r="353" spans="2:14" s="13" customFormat="1" x14ac:dyDescent="0.4">
      <c r="B353" s="25"/>
      <c r="E353" s="26"/>
      <c r="G353" s="54"/>
      <c r="N353" s="42"/>
    </row>
    <row r="354" spans="2:14" s="13" customFormat="1" x14ac:dyDescent="0.4">
      <c r="B354" s="25"/>
      <c r="E354" s="26"/>
      <c r="G354" s="54"/>
      <c r="N354" s="42"/>
    </row>
    <row r="355" spans="2:14" s="13" customFormat="1" x14ac:dyDescent="0.4">
      <c r="B355" s="25"/>
      <c r="E355" s="26"/>
      <c r="G355" s="54"/>
      <c r="N355" s="42"/>
    </row>
    <row r="356" spans="2:14" s="13" customFormat="1" x14ac:dyDescent="0.4">
      <c r="B356" s="25"/>
      <c r="E356" s="26"/>
      <c r="G356" s="54"/>
      <c r="N356" s="42"/>
    </row>
    <row r="357" spans="2:14" s="13" customFormat="1" x14ac:dyDescent="0.4">
      <c r="B357" s="25"/>
      <c r="E357" s="26"/>
      <c r="G357" s="54"/>
      <c r="N357" s="42"/>
    </row>
    <row r="358" spans="2:14" s="13" customFormat="1" x14ac:dyDescent="0.4">
      <c r="B358" s="25"/>
      <c r="E358" s="26"/>
      <c r="G358" s="54"/>
      <c r="N358" s="42"/>
    </row>
    <row r="359" spans="2:14" s="13" customFormat="1" x14ac:dyDescent="0.4">
      <c r="B359" s="25"/>
      <c r="E359" s="26"/>
      <c r="G359" s="54"/>
      <c r="N359" s="42"/>
    </row>
    <row r="360" spans="2:14" s="13" customFormat="1" x14ac:dyDescent="0.4">
      <c r="B360" s="25"/>
      <c r="E360" s="26"/>
      <c r="G360" s="54"/>
      <c r="N360" s="42"/>
    </row>
    <row r="361" spans="2:14" s="13" customFormat="1" x14ac:dyDescent="0.4">
      <c r="B361" s="25"/>
      <c r="E361" s="26"/>
      <c r="G361" s="54"/>
      <c r="N361" s="42"/>
    </row>
    <row r="362" spans="2:14" s="13" customFormat="1" x14ac:dyDescent="0.4">
      <c r="B362" s="25"/>
      <c r="E362" s="26"/>
      <c r="G362" s="54"/>
      <c r="N362" s="42"/>
    </row>
    <row r="363" spans="2:14" s="13" customFormat="1" x14ac:dyDescent="0.4">
      <c r="B363" s="25"/>
      <c r="E363" s="26"/>
      <c r="G363" s="54"/>
      <c r="N363" s="42"/>
    </row>
    <row r="364" spans="2:14" s="13" customFormat="1" x14ac:dyDescent="0.4">
      <c r="B364" s="25"/>
      <c r="E364" s="26"/>
      <c r="G364" s="54"/>
      <c r="N364" s="42"/>
    </row>
    <row r="365" spans="2:14" s="13" customFormat="1" x14ac:dyDescent="0.4">
      <c r="B365" s="25"/>
      <c r="E365" s="26"/>
      <c r="G365" s="54"/>
      <c r="N365" s="42"/>
    </row>
    <row r="366" spans="2:14" s="13" customFormat="1" x14ac:dyDescent="0.4">
      <c r="B366" s="25"/>
      <c r="E366" s="26"/>
      <c r="G366" s="54"/>
      <c r="N366" s="42"/>
    </row>
    <row r="367" spans="2:14" s="13" customFormat="1" x14ac:dyDescent="0.4">
      <c r="B367" s="25"/>
      <c r="E367" s="26"/>
      <c r="G367" s="54"/>
      <c r="N367" s="42"/>
    </row>
    <row r="368" spans="2:14" s="13" customFormat="1" x14ac:dyDescent="0.4">
      <c r="B368" s="25"/>
      <c r="E368" s="26"/>
      <c r="G368" s="54"/>
      <c r="N368" s="42"/>
    </row>
    <row r="369" spans="2:14" s="13" customFormat="1" x14ac:dyDescent="0.4">
      <c r="B369" s="25"/>
      <c r="E369" s="26"/>
      <c r="G369" s="54"/>
      <c r="N369" s="42"/>
    </row>
    <row r="370" spans="2:14" s="13" customFormat="1" x14ac:dyDescent="0.4">
      <c r="B370" s="25"/>
      <c r="E370" s="26"/>
      <c r="G370" s="54"/>
      <c r="N370" s="42"/>
    </row>
    <row r="371" spans="2:14" s="13" customFormat="1" x14ac:dyDescent="0.4">
      <c r="B371" s="25"/>
      <c r="E371" s="26"/>
      <c r="G371" s="54"/>
      <c r="N371" s="42"/>
    </row>
    <row r="372" spans="2:14" s="13" customFormat="1" x14ac:dyDescent="0.4">
      <c r="B372" s="25"/>
      <c r="E372" s="26"/>
      <c r="G372" s="54"/>
      <c r="N372" s="42"/>
    </row>
    <row r="373" spans="2:14" s="13" customFormat="1" x14ac:dyDescent="0.4">
      <c r="B373" s="25"/>
      <c r="E373" s="26"/>
      <c r="G373" s="54"/>
      <c r="N373" s="42"/>
    </row>
    <row r="374" spans="2:14" s="13" customFormat="1" x14ac:dyDescent="0.4">
      <c r="B374" s="25"/>
      <c r="E374" s="26"/>
      <c r="G374" s="54"/>
      <c r="N374" s="42"/>
    </row>
    <row r="375" spans="2:14" s="13" customFormat="1" x14ac:dyDescent="0.4">
      <c r="B375" s="25"/>
      <c r="E375" s="26"/>
      <c r="G375" s="54"/>
      <c r="N375" s="42"/>
    </row>
    <row r="376" spans="2:14" s="13" customFormat="1" x14ac:dyDescent="0.4">
      <c r="B376" s="25"/>
      <c r="E376" s="26"/>
      <c r="G376" s="54"/>
      <c r="N376" s="42"/>
    </row>
    <row r="377" spans="2:14" s="13" customFormat="1" x14ac:dyDescent="0.4">
      <c r="B377" s="25"/>
      <c r="E377" s="26"/>
      <c r="G377" s="54"/>
      <c r="N377" s="42"/>
    </row>
    <row r="378" spans="2:14" s="13" customFormat="1" x14ac:dyDescent="0.4">
      <c r="B378" s="25"/>
      <c r="E378" s="26"/>
      <c r="G378" s="54"/>
      <c r="N378" s="42"/>
    </row>
    <row r="379" spans="2:14" s="13" customFormat="1" x14ac:dyDescent="0.4">
      <c r="B379" s="25"/>
      <c r="E379" s="26"/>
      <c r="G379" s="54"/>
      <c r="N379" s="42"/>
    </row>
    <row r="380" spans="2:14" s="13" customFormat="1" x14ac:dyDescent="0.4">
      <c r="B380" s="25"/>
      <c r="E380" s="26"/>
      <c r="G380" s="54"/>
      <c r="N380" s="42"/>
    </row>
    <row r="381" spans="2:14" s="13" customFormat="1" x14ac:dyDescent="0.4">
      <c r="B381" s="25"/>
      <c r="E381" s="26"/>
      <c r="G381" s="54"/>
      <c r="N381" s="42"/>
    </row>
    <row r="382" spans="2:14" s="13" customFormat="1" x14ac:dyDescent="0.4">
      <c r="B382" s="25"/>
      <c r="E382" s="26"/>
      <c r="G382" s="54"/>
      <c r="N382" s="42"/>
    </row>
    <row r="383" spans="2:14" s="13" customFormat="1" x14ac:dyDescent="0.4">
      <c r="B383" s="25"/>
      <c r="E383" s="26"/>
      <c r="G383" s="54"/>
      <c r="N383" s="42"/>
    </row>
    <row r="384" spans="2:14" s="13" customFormat="1" x14ac:dyDescent="0.4">
      <c r="B384" s="25"/>
      <c r="E384" s="26"/>
      <c r="G384" s="54"/>
      <c r="N384" s="42"/>
    </row>
    <row r="385" spans="2:14" s="13" customFormat="1" x14ac:dyDescent="0.4">
      <c r="B385" s="25"/>
      <c r="E385" s="26"/>
      <c r="G385" s="54"/>
      <c r="N385" s="42"/>
    </row>
    <row r="386" spans="2:14" s="13" customFormat="1" x14ac:dyDescent="0.4">
      <c r="B386" s="25"/>
      <c r="E386" s="26"/>
      <c r="G386" s="54"/>
      <c r="N386" s="42"/>
    </row>
    <row r="387" spans="2:14" s="13" customFormat="1" x14ac:dyDescent="0.4">
      <c r="B387" s="25"/>
      <c r="E387" s="26"/>
      <c r="G387" s="54"/>
      <c r="N387" s="42"/>
    </row>
    <row r="388" spans="2:14" s="13" customFormat="1" x14ac:dyDescent="0.4">
      <c r="B388" s="25"/>
      <c r="E388" s="26"/>
      <c r="G388" s="54"/>
      <c r="N388" s="42"/>
    </row>
    <row r="389" spans="2:14" s="13" customFormat="1" x14ac:dyDescent="0.4">
      <c r="B389" s="25"/>
      <c r="E389" s="26"/>
      <c r="G389" s="54"/>
      <c r="N389" s="42"/>
    </row>
    <row r="390" spans="2:14" s="13" customFormat="1" x14ac:dyDescent="0.4">
      <c r="B390" s="25"/>
      <c r="E390" s="26"/>
      <c r="G390" s="54"/>
      <c r="N390" s="42"/>
    </row>
    <row r="391" spans="2:14" s="13" customFormat="1" x14ac:dyDescent="0.4">
      <c r="B391" s="25"/>
      <c r="E391" s="26"/>
      <c r="G391" s="54"/>
      <c r="N391" s="42"/>
    </row>
    <row r="392" spans="2:14" s="13" customFormat="1" x14ac:dyDescent="0.4">
      <c r="B392" s="25"/>
      <c r="E392" s="26"/>
      <c r="G392" s="54"/>
      <c r="N392" s="42"/>
    </row>
    <row r="393" spans="2:14" s="13" customFormat="1" x14ac:dyDescent="0.4">
      <c r="B393" s="25"/>
      <c r="E393" s="26"/>
      <c r="G393" s="54"/>
      <c r="N393" s="42"/>
    </row>
    <row r="394" spans="2:14" s="13" customFormat="1" x14ac:dyDescent="0.4">
      <c r="B394" s="25"/>
      <c r="E394" s="26"/>
      <c r="G394" s="54"/>
      <c r="N394" s="42"/>
    </row>
    <row r="395" spans="2:14" s="13" customFormat="1" x14ac:dyDescent="0.4">
      <c r="B395" s="25"/>
      <c r="E395" s="26"/>
      <c r="G395" s="54"/>
      <c r="N395" s="42"/>
    </row>
    <row r="396" spans="2:14" s="13" customFormat="1" x14ac:dyDescent="0.4">
      <c r="B396" s="25"/>
      <c r="E396" s="26"/>
      <c r="G396" s="54"/>
      <c r="N396" s="42"/>
    </row>
    <row r="397" spans="2:14" s="13" customFormat="1" x14ac:dyDescent="0.4">
      <c r="B397" s="25"/>
      <c r="E397" s="26"/>
      <c r="G397" s="54"/>
      <c r="N397" s="42"/>
    </row>
    <row r="398" spans="2:14" s="13" customFormat="1" x14ac:dyDescent="0.4">
      <c r="B398" s="25"/>
      <c r="E398" s="26"/>
      <c r="G398" s="54"/>
      <c r="N398" s="42"/>
    </row>
    <row r="399" spans="2:14" s="13" customFormat="1" x14ac:dyDescent="0.4">
      <c r="B399" s="25"/>
      <c r="E399" s="26"/>
      <c r="G399" s="54"/>
      <c r="N399" s="42"/>
    </row>
    <row r="400" spans="2:14" s="13" customFormat="1" x14ac:dyDescent="0.4">
      <c r="B400" s="25"/>
      <c r="E400" s="26"/>
      <c r="G400" s="54"/>
      <c r="N400" s="42"/>
    </row>
    <row r="401" spans="2:14" s="13" customFormat="1" x14ac:dyDescent="0.4">
      <c r="B401" s="25"/>
      <c r="E401" s="26"/>
      <c r="G401" s="54"/>
      <c r="N401" s="42"/>
    </row>
    <row r="402" spans="2:14" s="13" customFormat="1" x14ac:dyDescent="0.4">
      <c r="B402" s="25"/>
      <c r="E402" s="26"/>
      <c r="G402" s="54"/>
      <c r="N402" s="42"/>
    </row>
    <row r="403" spans="2:14" s="13" customFormat="1" x14ac:dyDescent="0.4">
      <c r="B403" s="25"/>
      <c r="E403" s="26"/>
      <c r="G403" s="54"/>
      <c r="N403" s="42"/>
    </row>
    <row r="404" spans="2:14" s="13" customFormat="1" x14ac:dyDescent="0.4">
      <c r="B404" s="25"/>
      <c r="E404" s="26"/>
      <c r="G404" s="54"/>
      <c r="N404" s="42"/>
    </row>
    <row r="405" spans="2:14" s="13" customFormat="1" x14ac:dyDescent="0.4">
      <c r="B405" s="25"/>
      <c r="E405" s="26"/>
      <c r="G405" s="54"/>
      <c r="N405" s="42"/>
    </row>
    <row r="406" spans="2:14" s="13" customFormat="1" x14ac:dyDescent="0.4">
      <c r="B406" s="25"/>
      <c r="E406" s="26"/>
      <c r="G406" s="54"/>
      <c r="N406" s="42"/>
    </row>
    <row r="407" spans="2:14" s="13" customFormat="1" x14ac:dyDescent="0.4">
      <c r="B407" s="25"/>
      <c r="E407" s="26"/>
      <c r="G407" s="54"/>
      <c r="N407" s="42"/>
    </row>
    <row r="408" spans="2:14" s="13" customFormat="1" x14ac:dyDescent="0.4">
      <c r="B408" s="25"/>
      <c r="E408" s="26"/>
      <c r="G408" s="54"/>
      <c r="N408" s="42"/>
    </row>
    <row r="409" spans="2:14" s="13" customFormat="1" x14ac:dyDescent="0.4">
      <c r="B409" s="25"/>
      <c r="E409" s="26"/>
      <c r="G409" s="54"/>
      <c r="N409" s="42"/>
    </row>
    <row r="410" spans="2:14" s="13" customFormat="1" x14ac:dyDescent="0.4">
      <c r="B410" s="25"/>
      <c r="E410" s="26"/>
      <c r="G410" s="54"/>
      <c r="N410" s="42"/>
    </row>
    <row r="411" spans="2:14" s="13" customFormat="1" x14ac:dyDescent="0.4">
      <c r="B411" s="25"/>
      <c r="E411" s="26"/>
      <c r="G411" s="54"/>
      <c r="N411" s="42"/>
    </row>
    <row r="412" spans="2:14" s="13" customFormat="1" x14ac:dyDescent="0.4">
      <c r="B412" s="25"/>
      <c r="E412" s="26"/>
      <c r="G412" s="54"/>
      <c r="N412" s="42"/>
    </row>
    <row r="413" spans="2:14" s="13" customFormat="1" x14ac:dyDescent="0.4">
      <c r="B413" s="25"/>
      <c r="E413" s="26"/>
      <c r="G413" s="54"/>
      <c r="N413" s="42"/>
    </row>
    <row r="414" spans="2:14" s="13" customFormat="1" x14ac:dyDescent="0.4">
      <c r="B414" s="25"/>
      <c r="E414" s="26"/>
      <c r="G414" s="54"/>
      <c r="N414" s="42"/>
    </row>
    <row r="415" spans="2:14" s="13" customFormat="1" x14ac:dyDescent="0.4">
      <c r="B415" s="25"/>
      <c r="E415" s="26"/>
      <c r="G415" s="54"/>
      <c r="N415" s="42"/>
    </row>
    <row r="416" spans="2:14" s="13" customFormat="1" x14ac:dyDescent="0.4">
      <c r="B416" s="25"/>
      <c r="E416" s="26"/>
      <c r="G416" s="54"/>
      <c r="N416" s="42"/>
    </row>
    <row r="417" spans="2:14" s="13" customFormat="1" x14ac:dyDescent="0.4">
      <c r="B417" s="25"/>
      <c r="E417" s="26"/>
      <c r="G417" s="54"/>
      <c r="N417" s="42"/>
    </row>
    <row r="418" spans="2:14" s="13" customFormat="1" x14ac:dyDescent="0.4">
      <c r="B418" s="25"/>
      <c r="E418" s="26"/>
      <c r="G418" s="54"/>
      <c r="N418" s="42"/>
    </row>
    <row r="419" spans="2:14" s="13" customFormat="1" x14ac:dyDescent="0.4">
      <c r="B419" s="25"/>
      <c r="E419" s="26"/>
      <c r="G419" s="54"/>
      <c r="N419" s="42"/>
    </row>
    <row r="420" spans="2:14" s="13" customFormat="1" x14ac:dyDescent="0.4">
      <c r="B420" s="25"/>
      <c r="E420" s="26"/>
      <c r="G420" s="54"/>
      <c r="N420" s="42"/>
    </row>
    <row r="421" spans="2:14" s="13" customFormat="1" x14ac:dyDescent="0.4">
      <c r="B421" s="25"/>
      <c r="E421" s="26"/>
      <c r="G421" s="54"/>
      <c r="N421" s="42"/>
    </row>
    <row r="422" spans="2:14" s="13" customFormat="1" x14ac:dyDescent="0.4">
      <c r="B422" s="25"/>
      <c r="E422" s="26"/>
      <c r="G422" s="54"/>
      <c r="N422" s="42"/>
    </row>
    <row r="423" spans="2:14" s="13" customFormat="1" x14ac:dyDescent="0.4">
      <c r="B423" s="25"/>
      <c r="E423" s="26"/>
      <c r="G423" s="54"/>
      <c r="N423" s="42"/>
    </row>
    <row r="424" spans="2:14" s="13" customFormat="1" x14ac:dyDescent="0.4">
      <c r="B424" s="25"/>
      <c r="E424" s="26"/>
      <c r="G424" s="54"/>
      <c r="N424" s="42"/>
    </row>
    <row r="425" spans="2:14" s="13" customFormat="1" x14ac:dyDescent="0.4">
      <c r="B425" s="25"/>
      <c r="E425" s="26"/>
      <c r="G425" s="54"/>
      <c r="N425" s="42"/>
    </row>
    <row r="426" spans="2:14" s="13" customFormat="1" x14ac:dyDescent="0.4">
      <c r="B426" s="25"/>
      <c r="E426" s="26"/>
      <c r="G426" s="54"/>
      <c r="N426" s="42"/>
    </row>
    <row r="427" spans="2:14" s="13" customFormat="1" x14ac:dyDescent="0.4">
      <c r="B427" s="25"/>
      <c r="E427" s="26"/>
      <c r="G427" s="54"/>
      <c r="N427" s="42"/>
    </row>
    <row r="428" spans="2:14" s="13" customFormat="1" x14ac:dyDescent="0.4">
      <c r="B428" s="25"/>
      <c r="E428" s="26"/>
      <c r="G428" s="54"/>
      <c r="N428" s="42"/>
    </row>
    <row r="429" spans="2:14" s="13" customFormat="1" x14ac:dyDescent="0.4">
      <c r="B429" s="25"/>
      <c r="E429" s="26"/>
      <c r="G429" s="54"/>
      <c r="N429" s="42"/>
    </row>
    <row r="430" spans="2:14" s="13" customFormat="1" x14ac:dyDescent="0.4">
      <c r="B430" s="25"/>
      <c r="E430" s="26"/>
      <c r="G430" s="54"/>
      <c r="N430" s="42"/>
    </row>
    <row r="431" spans="2:14" s="13" customFormat="1" x14ac:dyDescent="0.4">
      <c r="B431" s="25"/>
      <c r="E431" s="26"/>
      <c r="G431" s="54"/>
      <c r="N431" s="42"/>
    </row>
    <row r="432" spans="2:14" s="13" customFormat="1" x14ac:dyDescent="0.4">
      <c r="B432" s="25"/>
      <c r="E432" s="26"/>
      <c r="G432" s="54"/>
      <c r="N432" s="42"/>
    </row>
    <row r="433" spans="2:14" s="13" customFormat="1" x14ac:dyDescent="0.4">
      <c r="B433" s="25"/>
      <c r="E433" s="26"/>
      <c r="G433" s="54"/>
      <c r="N433" s="42"/>
    </row>
    <row r="434" spans="2:14" s="13" customFormat="1" x14ac:dyDescent="0.4">
      <c r="B434" s="25"/>
      <c r="E434" s="26"/>
      <c r="G434" s="54"/>
      <c r="N434" s="42"/>
    </row>
    <row r="435" spans="2:14" s="13" customFormat="1" x14ac:dyDescent="0.4">
      <c r="B435" s="25"/>
      <c r="E435" s="26"/>
      <c r="G435" s="54"/>
      <c r="N435" s="42"/>
    </row>
    <row r="436" spans="2:14" s="13" customFormat="1" x14ac:dyDescent="0.4">
      <c r="B436" s="25"/>
      <c r="E436" s="26"/>
      <c r="G436" s="54"/>
      <c r="N436" s="42"/>
    </row>
    <row r="437" spans="2:14" s="13" customFormat="1" x14ac:dyDescent="0.4">
      <c r="B437" s="25"/>
      <c r="E437" s="26"/>
      <c r="G437" s="54"/>
      <c r="N437" s="42"/>
    </row>
    <row r="438" spans="2:14" s="13" customFormat="1" x14ac:dyDescent="0.4">
      <c r="B438" s="25"/>
      <c r="E438" s="26"/>
      <c r="G438" s="54"/>
      <c r="N438" s="42"/>
    </row>
    <row r="439" spans="2:14" s="13" customFormat="1" x14ac:dyDescent="0.4">
      <c r="B439" s="25"/>
      <c r="E439" s="26"/>
      <c r="G439" s="54"/>
      <c r="N439" s="42"/>
    </row>
    <row r="440" spans="2:14" s="13" customFormat="1" x14ac:dyDescent="0.4">
      <c r="B440" s="25"/>
      <c r="E440" s="26"/>
      <c r="G440" s="54"/>
      <c r="N440" s="42"/>
    </row>
    <row r="441" spans="2:14" s="13" customFormat="1" x14ac:dyDescent="0.4">
      <c r="B441" s="25"/>
      <c r="E441" s="26"/>
      <c r="G441" s="54"/>
      <c r="N441" s="42"/>
    </row>
    <row r="442" spans="2:14" s="13" customFormat="1" x14ac:dyDescent="0.4">
      <c r="B442" s="25"/>
      <c r="E442" s="26"/>
      <c r="G442" s="54"/>
      <c r="N442" s="42"/>
    </row>
    <row r="443" spans="2:14" s="13" customFormat="1" x14ac:dyDescent="0.4">
      <c r="B443" s="25"/>
      <c r="E443" s="26"/>
      <c r="G443" s="54"/>
      <c r="N443" s="42"/>
    </row>
    <row r="444" spans="2:14" s="13" customFormat="1" x14ac:dyDescent="0.4">
      <c r="B444" s="25"/>
      <c r="E444" s="26"/>
      <c r="G444" s="54"/>
      <c r="N444" s="42"/>
    </row>
    <row r="445" spans="2:14" s="13" customFormat="1" x14ac:dyDescent="0.4">
      <c r="B445" s="25"/>
      <c r="E445" s="26"/>
      <c r="G445" s="54"/>
      <c r="N445" s="42"/>
    </row>
    <row r="446" spans="2:14" s="13" customFormat="1" x14ac:dyDescent="0.4">
      <c r="B446" s="25"/>
      <c r="E446" s="26"/>
      <c r="G446" s="54"/>
      <c r="N446" s="42"/>
    </row>
    <row r="447" spans="2:14" s="13" customFormat="1" x14ac:dyDescent="0.4">
      <c r="B447" s="25"/>
      <c r="E447" s="26"/>
      <c r="G447" s="54"/>
      <c r="N447" s="42"/>
    </row>
    <row r="448" spans="2:14" s="13" customFormat="1" x14ac:dyDescent="0.4">
      <c r="B448" s="25"/>
      <c r="E448" s="26"/>
      <c r="G448" s="54"/>
      <c r="N448" s="42"/>
    </row>
    <row r="449" spans="2:14" s="13" customFormat="1" x14ac:dyDescent="0.4">
      <c r="B449" s="25"/>
      <c r="E449" s="26"/>
      <c r="G449" s="54"/>
      <c r="N449" s="42"/>
    </row>
    <row r="450" spans="2:14" s="13" customFormat="1" x14ac:dyDescent="0.4">
      <c r="B450" s="25"/>
      <c r="E450" s="26"/>
      <c r="G450" s="54"/>
      <c r="N450" s="42"/>
    </row>
    <row r="451" spans="2:14" s="13" customFormat="1" x14ac:dyDescent="0.4">
      <c r="B451" s="25"/>
      <c r="E451" s="26"/>
      <c r="G451" s="54"/>
      <c r="N451" s="42"/>
    </row>
    <row r="452" spans="2:14" s="13" customFormat="1" x14ac:dyDescent="0.4">
      <c r="B452" s="25"/>
      <c r="E452" s="26"/>
      <c r="G452" s="54"/>
      <c r="N452" s="42"/>
    </row>
    <row r="453" spans="2:14" s="13" customFormat="1" x14ac:dyDescent="0.4">
      <c r="B453" s="25"/>
      <c r="E453" s="26"/>
      <c r="G453" s="54"/>
      <c r="N453" s="42"/>
    </row>
    <row r="454" spans="2:14" s="13" customFormat="1" x14ac:dyDescent="0.4">
      <c r="B454" s="25"/>
      <c r="E454" s="26"/>
      <c r="G454" s="54"/>
      <c r="N454" s="42"/>
    </row>
    <row r="455" spans="2:14" s="13" customFormat="1" x14ac:dyDescent="0.4">
      <c r="B455" s="25"/>
      <c r="E455" s="26"/>
      <c r="G455" s="54"/>
      <c r="N455" s="42"/>
    </row>
    <row r="456" spans="2:14" s="13" customFormat="1" x14ac:dyDescent="0.4">
      <c r="B456" s="25"/>
      <c r="E456" s="26"/>
      <c r="G456" s="54"/>
      <c r="N456" s="42"/>
    </row>
    <row r="457" spans="2:14" s="13" customFormat="1" x14ac:dyDescent="0.4">
      <c r="B457" s="25"/>
      <c r="E457" s="26"/>
      <c r="G457" s="54"/>
      <c r="N457" s="42"/>
    </row>
    <row r="458" spans="2:14" s="13" customFormat="1" x14ac:dyDescent="0.4">
      <c r="B458" s="25"/>
      <c r="E458" s="26"/>
      <c r="G458" s="54"/>
      <c r="N458" s="42"/>
    </row>
    <row r="459" spans="2:14" s="13" customFormat="1" x14ac:dyDescent="0.4">
      <c r="B459" s="25"/>
      <c r="E459" s="26"/>
      <c r="G459" s="54"/>
      <c r="N459" s="42"/>
    </row>
    <row r="460" spans="2:14" s="13" customFormat="1" x14ac:dyDescent="0.4">
      <c r="B460" s="25"/>
      <c r="E460" s="26"/>
      <c r="G460" s="54"/>
      <c r="N460" s="42"/>
    </row>
    <row r="461" spans="2:14" s="13" customFormat="1" x14ac:dyDescent="0.4">
      <c r="B461" s="25"/>
      <c r="E461" s="26"/>
      <c r="G461" s="54"/>
      <c r="N461" s="42"/>
    </row>
    <row r="462" spans="2:14" s="13" customFormat="1" x14ac:dyDescent="0.4">
      <c r="B462" s="25"/>
      <c r="E462" s="26"/>
      <c r="G462" s="54"/>
      <c r="N462" s="42"/>
    </row>
    <row r="463" spans="2:14" s="13" customFormat="1" x14ac:dyDescent="0.4">
      <c r="B463" s="25"/>
      <c r="E463" s="26"/>
      <c r="G463" s="54"/>
      <c r="N463" s="42"/>
    </row>
    <row r="464" spans="2:14" s="13" customFormat="1" x14ac:dyDescent="0.4">
      <c r="B464" s="25"/>
      <c r="E464" s="26"/>
      <c r="G464" s="54"/>
      <c r="N464" s="42"/>
    </row>
    <row r="465" spans="2:14" s="13" customFormat="1" x14ac:dyDescent="0.4">
      <c r="B465" s="25"/>
      <c r="E465" s="26"/>
      <c r="G465" s="54"/>
      <c r="N465" s="42"/>
    </row>
    <row r="466" spans="2:14" s="13" customFormat="1" x14ac:dyDescent="0.4">
      <c r="B466" s="25"/>
      <c r="E466" s="26"/>
      <c r="G466" s="54"/>
      <c r="N466" s="42"/>
    </row>
    <row r="467" spans="2:14" s="13" customFormat="1" x14ac:dyDescent="0.4">
      <c r="B467" s="25"/>
      <c r="E467" s="26"/>
      <c r="G467" s="54"/>
      <c r="N467" s="42"/>
    </row>
    <row r="468" spans="2:14" s="13" customFormat="1" x14ac:dyDescent="0.4">
      <c r="B468" s="25"/>
      <c r="E468" s="26"/>
      <c r="G468" s="54"/>
      <c r="N468" s="42"/>
    </row>
    <row r="469" spans="2:14" s="13" customFormat="1" x14ac:dyDescent="0.4">
      <c r="B469" s="25"/>
      <c r="E469" s="26"/>
      <c r="G469" s="54"/>
      <c r="N469" s="42"/>
    </row>
    <row r="470" spans="2:14" s="13" customFormat="1" x14ac:dyDescent="0.4">
      <c r="B470" s="25"/>
      <c r="E470" s="26"/>
      <c r="G470" s="54"/>
      <c r="N470" s="42"/>
    </row>
    <row r="471" spans="2:14" s="13" customFormat="1" x14ac:dyDescent="0.4">
      <c r="B471" s="25"/>
      <c r="E471" s="26"/>
      <c r="G471" s="54"/>
      <c r="N471" s="42"/>
    </row>
    <row r="472" spans="2:14" s="13" customFormat="1" x14ac:dyDescent="0.4">
      <c r="B472" s="25"/>
      <c r="E472" s="26"/>
      <c r="G472" s="54"/>
      <c r="N472" s="42"/>
    </row>
    <row r="473" spans="2:14" s="13" customFormat="1" x14ac:dyDescent="0.4">
      <c r="B473" s="25"/>
      <c r="E473" s="26"/>
      <c r="G473" s="54"/>
      <c r="N473" s="42"/>
    </row>
    <row r="474" spans="2:14" s="13" customFormat="1" x14ac:dyDescent="0.4">
      <c r="B474" s="25"/>
      <c r="E474" s="26"/>
      <c r="G474" s="54"/>
      <c r="N474" s="42"/>
    </row>
    <row r="475" spans="2:14" s="13" customFormat="1" x14ac:dyDescent="0.4">
      <c r="B475" s="25"/>
      <c r="E475" s="26"/>
      <c r="G475" s="54"/>
      <c r="N475" s="42"/>
    </row>
    <row r="476" spans="2:14" s="13" customFormat="1" x14ac:dyDescent="0.4">
      <c r="B476" s="25"/>
      <c r="E476" s="26"/>
      <c r="G476" s="54"/>
      <c r="N476" s="42"/>
    </row>
    <row r="477" spans="2:14" s="13" customFormat="1" x14ac:dyDescent="0.4">
      <c r="B477" s="25"/>
      <c r="E477" s="26"/>
      <c r="G477" s="54"/>
      <c r="N477" s="42"/>
    </row>
    <row r="478" spans="2:14" s="13" customFormat="1" x14ac:dyDescent="0.4">
      <c r="B478" s="25"/>
      <c r="E478" s="26"/>
      <c r="G478" s="54"/>
      <c r="N478" s="42"/>
    </row>
    <row r="479" spans="2:14" s="13" customFormat="1" x14ac:dyDescent="0.4">
      <c r="B479" s="25"/>
      <c r="E479" s="26"/>
      <c r="G479" s="54"/>
      <c r="N479" s="42"/>
    </row>
    <row r="480" spans="2:14" s="13" customFormat="1" x14ac:dyDescent="0.4">
      <c r="B480" s="25"/>
      <c r="E480" s="26"/>
      <c r="G480" s="54"/>
      <c r="N480" s="42"/>
    </row>
    <row r="481" spans="2:14" s="13" customFormat="1" x14ac:dyDescent="0.4">
      <c r="B481" s="25"/>
      <c r="E481" s="26"/>
      <c r="G481" s="54"/>
      <c r="N481" s="42"/>
    </row>
    <row r="482" spans="2:14" s="13" customFormat="1" x14ac:dyDescent="0.4">
      <c r="B482" s="25"/>
      <c r="E482" s="26"/>
      <c r="G482" s="54"/>
      <c r="N482" s="42"/>
    </row>
    <row r="483" spans="2:14" s="13" customFormat="1" x14ac:dyDescent="0.4">
      <c r="B483" s="25"/>
      <c r="E483" s="26"/>
      <c r="G483" s="54"/>
      <c r="N483" s="42"/>
    </row>
    <row r="484" spans="2:14" s="13" customFormat="1" x14ac:dyDescent="0.4">
      <c r="B484" s="25"/>
      <c r="E484" s="26"/>
      <c r="G484" s="54"/>
      <c r="N484" s="42"/>
    </row>
    <row r="485" spans="2:14" s="13" customFormat="1" x14ac:dyDescent="0.4">
      <c r="B485" s="25"/>
      <c r="E485" s="26"/>
      <c r="G485" s="54"/>
      <c r="N485" s="42"/>
    </row>
    <row r="486" spans="2:14" s="13" customFormat="1" x14ac:dyDescent="0.4">
      <c r="B486" s="25"/>
      <c r="E486" s="26"/>
      <c r="G486" s="54"/>
      <c r="N486" s="42"/>
    </row>
    <row r="487" spans="2:14" s="13" customFormat="1" x14ac:dyDescent="0.4">
      <c r="B487" s="25"/>
      <c r="E487" s="26"/>
      <c r="G487" s="54"/>
      <c r="N487" s="42"/>
    </row>
    <row r="488" spans="2:14" s="13" customFormat="1" x14ac:dyDescent="0.4">
      <c r="B488" s="25"/>
      <c r="E488" s="26"/>
      <c r="G488" s="54"/>
      <c r="N488" s="42"/>
    </row>
    <row r="489" spans="2:14" s="13" customFormat="1" x14ac:dyDescent="0.4">
      <c r="B489" s="25"/>
      <c r="E489" s="26"/>
      <c r="G489" s="54"/>
      <c r="N489" s="42"/>
    </row>
    <row r="490" spans="2:14" s="13" customFormat="1" x14ac:dyDescent="0.4">
      <c r="B490" s="25"/>
      <c r="E490" s="26"/>
      <c r="G490" s="54"/>
      <c r="N490" s="42"/>
    </row>
    <row r="491" spans="2:14" s="13" customFormat="1" x14ac:dyDescent="0.4">
      <c r="B491" s="25"/>
      <c r="E491" s="26"/>
      <c r="G491" s="54"/>
      <c r="N491" s="42"/>
    </row>
    <row r="492" spans="2:14" s="13" customFormat="1" x14ac:dyDescent="0.4">
      <c r="B492" s="25"/>
      <c r="E492" s="26"/>
      <c r="G492" s="54"/>
      <c r="N492" s="42"/>
    </row>
    <row r="493" spans="2:14" s="13" customFormat="1" x14ac:dyDescent="0.4">
      <c r="B493" s="25"/>
      <c r="E493" s="26"/>
      <c r="G493" s="54"/>
      <c r="N493" s="42"/>
    </row>
    <row r="494" spans="2:14" s="13" customFormat="1" x14ac:dyDescent="0.4">
      <c r="B494" s="25"/>
      <c r="E494" s="26"/>
      <c r="G494" s="54"/>
      <c r="N494" s="42"/>
    </row>
    <row r="495" spans="2:14" s="13" customFormat="1" x14ac:dyDescent="0.4">
      <c r="B495" s="25"/>
      <c r="E495" s="26"/>
      <c r="G495" s="54"/>
      <c r="N495" s="42"/>
    </row>
    <row r="496" spans="2:14" s="13" customFormat="1" x14ac:dyDescent="0.4">
      <c r="B496" s="25"/>
      <c r="E496" s="26"/>
      <c r="G496" s="54"/>
      <c r="N496" s="42"/>
    </row>
    <row r="497" spans="2:14" s="13" customFormat="1" x14ac:dyDescent="0.4">
      <c r="B497" s="25"/>
      <c r="E497" s="26"/>
      <c r="G497" s="54"/>
      <c r="N497" s="42"/>
    </row>
    <row r="498" spans="2:14" s="13" customFormat="1" x14ac:dyDescent="0.4">
      <c r="B498" s="25"/>
      <c r="E498" s="26"/>
      <c r="G498" s="54"/>
      <c r="N498" s="42"/>
    </row>
    <row r="499" spans="2:14" s="13" customFormat="1" x14ac:dyDescent="0.4">
      <c r="B499" s="25"/>
      <c r="E499" s="26"/>
      <c r="G499" s="54"/>
      <c r="N499" s="42"/>
    </row>
    <row r="500" spans="2:14" s="13" customFormat="1" x14ac:dyDescent="0.4">
      <c r="B500" s="25"/>
      <c r="E500" s="26"/>
      <c r="G500" s="54"/>
      <c r="N500" s="42"/>
    </row>
    <row r="501" spans="2:14" s="13" customFormat="1" x14ac:dyDescent="0.4">
      <c r="B501" s="25"/>
      <c r="E501" s="26"/>
      <c r="G501" s="54"/>
      <c r="N501" s="42"/>
    </row>
    <row r="502" spans="2:14" s="13" customFormat="1" x14ac:dyDescent="0.4">
      <c r="B502" s="25"/>
      <c r="E502" s="26"/>
      <c r="G502" s="54"/>
      <c r="N502" s="42"/>
    </row>
    <row r="503" spans="2:14" s="13" customFormat="1" x14ac:dyDescent="0.4">
      <c r="B503" s="25"/>
      <c r="E503" s="26"/>
      <c r="G503" s="54"/>
      <c r="N503" s="42"/>
    </row>
    <row r="504" spans="2:14" s="13" customFormat="1" x14ac:dyDescent="0.4">
      <c r="B504" s="25"/>
      <c r="E504" s="26"/>
      <c r="G504" s="54"/>
      <c r="N504" s="42"/>
    </row>
    <row r="505" spans="2:14" s="13" customFormat="1" x14ac:dyDescent="0.4">
      <c r="B505" s="25"/>
      <c r="E505" s="26"/>
      <c r="G505" s="54"/>
      <c r="N505" s="42"/>
    </row>
    <row r="506" spans="2:14" s="13" customFormat="1" x14ac:dyDescent="0.4">
      <c r="B506" s="25"/>
      <c r="E506" s="26"/>
      <c r="G506" s="54"/>
      <c r="N506" s="42"/>
    </row>
    <row r="507" spans="2:14" s="13" customFormat="1" x14ac:dyDescent="0.4">
      <c r="B507" s="25"/>
      <c r="E507" s="26"/>
      <c r="G507" s="54"/>
      <c r="N507" s="42"/>
    </row>
    <row r="508" spans="2:14" s="13" customFormat="1" x14ac:dyDescent="0.4">
      <c r="B508" s="25"/>
      <c r="E508" s="26"/>
      <c r="G508" s="54"/>
      <c r="N508" s="42"/>
    </row>
    <row r="509" spans="2:14" s="13" customFormat="1" x14ac:dyDescent="0.4">
      <c r="B509" s="25"/>
      <c r="E509" s="26"/>
      <c r="G509" s="54"/>
      <c r="N509" s="42"/>
    </row>
    <row r="510" spans="2:14" s="13" customFormat="1" x14ac:dyDescent="0.4">
      <c r="B510" s="25"/>
      <c r="E510" s="26"/>
      <c r="G510" s="54"/>
      <c r="N510" s="42"/>
    </row>
    <row r="511" spans="2:14" s="13" customFormat="1" x14ac:dyDescent="0.4">
      <c r="B511" s="25"/>
      <c r="E511" s="26"/>
      <c r="G511" s="54"/>
      <c r="N511" s="42"/>
    </row>
    <row r="512" spans="2:14" s="13" customFormat="1" x14ac:dyDescent="0.4">
      <c r="B512" s="25"/>
      <c r="E512" s="26"/>
      <c r="G512" s="54"/>
      <c r="N512" s="42"/>
    </row>
    <row r="513" spans="2:14" s="13" customFormat="1" x14ac:dyDescent="0.4">
      <c r="B513" s="25"/>
      <c r="E513" s="26"/>
      <c r="G513" s="54"/>
      <c r="N513" s="42"/>
    </row>
    <row r="514" spans="2:14" s="13" customFormat="1" x14ac:dyDescent="0.4">
      <c r="B514" s="25"/>
      <c r="E514" s="26"/>
      <c r="G514" s="54"/>
      <c r="N514" s="42"/>
    </row>
    <row r="515" spans="2:14" s="13" customFormat="1" x14ac:dyDescent="0.4">
      <c r="B515" s="25"/>
      <c r="E515" s="26"/>
      <c r="G515" s="54"/>
      <c r="N515" s="42"/>
    </row>
    <row r="516" spans="2:14" s="13" customFormat="1" x14ac:dyDescent="0.4">
      <c r="B516" s="25"/>
      <c r="E516" s="26"/>
      <c r="G516" s="54"/>
      <c r="N516" s="42"/>
    </row>
    <row r="517" spans="2:14" s="13" customFormat="1" x14ac:dyDescent="0.4">
      <c r="B517" s="25"/>
      <c r="E517" s="26"/>
      <c r="G517" s="54"/>
      <c r="N517" s="42"/>
    </row>
    <row r="518" spans="2:14" s="13" customFormat="1" x14ac:dyDescent="0.4">
      <c r="B518" s="25"/>
      <c r="E518" s="26"/>
      <c r="G518" s="54"/>
      <c r="N518" s="42"/>
    </row>
    <row r="519" spans="2:14" s="13" customFormat="1" x14ac:dyDescent="0.4">
      <c r="B519" s="25"/>
      <c r="E519" s="26"/>
      <c r="G519" s="54"/>
      <c r="N519" s="42"/>
    </row>
    <row r="520" spans="2:14" s="13" customFormat="1" x14ac:dyDescent="0.4">
      <c r="B520" s="25"/>
      <c r="E520" s="26"/>
      <c r="G520" s="54"/>
      <c r="N520" s="42"/>
    </row>
    <row r="521" spans="2:14" s="13" customFormat="1" x14ac:dyDescent="0.4">
      <c r="B521" s="25"/>
      <c r="E521" s="26"/>
      <c r="G521" s="54"/>
      <c r="N521" s="42"/>
    </row>
    <row r="522" spans="2:14" s="13" customFormat="1" x14ac:dyDescent="0.4">
      <c r="B522" s="25"/>
      <c r="E522" s="26"/>
      <c r="G522" s="54"/>
      <c r="N522" s="42"/>
    </row>
    <row r="523" spans="2:14" s="13" customFormat="1" x14ac:dyDescent="0.4">
      <c r="B523" s="25"/>
      <c r="E523" s="26"/>
      <c r="G523" s="54"/>
      <c r="N523" s="42"/>
    </row>
    <row r="524" spans="2:14" s="13" customFormat="1" x14ac:dyDescent="0.4">
      <c r="B524" s="25"/>
      <c r="E524" s="26"/>
      <c r="G524" s="54"/>
      <c r="N524" s="42"/>
    </row>
    <row r="525" spans="2:14" s="13" customFormat="1" x14ac:dyDescent="0.4">
      <c r="B525" s="25"/>
      <c r="E525" s="26"/>
      <c r="G525" s="54"/>
      <c r="N525" s="42"/>
    </row>
    <row r="526" spans="2:14" s="13" customFormat="1" x14ac:dyDescent="0.4">
      <c r="B526" s="25"/>
      <c r="E526" s="26"/>
      <c r="G526" s="54"/>
      <c r="N526" s="42"/>
    </row>
    <row r="527" spans="2:14" s="13" customFormat="1" x14ac:dyDescent="0.4">
      <c r="B527" s="25"/>
      <c r="E527" s="26"/>
      <c r="G527" s="54"/>
      <c r="N527" s="42"/>
    </row>
    <row r="528" spans="2:14" s="13" customFormat="1" x14ac:dyDescent="0.4">
      <c r="B528" s="25"/>
      <c r="E528" s="26"/>
      <c r="G528" s="54"/>
      <c r="N528" s="42"/>
    </row>
    <row r="529" spans="2:14" s="13" customFormat="1" x14ac:dyDescent="0.4">
      <c r="B529" s="25"/>
      <c r="E529" s="26"/>
      <c r="G529" s="54"/>
      <c r="N529" s="42"/>
    </row>
    <row r="530" spans="2:14" s="13" customFormat="1" x14ac:dyDescent="0.4">
      <c r="B530" s="25"/>
      <c r="E530" s="26"/>
      <c r="G530" s="54"/>
      <c r="N530" s="42"/>
    </row>
    <row r="531" spans="2:14" s="13" customFormat="1" x14ac:dyDescent="0.4">
      <c r="B531" s="25"/>
      <c r="E531" s="26"/>
      <c r="G531" s="54"/>
      <c r="N531" s="42"/>
    </row>
    <row r="532" spans="2:14" s="13" customFormat="1" x14ac:dyDescent="0.4">
      <c r="B532" s="25"/>
      <c r="E532" s="26"/>
      <c r="G532" s="54"/>
      <c r="N532" s="42"/>
    </row>
    <row r="533" spans="2:14" s="13" customFormat="1" x14ac:dyDescent="0.4">
      <c r="B533" s="25"/>
      <c r="E533" s="26"/>
      <c r="G533" s="54"/>
      <c r="N533" s="42"/>
    </row>
    <row r="534" spans="2:14" s="13" customFormat="1" x14ac:dyDescent="0.4">
      <c r="B534" s="25"/>
      <c r="E534" s="26"/>
      <c r="G534" s="54"/>
      <c r="N534" s="42"/>
    </row>
    <row r="535" spans="2:14" s="13" customFormat="1" x14ac:dyDescent="0.4">
      <c r="B535" s="25"/>
      <c r="E535" s="26"/>
      <c r="G535" s="54"/>
      <c r="N535" s="42"/>
    </row>
    <row r="536" spans="2:14" s="13" customFormat="1" x14ac:dyDescent="0.4">
      <c r="B536" s="25"/>
      <c r="E536" s="26"/>
      <c r="G536" s="54"/>
      <c r="N536" s="42"/>
    </row>
    <row r="537" spans="2:14" s="13" customFormat="1" x14ac:dyDescent="0.4">
      <c r="B537" s="25"/>
      <c r="E537" s="26"/>
      <c r="G537" s="54"/>
      <c r="N537" s="42"/>
    </row>
    <row r="538" spans="2:14" s="13" customFormat="1" x14ac:dyDescent="0.4">
      <c r="B538" s="25"/>
      <c r="E538" s="26"/>
      <c r="G538" s="54"/>
      <c r="N538" s="42"/>
    </row>
    <row r="539" spans="2:14" s="13" customFormat="1" x14ac:dyDescent="0.4">
      <c r="B539" s="25"/>
      <c r="E539" s="26"/>
      <c r="G539" s="54"/>
      <c r="N539" s="42"/>
    </row>
    <row r="540" spans="2:14" s="13" customFormat="1" x14ac:dyDescent="0.4">
      <c r="B540" s="25"/>
      <c r="E540" s="26"/>
      <c r="G540" s="54"/>
      <c r="N540" s="42"/>
    </row>
    <row r="541" spans="2:14" s="13" customFormat="1" x14ac:dyDescent="0.4">
      <c r="B541" s="25"/>
      <c r="E541" s="26"/>
      <c r="G541" s="54"/>
      <c r="N541" s="42"/>
    </row>
    <row r="542" spans="2:14" s="13" customFormat="1" x14ac:dyDescent="0.4">
      <c r="B542" s="25"/>
      <c r="E542" s="26"/>
      <c r="G542" s="54"/>
      <c r="N542" s="42"/>
    </row>
    <row r="543" spans="2:14" s="13" customFormat="1" x14ac:dyDescent="0.4">
      <c r="B543" s="25"/>
      <c r="E543" s="26"/>
      <c r="G543" s="54"/>
      <c r="N543" s="42"/>
    </row>
    <row r="544" spans="2:14" s="13" customFormat="1" x14ac:dyDescent="0.4">
      <c r="B544" s="25"/>
      <c r="E544" s="26"/>
      <c r="G544" s="54"/>
      <c r="N544" s="42"/>
    </row>
    <row r="545" spans="2:14" s="13" customFormat="1" x14ac:dyDescent="0.4">
      <c r="B545" s="25"/>
      <c r="E545" s="26"/>
      <c r="G545" s="54"/>
      <c r="N545" s="42"/>
    </row>
    <row r="546" spans="2:14" s="13" customFormat="1" x14ac:dyDescent="0.4">
      <c r="B546" s="25"/>
      <c r="E546" s="26"/>
      <c r="G546" s="54"/>
      <c r="N546" s="42"/>
    </row>
    <row r="547" spans="2:14" s="13" customFormat="1" x14ac:dyDescent="0.4">
      <c r="B547" s="25"/>
      <c r="E547" s="26"/>
      <c r="G547" s="54"/>
      <c r="N547" s="42"/>
    </row>
    <row r="548" spans="2:14" s="13" customFormat="1" x14ac:dyDescent="0.4">
      <c r="B548" s="25"/>
      <c r="E548" s="26"/>
      <c r="G548" s="54"/>
      <c r="N548" s="42"/>
    </row>
    <row r="549" spans="2:14" s="13" customFormat="1" x14ac:dyDescent="0.4">
      <c r="B549" s="25"/>
      <c r="E549" s="26"/>
      <c r="G549" s="54"/>
      <c r="N549" s="42"/>
    </row>
    <row r="550" spans="2:14" s="13" customFormat="1" x14ac:dyDescent="0.4">
      <c r="B550" s="25"/>
      <c r="E550" s="26"/>
      <c r="G550" s="54"/>
      <c r="N550" s="42"/>
    </row>
    <row r="551" spans="2:14" s="13" customFormat="1" x14ac:dyDescent="0.4">
      <c r="B551" s="25"/>
      <c r="E551" s="26"/>
      <c r="G551" s="54"/>
      <c r="N551" s="42"/>
    </row>
    <row r="552" spans="2:14" s="13" customFormat="1" x14ac:dyDescent="0.4">
      <c r="B552" s="25"/>
      <c r="E552" s="26"/>
      <c r="G552" s="54"/>
      <c r="N552" s="42"/>
    </row>
    <row r="553" spans="2:14" s="13" customFormat="1" x14ac:dyDescent="0.4">
      <c r="B553" s="25"/>
      <c r="E553" s="26"/>
      <c r="G553" s="54"/>
      <c r="N553" s="42"/>
    </row>
    <row r="554" spans="2:14" s="13" customFormat="1" x14ac:dyDescent="0.4">
      <c r="B554" s="25"/>
      <c r="E554" s="26"/>
      <c r="G554" s="54"/>
      <c r="N554" s="42"/>
    </row>
    <row r="555" spans="2:14" s="13" customFormat="1" x14ac:dyDescent="0.4">
      <c r="B555" s="25"/>
      <c r="E555" s="26"/>
      <c r="G555" s="54"/>
      <c r="N555" s="42"/>
    </row>
    <row r="556" spans="2:14" s="13" customFormat="1" x14ac:dyDescent="0.4">
      <c r="B556" s="25"/>
      <c r="E556" s="26"/>
      <c r="G556" s="54"/>
      <c r="N556" s="42"/>
    </row>
    <row r="557" spans="2:14" s="13" customFormat="1" x14ac:dyDescent="0.4">
      <c r="B557" s="25"/>
      <c r="E557" s="26"/>
      <c r="G557" s="54"/>
      <c r="N557" s="42"/>
    </row>
    <row r="558" spans="2:14" s="13" customFormat="1" x14ac:dyDescent="0.4">
      <c r="B558" s="25"/>
      <c r="E558" s="26"/>
      <c r="G558" s="54"/>
      <c r="N558" s="42"/>
    </row>
    <row r="559" spans="2:14" s="13" customFormat="1" x14ac:dyDescent="0.4">
      <c r="B559" s="25"/>
      <c r="E559" s="26"/>
      <c r="G559" s="54"/>
      <c r="N559" s="42"/>
    </row>
    <row r="560" spans="2:14" s="13" customFormat="1" x14ac:dyDescent="0.4">
      <c r="B560" s="25"/>
      <c r="E560" s="26"/>
      <c r="G560" s="54"/>
      <c r="N560" s="42"/>
    </row>
    <row r="561" spans="2:14" s="13" customFormat="1" x14ac:dyDescent="0.4">
      <c r="B561" s="25"/>
      <c r="E561" s="26"/>
      <c r="G561" s="54"/>
      <c r="N561" s="42"/>
    </row>
    <row r="562" spans="2:14" s="13" customFormat="1" x14ac:dyDescent="0.4">
      <c r="B562" s="25"/>
      <c r="E562" s="26"/>
      <c r="G562" s="54"/>
      <c r="N562" s="42"/>
    </row>
    <row r="563" spans="2:14" s="13" customFormat="1" x14ac:dyDescent="0.4">
      <c r="B563" s="25"/>
      <c r="E563" s="26"/>
      <c r="G563" s="54"/>
      <c r="N563" s="42"/>
    </row>
    <row r="564" spans="2:14" s="13" customFormat="1" x14ac:dyDescent="0.4">
      <c r="B564" s="25"/>
      <c r="E564" s="26"/>
      <c r="G564" s="54"/>
      <c r="N564" s="42"/>
    </row>
    <row r="565" spans="2:14" s="13" customFormat="1" x14ac:dyDescent="0.4">
      <c r="B565" s="25"/>
      <c r="E565" s="26"/>
      <c r="G565" s="54"/>
      <c r="N565" s="42"/>
    </row>
    <row r="566" spans="2:14" s="13" customFormat="1" x14ac:dyDescent="0.4">
      <c r="B566" s="25"/>
      <c r="E566" s="26"/>
      <c r="G566" s="54"/>
      <c r="N566" s="42"/>
    </row>
    <row r="567" spans="2:14" s="13" customFormat="1" x14ac:dyDescent="0.4">
      <c r="B567" s="25"/>
      <c r="E567" s="26"/>
      <c r="G567" s="54"/>
      <c r="N567" s="42"/>
    </row>
    <row r="568" spans="2:14" s="13" customFormat="1" x14ac:dyDescent="0.4">
      <c r="B568" s="25"/>
      <c r="E568" s="26"/>
      <c r="G568" s="54"/>
      <c r="N568" s="42"/>
    </row>
    <row r="569" spans="2:14" s="13" customFormat="1" x14ac:dyDescent="0.4">
      <c r="B569" s="25"/>
      <c r="E569" s="26"/>
      <c r="G569" s="54"/>
      <c r="N569" s="42"/>
    </row>
    <row r="570" spans="2:14" s="13" customFormat="1" x14ac:dyDescent="0.4">
      <c r="B570" s="25"/>
      <c r="E570" s="26"/>
      <c r="G570" s="54"/>
      <c r="N570" s="42"/>
    </row>
    <row r="571" spans="2:14" s="13" customFormat="1" x14ac:dyDescent="0.4">
      <c r="B571" s="25"/>
      <c r="E571" s="26"/>
      <c r="G571" s="54"/>
      <c r="N571" s="42"/>
    </row>
    <row r="572" spans="2:14" s="13" customFormat="1" x14ac:dyDescent="0.4">
      <c r="B572" s="25"/>
      <c r="E572" s="26"/>
      <c r="G572" s="54"/>
      <c r="N572" s="42"/>
    </row>
    <row r="573" spans="2:14" s="13" customFormat="1" x14ac:dyDescent="0.4">
      <c r="B573" s="25"/>
      <c r="E573" s="26"/>
      <c r="G573" s="54"/>
      <c r="N573" s="42"/>
    </row>
    <row r="574" spans="2:14" s="13" customFormat="1" x14ac:dyDescent="0.4">
      <c r="B574" s="25"/>
      <c r="E574" s="26"/>
      <c r="G574" s="54"/>
      <c r="N574" s="42"/>
    </row>
    <row r="575" spans="2:14" s="13" customFormat="1" x14ac:dyDescent="0.4">
      <c r="B575" s="25"/>
      <c r="E575" s="26"/>
      <c r="G575" s="54"/>
      <c r="N575" s="42"/>
    </row>
    <row r="576" spans="2:14" s="13" customFormat="1" x14ac:dyDescent="0.4">
      <c r="B576" s="25"/>
      <c r="E576" s="26"/>
      <c r="G576" s="54"/>
      <c r="N576" s="42"/>
    </row>
    <row r="577" spans="2:14" s="13" customFormat="1" x14ac:dyDescent="0.4">
      <c r="B577" s="25"/>
      <c r="E577" s="26"/>
      <c r="G577" s="54"/>
      <c r="N577" s="42"/>
    </row>
    <row r="578" spans="2:14" s="13" customFormat="1" x14ac:dyDescent="0.4">
      <c r="B578" s="25"/>
      <c r="E578" s="26"/>
      <c r="G578" s="54"/>
      <c r="N578" s="42"/>
    </row>
    <row r="579" spans="2:14" s="13" customFormat="1" x14ac:dyDescent="0.4">
      <c r="B579" s="25"/>
      <c r="E579" s="26"/>
      <c r="G579" s="54"/>
      <c r="N579" s="42"/>
    </row>
    <row r="580" spans="2:14" s="13" customFormat="1" x14ac:dyDescent="0.4">
      <c r="B580" s="25"/>
      <c r="E580" s="26"/>
      <c r="G580" s="54"/>
      <c r="N580" s="42"/>
    </row>
    <row r="581" spans="2:14" s="13" customFormat="1" x14ac:dyDescent="0.4">
      <c r="B581" s="25"/>
      <c r="E581" s="26"/>
      <c r="G581" s="54"/>
      <c r="N581" s="42"/>
    </row>
    <row r="582" spans="2:14" s="13" customFormat="1" x14ac:dyDescent="0.4">
      <c r="B582" s="25"/>
      <c r="E582" s="26"/>
      <c r="G582" s="54"/>
      <c r="N582" s="42"/>
    </row>
    <row r="583" spans="2:14" s="13" customFormat="1" x14ac:dyDescent="0.4">
      <c r="B583" s="25"/>
      <c r="E583" s="26"/>
      <c r="G583" s="54"/>
      <c r="N583" s="42"/>
    </row>
    <row r="584" spans="2:14" s="13" customFormat="1" x14ac:dyDescent="0.4">
      <c r="B584" s="25"/>
      <c r="E584" s="26"/>
      <c r="G584" s="54"/>
      <c r="N584" s="42"/>
    </row>
    <row r="585" spans="2:14" s="13" customFormat="1" x14ac:dyDescent="0.4">
      <c r="B585" s="25"/>
      <c r="E585" s="26"/>
      <c r="G585" s="54"/>
      <c r="N585" s="42"/>
    </row>
    <row r="586" spans="2:14" s="13" customFormat="1" x14ac:dyDescent="0.4">
      <c r="B586" s="25"/>
      <c r="E586" s="26"/>
      <c r="G586" s="54"/>
      <c r="N586" s="42"/>
    </row>
    <row r="587" spans="2:14" s="13" customFormat="1" x14ac:dyDescent="0.4">
      <c r="B587" s="25"/>
      <c r="E587" s="26"/>
      <c r="G587" s="54"/>
      <c r="N587" s="42"/>
    </row>
    <row r="588" spans="2:14" s="13" customFormat="1" x14ac:dyDescent="0.4">
      <c r="B588" s="25"/>
      <c r="E588" s="26"/>
      <c r="G588" s="54"/>
      <c r="N588" s="42"/>
    </row>
    <row r="589" spans="2:14" s="13" customFormat="1" x14ac:dyDescent="0.4">
      <c r="B589" s="25"/>
      <c r="E589" s="26"/>
      <c r="G589" s="54"/>
      <c r="N589" s="42"/>
    </row>
    <row r="590" spans="2:14" s="13" customFormat="1" x14ac:dyDescent="0.4">
      <c r="B590" s="25"/>
      <c r="E590" s="26"/>
      <c r="G590" s="54"/>
      <c r="N590" s="42"/>
    </row>
    <row r="591" spans="2:14" s="13" customFormat="1" x14ac:dyDescent="0.4">
      <c r="B591" s="25"/>
      <c r="E591" s="26"/>
      <c r="G591" s="54"/>
      <c r="N591" s="42"/>
    </row>
    <row r="592" spans="2:14" s="13" customFormat="1" x14ac:dyDescent="0.4">
      <c r="B592" s="25"/>
      <c r="E592" s="26"/>
      <c r="G592" s="54"/>
      <c r="N592" s="42"/>
    </row>
    <row r="593" spans="2:14" s="13" customFormat="1" x14ac:dyDescent="0.4">
      <c r="B593" s="25"/>
      <c r="E593" s="26"/>
      <c r="G593" s="54"/>
      <c r="N593" s="42"/>
    </row>
    <row r="594" spans="2:14" s="13" customFormat="1" x14ac:dyDescent="0.4">
      <c r="B594" s="25"/>
      <c r="E594" s="26"/>
      <c r="G594" s="54"/>
      <c r="N594" s="42"/>
    </row>
    <row r="595" spans="2:14" s="13" customFormat="1" x14ac:dyDescent="0.4">
      <c r="B595" s="25"/>
      <c r="E595" s="26"/>
      <c r="G595" s="54"/>
      <c r="N595" s="42"/>
    </row>
    <row r="596" spans="2:14" s="13" customFormat="1" x14ac:dyDescent="0.4">
      <c r="B596" s="25"/>
      <c r="E596" s="26"/>
      <c r="G596" s="54"/>
      <c r="N596" s="42"/>
    </row>
    <row r="597" spans="2:14" s="13" customFormat="1" x14ac:dyDescent="0.4">
      <c r="B597" s="25"/>
      <c r="E597" s="26"/>
      <c r="G597" s="54"/>
      <c r="N597" s="42"/>
    </row>
    <row r="598" spans="2:14" s="13" customFormat="1" x14ac:dyDescent="0.4">
      <c r="B598" s="25"/>
      <c r="E598" s="26"/>
      <c r="G598" s="54"/>
      <c r="N598" s="42"/>
    </row>
    <row r="599" spans="2:14" s="13" customFormat="1" x14ac:dyDescent="0.4">
      <c r="B599" s="25"/>
      <c r="E599" s="26"/>
      <c r="G599" s="54"/>
      <c r="N599" s="42"/>
    </row>
    <row r="600" spans="2:14" s="13" customFormat="1" x14ac:dyDescent="0.4">
      <c r="B600" s="25"/>
      <c r="E600" s="26"/>
      <c r="G600" s="54"/>
      <c r="N600" s="42"/>
    </row>
    <row r="601" spans="2:14" s="13" customFormat="1" x14ac:dyDescent="0.4">
      <c r="B601" s="25"/>
      <c r="E601" s="26"/>
      <c r="G601" s="54"/>
      <c r="N601" s="42"/>
    </row>
    <row r="602" spans="2:14" s="13" customFormat="1" x14ac:dyDescent="0.4">
      <c r="B602" s="25"/>
      <c r="E602" s="26"/>
      <c r="G602" s="54"/>
      <c r="N602" s="42"/>
    </row>
    <row r="603" spans="2:14" s="13" customFormat="1" x14ac:dyDescent="0.4">
      <c r="B603" s="25"/>
      <c r="E603" s="26"/>
      <c r="G603" s="54"/>
      <c r="N603" s="42"/>
    </row>
    <row r="604" spans="2:14" s="13" customFormat="1" x14ac:dyDescent="0.4">
      <c r="B604" s="25"/>
      <c r="E604" s="26"/>
      <c r="G604" s="54"/>
      <c r="N604" s="42"/>
    </row>
    <row r="605" spans="2:14" s="13" customFormat="1" x14ac:dyDescent="0.4">
      <c r="B605" s="25"/>
      <c r="E605" s="26"/>
      <c r="G605" s="54"/>
      <c r="N605" s="42"/>
    </row>
    <row r="606" spans="2:14" s="13" customFormat="1" x14ac:dyDescent="0.4">
      <c r="B606" s="25"/>
      <c r="E606" s="26"/>
      <c r="G606" s="54"/>
      <c r="N606" s="42"/>
    </row>
    <row r="607" spans="2:14" s="13" customFormat="1" x14ac:dyDescent="0.4">
      <c r="B607" s="25"/>
      <c r="E607" s="26"/>
      <c r="G607" s="54"/>
      <c r="N607" s="42"/>
    </row>
    <row r="608" spans="2:14" s="13" customFormat="1" x14ac:dyDescent="0.4">
      <c r="B608" s="25"/>
      <c r="E608" s="26"/>
      <c r="G608" s="54"/>
      <c r="N608" s="42"/>
    </row>
    <row r="609" spans="2:14" s="13" customFormat="1" x14ac:dyDescent="0.4">
      <c r="B609" s="25"/>
      <c r="E609" s="26"/>
      <c r="G609" s="54"/>
      <c r="N609" s="42"/>
    </row>
    <row r="610" spans="2:14" s="13" customFormat="1" x14ac:dyDescent="0.4">
      <c r="B610" s="25"/>
      <c r="E610" s="26"/>
      <c r="G610" s="54"/>
      <c r="N610" s="42"/>
    </row>
    <row r="611" spans="2:14" s="13" customFormat="1" x14ac:dyDescent="0.4">
      <c r="B611" s="25"/>
      <c r="E611" s="26"/>
      <c r="G611" s="54"/>
      <c r="N611" s="42"/>
    </row>
    <row r="612" spans="2:14" s="13" customFormat="1" x14ac:dyDescent="0.4">
      <c r="B612" s="25"/>
      <c r="E612" s="26"/>
      <c r="G612" s="54"/>
      <c r="N612" s="42"/>
    </row>
    <row r="613" spans="2:14" s="13" customFormat="1" x14ac:dyDescent="0.4">
      <c r="B613" s="25"/>
      <c r="E613" s="26"/>
      <c r="G613" s="54"/>
      <c r="N613" s="42"/>
    </row>
    <row r="614" spans="2:14" s="13" customFormat="1" x14ac:dyDescent="0.4">
      <c r="B614" s="25"/>
      <c r="E614" s="26"/>
      <c r="G614" s="54"/>
      <c r="N614" s="42"/>
    </row>
    <row r="615" spans="2:14" s="13" customFormat="1" x14ac:dyDescent="0.4">
      <c r="B615" s="25"/>
      <c r="E615" s="26"/>
      <c r="G615" s="54"/>
      <c r="N615" s="42"/>
    </row>
    <row r="616" spans="2:14" s="13" customFormat="1" x14ac:dyDescent="0.4">
      <c r="B616" s="25"/>
      <c r="E616" s="26"/>
      <c r="G616" s="54"/>
      <c r="N616" s="42"/>
    </row>
    <row r="617" spans="2:14" s="13" customFormat="1" x14ac:dyDescent="0.4">
      <c r="B617" s="25"/>
      <c r="E617" s="26"/>
      <c r="G617" s="54"/>
      <c r="N617" s="42"/>
    </row>
    <row r="618" spans="2:14" s="13" customFormat="1" x14ac:dyDescent="0.4">
      <c r="B618" s="25"/>
      <c r="E618" s="26"/>
      <c r="G618" s="54"/>
      <c r="N618" s="42"/>
    </row>
    <row r="619" spans="2:14" s="13" customFormat="1" x14ac:dyDescent="0.4">
      <c r="B619" s="25"/>
      <c r="E619" s="26"/>
      <c r="G619" s="54"/>
      <c r="N619" s="42"/>
    </row>
    <row r="620" spans="2:14" s="13" customFormat="1" x14ac:dyDescent="0.4">
      <c r="B620" s="25"/>
      <c r="E620" s="26"/>
      <c r="G620" s="54"/>
      <c r="N620" s="42"/>
    </row>
    <row r="621" spans="2:14" s="13" customFormat="1" x14ac:dyDescent="0.4">
      <c r="B621" s="25"/>
      <c r="E621" s="26"/>
      <c r="G621" s="54"/>
      <c r="N621" s="42"/>
    </row>
    <row r="622" spans="2:14" s="13" customFormat="1" x14ac:dyDescent="0.4">
      <c r="B622" s="25"/>
      <c r="E622" s="26"/>
      <c r="G622" s="54"/>
      <c r="N622" s="42"/>
    </row>
    <row r="623" spans="2:14" s="13" customFormat="1" x14ac:dyDescent="0.4">
      <c r="B623" s="25"/>
      <c r="E623" s="26"/>
      <c r="G623" s="54"/>
      <c r="N623" s="42"/>
    </row>
    <row r="624" spans="2:14" s="13" customFormat="1" x14ac:dyDescent="0.4">
      <c r="B624" s="25"/>
      <c r="E624" s="26"/>
      <c r="G624" s="54"/>
      <c r="N624" s="42"/>
    </row>
    <row r="625" spans="2:14" s="13" customFormat="1" x14ac:dyDescent="0.4">
      <c r="B625" s="25"/>
      <c r="E625" s="26"/>
      <c r="G625" s="54"/>
      <c r="N625" s="42"/>
    </row>
    <row r="626" spans="2:14" s="13" customFormat="1" x14ac:dyDescent="0.4">
      <c r="B626" s="25"/>
      <c r="E626" s="26"/>
      <c r="G626" s="54"/>
      <c r="N626" s="42"/>
    </row>
    <row r="627" spans="2:14" s="13" customFormat="1" x14ac:dyDescent="0.4">
      <c r="B627" s="25"/>
      <c r="E627" s="26"/>
      <c r="G627" s="54"/>
      <c r="N627" s="42"/>
    </row>
    <row r="628" spans="2:14" s="13" customFormat="1" x14ac:dyDescent="0.4">
      <c r="B628" s="25"/>
      <c r="E628" s="26"/>
      <c r="G628" s="54"/>
      <c r="N628" s="42"/>
    </row>
    <row r="629" spans="2:14" s="13" customFormat="1" x14ac:dyDescent="0.4">
      <c r="B629" s="25"/>
      <c r="E629" s="26"/>
      <c r="G629" s="54"/>
      <c r="N629" s="42"/>
    </row>
    <row r="630" spans="2:14" s="13" customFormat="1" x14ac:dyDescent="0.4">
      <c r="B630" s="25"/>
      <c r="E630" s="26"/>
      <c r="G630" s="54"/>
      <c r="N630" s="42"/>
    </row>
    <row r="631" spans="2:14" s="13" customFormat="1" x14ac:dyDescent="0.4">
      <c r="B631" s="25"/>
      <c r="E631" s="26"/>
      <c r="G631" s="54"/>
      <c r="N631" s="42"/>
    </row>
    <row r="632" spans="2:14" s="13" customFormat="1" x14ac:dyDescent="0.4">
      <c r="B632" s="25"/>
      <c r="E632" s="26"/>
      <c r="G632" s="54"/>
      <c r="N632" s="42"/>
    </row>
    <row r="633" spans="2:14" s="13" customFormat="1" x14ac:dyDescent="0.4">
      <c r="B633" s="25"/>
      <c r="E633" s="26"/>
      <c r="G633" s="54"/>
      <c r="N633" s="42"/>
    </row>
    <row r="634" spans="2:14" s="13" customFormat="1" x14ac:dyDescent="0.4">
      <c r="B634" s="25"/>
      <c r="E634" s="26"/>
      <c r="G634" s="54"/>
      <c r="N634" s="42"/>
    </row>
    <row r="635" spans="2:14" s="13" customFormat="1" x14ac:dyDescent="0.4">
      <c r="B635" s="25"/>
      <c r="E635" s="26"/>
      <c r="G635" s="54"/>
      <c r="N635" s="42"/>
    </row>
    <row r="636" spans="2:14" s="13" customFormat="1" x14ac:dyDescent="0.4">
      <c r="B636" s="25"/>
      <c r="E636" s="26"/>
      <c r="G636" s="54"/>
      <c r="N636" s="42"/>
    </row>
    <row r="637" spans="2:14" s="13" customFormat="1" x14ac:dyDescent="0.4">
      <c r="B637" s="25"/>
      <c r="E637" s="26"/>
      <c r="G637" s="54"/>
      <c r="N637" s="42"/>
    </row>
    <row r="638" spans="2:14" s="13" customFormat="1" x14ac:dyDescent="0.4">
      <c r="B638" s="25"/>
      <c r="E638" s="26"/>
      <c r="G638" s="54"/>
      <c r="N638" s="42"/>
    </row>
    <row r="639" spans="2:14" s="13" customFormat="1" x14ac:dyDescent="0.4">
      <c r="B639" s="25"/>
      <c r="E639" s="26"/>
      <c r="G639" s="54"/>
      <c r="N639" s="42"/>
    </row>
  </sheetData>
  <sheetProtection algorithmName="SHA-512" hashValue="pUFtULXwcacaic2gsv5OuYzBXwAJsQZq2afXT6xg1/5B2pnBdxD9m/Bkgjy4O622q41ct02meumsRY4EGMpmrA==" saltValue="ZW9XFUQGUYquUAY+ldjatg==" spinCount="100000" sheet="1" formatCells="0" formatColumns="0" formatRows="0"/>
  <mergeCells count="13">
    <mergeCell ref="M7:M31"/>
    <mergeCell ref="C28:C31"/>
    <mergeCell ref="D28:D31"/>
    <mergeCell ref="A7:A31"/>
    <mergeCell ref="B7:B31"/>
    <mergeCell ref="C7:C11"/>
    <mergeCell ref="D7:D11"/>
    <mergeCell ref="C12:C17"/>
    <mergeCell ref="D12:D17"/>
    <mergeCell ref="C18:C20"/>
    <mergeCell ref="D18:D20"/>
    <mergeCell ref="C21:C27"/>
    <mergeCell ref="D21:D27"/>
  </mergeCells>
  <dataValidations count="1">
    <dataValidation type="list" allowBlank="1" showInputMessage="1" showErrorMessage="1" errorTitle="ASVS Test Result" error="Invalid selection!" promptTitle="ASVS Test Result" prompt="Please select test result from the list." sqref="G7:G31" xr:uid="{C2367581-1FC9-4AC8-9E02-1858597E2829}">
      <formula1>testResult</formula1>
    </dataValidation>
  </dataValidations>
  <hyperlinks>
    <hyperlink ref="F12" r:id="rId1" location="tab=Formal_Numbering" display="https://www.owasp.org/index.php/OWASP_Proactive_Controls - tab=Formal_Numbering" xr:uid="{AA367D5E-9624-4FF3-B281-117D86CA47DC}"/>
    <hyperlink ref="F15" r:id="rId2" location="tab=Formal_Numbering" display="https://www.owasp.org/index.php/OWASP_Proactive_Controls - tab=Formal_Numbering" xr:uid="{BDD7B425-A769-4547-B393-95114C47E5E3}"/>
    <hyperlink ref="F16" r:id="rId3" location="tab=Formal_Numbering" display="https://www.owasp.org/index.php/OWASP_Proactive_Controls - tab=Formal_Numbering" xr:uid="{67E9BA0A-5463-4A41-A285-DDD0675F59EA}"/>
    <hyperlink ref="F17" r:id="rId4" location="tab=Formal_Numbering" display="https://www.owasp.org/index.php/OWASP_Proactive_Controls - tab=Formal_Numbering" xr:uid="{AAB6CD65-47C4-40D2-8B03-BC611598F1D6}"/>
  </hyperlink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3793" r:id="rId7" name="Button 1">
              <controlPr defaultSize="0" print="0" autoFill="0" autoPict="0" macro="[0]!Sheet18.Confirm_Reset_Answers_V14">
                <anchor moveWithCells="1" sizeWithCells="1">
                  <from>
                    <xdr:col>0</xdr:col>
                    <xdr:colOff>152400</xdr:colOff>
                    <xdr:row>0</xdr:row>
                    <xdr:rowOff>31750</xdr:rowOff>
                  </from>
                  <to>
                    <xdr:col>1</xdr:col>
                    <xdr:colOff>1536700</xdr:colOff>
                    <xdr:row>2</xdr:row>
                    <xdr:rowOff>50800</xdr:rowOff>
                  </to>
                </anchor>
              </controlPr>
            </control>
          </mc:Choice>
        </mc:AlternateContent>
        <mc:AlternateContent xmlns:mc="http://schemas.openxmlformats.org/markup-compatibility/2006">
          <mc:Choice Requires="x14">
            <control shapeId="33795" r:id="rId8" name="Button 3">
              <controlPr defaultSize="0" print="0" autoFill="0" autoPict="0" macro="[0]!Confirm_Reset_All_Answers">
                <anchor moveWithCells="1" sizeWithCells="1">
                  <from>
                    <xdr:col>0</xdr:col>
                    <xdr:colOff>152400</xdr:colOff>
                    <xdr:row>2</xdr:row>
                    <xdr:rowOff>95250</xdr:rowOff>
                  </from>
                  <to>
                    <xdr:col>1</xdr:col>
                    <xdr:colOff>1536700</xdr:colOff>
                    <xdr:row>4</xdr:row>
                    <xdr:rowOff>107950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04612-9B7E-4559-ACB0-5E182BA3A7E3}">
  <sheetPr codeName="Sheet19">
    <tabColor rgb="FFC00000"/>
  </sheetPr>
  <dimension ref="A1:S287"/>
  <sheetViews>
    <sheetView showGridLines="0" showRowColHeaders="0" topLeftCell="H1" workbookViewId="0">
      <pane ySplit="1" topLeftCell="A2" activePane="bottomLeft" state="frozen"/>
      <selection pane="bottomLeft" activeCell="S6" sqref="S6"/>
    </sheetView>
  </sheetViews>
  <sheetFormatPr defaultRowHeight="14.5" x14ac:dyDescent="0.35"/>
  <cols>
    <col min="1" max="1" width="10.1796875" customWidth="1"/>
    <col min="2" max="2" width="32.453125" customWidth="1"/>
    <col min="3" max="3" width="10" customWidth="1"/>
    <col min="4" max="4" width="30.453125" customWidth="1"/>
    <col min="5" max="5" width="10" customWidth="1"/>
    <col min="6" max="6" width="58" customWidth="1"/>
    <col min="7" max="7" width="17.54296875" customWidth="1"/>
    <col min="8" max="10" width="3.7265625" bestFit="1" customWidth="1"/>
    <col min="12" max="12" width="10" customWidth="1"/>
    <col min="13" max="13" width="11.26953125" customWidth="1"/>
    <col min="14" max="14" width="15.453125" customWidth="1"/>
    <col min="15" max="15" width="58" customWidth="1"/>
    <col min="16" max="16" width="17.54296875" customWidth="1"/>
    <col min="17" max="19" width="7.81640625" bestFit="1" customWidth="1"/>
  </cols>
  <sheetData>
    <row r="1" spans="1:19" ht="26.25" customHeight="1" x14ac:dyDescent="0.35">
      <c r="A1" s="81" t="s">
        <v>26</v>
      </c>
      <c r="B1" s="81" t="s">
        <v>24</v>
      </c>
      <c r="C1" s="81" t="s">
        <v>791</v>
      </c>
      <c r="D1" s="81" t="s">
        <v>790</v>
      </c>
      <c r="E1" s="81" t="s">
        <v>854</v>
      </c>
      <c r="F1" s="81" t="s">
        <v>25</v>
      </c>
      <c r="G1" s="81" t="s">
        <v>31</v>
      </c>
      <c r="H1" s="81" t="s">
        <v>816</v>
      </c>
      <c r="I1" s="81" t="s">
        <v>817</v>
      </c>
      <c r="J1" s="81" t="s">
        <v>818</v>
      </c>
      <c r="L1" s="86" t="s">
        <v>854</v>
      </c>
      <c r="M1" s="86" t="s">
        <v>26</v>
      </c>
      <c r="N1" s="86" t="s">
        <v>791</v>
      </c>
      <c r="O1" s="86" t="s">
        <v>25</v>
      </c>
      <c r="P1" s="86" t="s">
        <v>31</v>
      </c>
      <c r="Q1" s="86" t="s">
        <v>816</v>
      </c>
      <c r="R1" s="86" t="s">
        <v>817</v>
      </c>
      <c r="S1" s="86" t="s">
        <v>818</v>
      </c>
    </row>
    <row r="2" spans="1:19" x14ac:dyDescent="0.35">
      <c r="A2" s="63" t="s">
        <v>40</v>
      </c>
      <c r="B2" s="61" t="s">
        <v>172</v>
      </c>
      <c r="C2" s="63" t="s">
        <v>78</v>
      </c>
      <c r="D2" s="61" t="s">
        <v>63</v>
      </c>
      <c r="E2" s="63" t="s">
        <v>64</v>
      </c>
      <c r="F2" s="61" t="s">
        <v>65</v>
      </c>
      <c r="G2" s="61" t="str">
        <f t="shared" ref="G2:G65" ca="1" si="0">IF(AND(H2=YES, SELECTED_ASSESSMENT_LEVEL = LEVEL1),INDIRECT("zANS"&amp;E2, FALSE),IF(AND(I2=YES, SELECTED_ASSESSMENT_LEVEL = LEVEL2), INDIRECT("zANS"&amp;E2, FALSE), IF(AND(J2=YES, SELECTED_ASSESSMENT_LEVEL = LEVEL3), INDIRECT("zANS"&amp;E2, FALSE), "NA")))</f>
        <v>--- Select ---</v>
      </c>
      <c r="H2" s="62" t="s">
        <v>853</v>
      </c>
      <c r="I2" s="62" t="s">
        <v>852</v>
      </c>
      <c r="J2" s="62" t="s">
        <v>852</v>
      </c>
      <c r="L2" s="64" t="str">
        <f>E2</f>
        <v>1.1.1</v>
      </c>
      <c r="M2" s="64" t="str">
        <f t="shared" ref="M2:M65" si="1">A2</f>
        <v>V1</v>
      </c>
      <c r="N2" s="64" t="str">
        <f t="shared" ref="N2:N65" si="2">C2</f>
        <v xml:space="preserve">V1.1 </v>
      </c>
      <c r="O2" s="64" t="str">
        <f>F2</f>
        <v>Verify the use of a secure software development lifecycle that addresses security in all stages of development. (C1)</v>
      </c>
      <c r="P2" s="64" t="str">
        <f ca="1">G2</f>
        <v>--- Select ---</v>
      </c>
      <c r="Q2" s="63" t="str">
        <f>H2</f>
        <v>N</v>
      </c>
      <c r="R2" s="63" t="str">
        <f>I2</f>
        <v>Y</v>
      </c>
      <c r="S2" s="63" t="str">
        <f>J2</f>
        <v>Y</v>
      </c>
    </row>
    <row r="3" spans="1:19" x14ac:dyDescent="0.35">
      <c r="A3" s="63" t="s">
        <v>40</v>
      </c>
      <c r="B3" s="61" t="s">
        <v>172</v>
      </c>
      <c r="C3" s="63" t="s">
        <v>78</v>
      </c>
      <c r="D3" s="61" t="s">
        <v>63</v>
      </c>
      <c r="E3" s="63" t="s">
        <v>66</v>
      </c>
      <c r="F3" s="61" t="s">
        <v>67</v>
      </c>
      <c r="G3" s="61" t="str">
        <f t="shared" ca="1" si="0"/>
        <v>--- Select ---</v>
      </c>
      <c r="H3" s="62" t="s">
        <v>853</v>
      </c>
      <c r="I3" s="62" t="s">
        <v>852</v>
      </c>
      <c r="J3" s="62" t="s">
        <v>852</v>
      </c>
      <c r="L3" s="64" t="str">
        <f t="shared" ref="L3:L66" si="3">E3</f>
        <v>1.1.2</v>
      </c>
      <c r="M3" s="64" t="str">
        <f t="shared" si="1"/>
        <v>V1</v>
      </c>
      <c r="N3" s="64" t="str">
        <f t="shared" si="2"/>
        <v xml:space="preserve">V1.1 </v>
      </c>
      <c r="O3" s="64" t="str">
        <f t="shared" ref="O3:O66" si="4">F3</f>
        <v>Verify the use of threat modeling for every design change or sprint planning to identify threats, plan for countermeasures, facilitate appropriate risk responses, and guide security testing.</v>
      </c>
      <c r="P3" s="64" t="str">
        <f t="shared" ref="P3:P66" ca="1" si="5">G3</f>
        <v>--- Select ---</v>
      </c>
      <c r="Q3" s="63" t="str">
        <f t="shared" ref="Q3:Q66" si="6">H3</f>
        <v>N</v>
      </c>
      <c r="R3" s="63" t="str">
        <f t="shared" ref="R3:R66" si="7">I3</f>
        <v>Y</v>
      </c>
      <c r="S3" s="63" t="str">
        <f t="shared" ref="S3:S66" si="8">J3</f>
        <v>Y</v>
      </c>
    </row>
    <row r="4" spans="1:19" x14ac:dyDescent="0.35">
      <c r="A4" s="63" t="s">
        <v>40</v>
      </c>
      <c r="B4" s="61" t="s">
        <v>172</v>
      </c>
      <c r="C4" s="63" t="s">
        <v>851</v>
      </c>
      <c r="D4" s="61" t="s">
        <v>63</v>
      </c>
      <c r="E4" s="63" t="s">
        <v>68</v>
      </c>
      <c r="F4" s="61" t="s">
        <v>69</v>
      </c>
      <c r="G4" s="61" t="str">
        <f t="shared" ca="1" si="0"/>
        <v>--- Select ---</v>
      </c>
      <c r="H4" s="62" t="s">
        <v>853</v>
      </c>
      <c r="I4" s="62" t="s">
        <v>852</v>
      </c>
      <c r="J4" s="62" t="s">
        <v>852</v>
      </c>
      <c r="L4" s="64" t="str">
        <f t="shared" si="3"/>
        <v>1.1.3</v>
      </c>
      <c r="M4" s="64" t="str">
        <f t="shared" si="1"/>
        <v>V1</v>
      </c>
      <c r="N4" s="64" t="str">
        <f t="shared" si="2"/>
        <v>V1.1</v>
      </c>
      <c r="O4" s="64" t="str">
        <f t="shared" si="4"/>
        <v>Verify that all user stories and features contain functional security constraints, such as "As a user, I should be able to view and edit my profile. I should not be able to view or edit anyone else's profile"</v>
      </c>
      <c r="P4" s="64" t="str">
        <f t="shared" ca="1" si="5"/>
        <v>--- Select ---</v>
      </c>
      <c r="Q4" s="63" t="str">
        <f t="shared" si="6"/>
        <v>N</v>
      </c>
      <c r="R4" s="63" t="str">
        <f t="shared" si="7"/>
        <v>Y</v>
      </c>
      <c r="S4" s="63" t="str">
        <f t="shared" si="8"/>
        <v>Y</v>
      </c>
    </row>
    <row r="5" spans="1:19" x14ac:dyDescent="0.35">
      <c r="A5" s="63" t="s">
        <v>40</v>
      </c>
      <c r="B5" s="61" t="s">
        <v>172</v>
      </c>
      <c r="C5" s="63" t="s">
        <v>851</v>
      </c>
      <c r="D5" s="61" t="s">
        <v>63</v>
      </c>
      <c r="E5" s="63" t="s">
        <v>70</v>
      </c>
      <c r="F5" s="61" t="s">
        <v>71</v>
      </c>
      <c r="G5" s="61" t="str">
        <f t="shared" ca="1" si="0"/>
        <v>--- Select ---</v>
      </c>
      <c r="H5" s="62" t="s">
        <v>853</v>
      </c>
      <c r="I5" s="62" t="s">
        <v>852</v>
      </c>
      <c r="J5" s="62" t="s">
        <v>852</v>
      </c>
      <c r="L5" s="64" t="str">
        <f t="shared" si="3"/>
        <v>1.1.4</v>
      </c>
      <c r="M5" s="64" t="str">
        <f t="shared" si="1"/>
        <v>V1</v>
      </c>
      <c r="N5" s="64" t="str">
        <f t="shared" si="2"/>
        <v>V1.1</v>
      </c>
      <c r="O5" s="64" t="str">
        <f t="shared" si="4"/>
        <v>Verify documentation and justification of all the application's trust boundaries, components, and significant data flows.</v>
      </c>
      <c r="P5" s="64" t="str">
        <f t="shared" ca="1" si="5"/>
        <v>--- Select ---</v>
      </c>
      <c r="Q5" s="63" t="str">
        <f t="shared" si="6"/>
        <v>N</v>
      </c>
      <c r="R5" s="63" t="str">
        <f t="shared" si="7"/>
        <v>Y</v>
      </c>
      <c r="S5" s="63" t="str">
        <f t="shared" si="8"/>
        <v>Y</v>
      </c>
    </row>
    <row r="6" spans="1:19" x14ac:dyDescent="0.35">
      <c r="A6" s="63" t="s">
        <v>40</v>
      </c>
      <c r="B6" s="61" t="s">
        <v>172</v>
      </c>
      <c r="C6" s="63" t="s">
        <v>851</v>
      </c>
      <c r="D6" s="61" t="s">
        <v>63</v>
      </c>
      <c r="E6" s="63" t="s">
        <v>72</v>
      </c>
      <c r="F6" s="61" t="s">
        <v>73</v>
      </c>
      <c r="G6" s="61" t="str">
        <f t="shared" ca="1" si="0"/>
        <v>--- Select ---</v>
      </c>
      <c r="H6" s="62" t="s">
        <v>853</v>
      </c>
      <c r="I6" s="62" t="s">
        <v>852</v>
      </c>
      <c r="J6" s="62" t="s">
        <v>852</v>
      </c>
      <c r="L6" s="64" t="str">
        <f t="shared" si="3"/>
        <v>1.1.5</v>
      </c>
      <c r="M6" s="64" t="str">
        <f t="shared" si="1"/>
        <v>V1</v>
      </c>
      <c r="N6" s="64" t="str">
        <f t="shared" si="2"/>
        <v>V1.1</v>
      </c>
      <c r="O6" s="64" t="str">
        <f t="shared" si="4"/>
        <v>Verify definition and security analysis of the application's high-level architecture and all connected remote services. (C1)</v>
      </c>
      <c r="P6" s="64" t="str">
        <f t="shared" ca="1" si="5"/>
        <v>--- Select ---</v>
      </c>
      <c r="Q6" s="63" t="str">
        <f t="shared" si="6"/>
        <v>N</v>
      </c>
      <c r="R6" s="63" t="str">
        <f t="shared" si="7"/>
        <v>Y</v>
      </c>
      <c r="S6" s="63" t="str">
        <f t="shared" si="8"/>
        <v>Y</v>
      </c>
    </row>
    <row r="7" spans="1:19" x14ac:dyDescent="0.35">
      <c r="A7" s="63" t="s">
        <v>40</v>
      </c>
      <c r="B7" s="61" t="s">
        <v>172</v>
      </c>
      <c r="C7" s="63" t="s">
        <v>851</v>
      </c>
      <c r="D7" s="61" t="s">
        <v>63</v>
      </c>
      <c r="E7" s="63" t="s">
        <v>74</v>
      </c>
      <c r="F7" s="61" t="s">
        <v>75</v>
      </c>
      <c r="G7" s="61" t="str">
        <f t="shared" ca="1" si="0"/>
        <v>--- Select ---</v>
      </c>
      <c r="H7" s="62" t="s">
        <v>853</v>
      </c>
      <c r="I7" s="62" t="s">
        <v>852</v>
      </c>
      <c r="J7" s="62" t="s">
        <v>852</v>
      </c>
      <c r="L7" s="64" t="str">
        <f t="shared" si="3"/>
        <v>1.1.6</v>
      </c>
      <c r="M7" s="64" t="str">
        <f t="shared" si="1"/>
        <v>V1</v>
      </c>
      <c r="N7" s="64" t="str">
        <f t="shared" si="2"/>
        <v>V1.1</v>
      </c>
      <c r="O7" s="64" t="str">
        <f t="shared" si="4"/>
        <v>Verify implementation of centralized, simple (economy of design), vetted, secure, and reusable security controls to avoid duplicate, missing, ineffective, or insecure controls. (C10)</v>
      </c>
      <c r="P7" s="64" t="str">
        <f t="shared" ca="1" si="5"/>
        <v>--- Select ---</v>
      </c>
      <c r="Q7" s="63" t="str">
        <f t="shared" si="6"/>
        <v>N</v>
      </c>
      <c r="R7" s="63" t="str">
        <f t="shared" si="7"/>
        <v>Y</v>
      </c>
      <c r="S7" s="63" t="str">
        <f t="shared" si="8"/>
        <v>Y</v>
      </c>
    </row>
    <row r="8" spans="1:19" x14ac:dyDescent="0.35">
      <c r="A8" s="63" t="s">
        <v>40</v>
      </c>
      <c r="B8" s="61" t="s">
        <v>172</v>
      </c>
      <c r="C8" s="63" t="s">
        <v>851</v>
      </c>
      <c r="D8" s="61" t="s">
        <v>63</v>
      </c>
      <c r="E8" s="63" t="s">
        <v>76</v>
      </c>
      <c r="F8" s="61" t="s">
        <v>77</v>
      </c>
      <c r="G8" s="61" t="str">
        <f t="shared" ca="1" si="0"/>
        <v>--- Select ---</v>
      </c>
      <c r="H8" s="62" t="s">
        <v>853</v>
      </c>
      <c r="I8" s="62" t="s">
        <v>852</v>
      </c>
      <c r="J8" s="62" t="s">
        <v>852</v>
      </c>
      <c r="L8" s="64" t="str">
        <f t="shared" si="3"/>
        <v>1.1.7</v>
      </c>
      <c r="M8" s="64" t="str">
        <f t="shared" si="1"/>
        <v>V1</v>
      </c>
      <c r="N8" s="64" t="str">
        <f t="shared" si="2"/>
        <v>V1.1</v>
      </c>
      <c r="O8" s="64" t="str">
        <f t="shared" si="4"/>
        <v>Verify availability of a secure coding checklist, security requirements, guideline, or policy to all developers and testers.</v>
      </c>
      <c r="P8" s="64" t="str">
        <f t="shared" ca="1" si="5"/>
        <v>--- Select ---</v>
      </c>
      <c r="Q8" s="63" t="str">
        <f t="shared" si="6"/>
        <v>N</v>
      </c>
      <c r="R8" s="63" t="str">
        <f t="shared" si="7"/>
        <v>Y</v>
      </c>
      <c r="S8" s="63" t="str">
        <f t="shared" si="8"/>
        <v>Y</v>
      </c>
    </row>
    <row r="9" spans="1:19" x14ac:dyDescent="0.35">
      <c r="A9" s="63" t="s">
        <v>40</v>
      </c>
      <c r="B9" s="61" t="s">
        <v>172</v>
      </c>
      <c r="C9" s="63" t="s">
        <v>88</v>
      </c>
      <c r="D9" s="61" t="s">
        <v>89</v>
      </c>
      <c r="E9" s="63" t="s">
        <v>80</v>
      </c>
      <c r="F9" s="61" t="s">
        <v>81</v>
      </c>
      <c r="G9" s="61" t="str">
        <f t="shared" ca="1" si="0"/>
        <v>--- Select ---</v>
      </c>
      <c r="H9" s="62" t="s">
        <v>853</v>
      </c>
      <c r="I9" s="62" t="s">
        <v>852</v>
      </c>
      <c r="J9" s="62" t="s">
        <v>852</v>
      </c>
      <c r="L9" s="64" t="str">
        <f t="shared" si="3"/>
        <v>1.2.1</v>
      </c>
      <c r="M9" s="64" t="str">
        <f t="shared" si="1"/>
        <v>V1</v>
      </c>
      <c r="N9" s="64" t="str">
        <f t="shared" si="2"/>
        <v>V1.2</v>
      </c>
      <c r="O9" s="64" t="str">
        <f t="shared" si="4"/>
        <v>Verify the use of unique or special low-privilege operating system accounts for all application components, services, and servers. (C3)</v>
      </c>
      <c r="P9" s="64" t="str">
        <f t="shared" ca="1" si="5"/>
        <v>--- Select ---</v>
      </c>
      <c r="Q9" s="63" t="str">
        <f t="shared" si="6"/>
        <v>N</v>
      </c>
      <c r="R9" s="63" t="str">
        <f t="shared" si="7"/>
        <v>Y</v>
      </c>
      <c r="S9" s="63" t="str">
        <f t="shared" si="8"/>
        <v>Y</v>
      </c>
    </row>
    <row r="10" spans="1:19" x14ac:dyDescent="0.35">
      <c r="A10" s="63" t="s">
        <v>40</v>
      </c>
      <c r="B10" s="61" t="s">
        <v>172</v>
      </c>
      <c r="C10" s="63" t="s">
        <v>88</v>
      </c>
      <c r="D10" s="61" t="s">
        <v>89</v>
      </c>
      <c r="E10" s="63" t="s">
        <v>82</v>
      </c>
      <c r="F10" s="61" t="s">
        <v>83</v>
      </c>
      <c r="G10" s="61" t="str">
        <f t="shared" ca="1" si="0"/>
        <v>--- Select ---</v>
      </c>
      <c r="H10" s="62" t="s">
        <v>853</v>
      </c>
      <c r="I10" s="62" t="s">
        <v>852</v>
      </c>
      <c r="J10" s="62" t="s">
        <v>852</v>
      </c>
      <c r="L10" s="64" t="str">
        <f t="shared" si="3"/>
        <v>1.2.2</v>
      </c>
      <c r="M10" s="64" t="str">
        <f t="shared" si="1"/>
        <v>V1</v>
      </c>
      <c r="N10" s="64" t="str">
        <f t="shared" si="2"/>
        <v>V1.2</v>
      </c>
      <c r="O10" s="64" t="str">
        <f t="shared" si="4"/>
        <v>Verify that communications between application components, including APIs, middleware and data layers, are authenticated. Components should have the least necessary privileges needed. (C3)</v>
      </c>
      <c r="P10" s="64" t="str">
        <f t="shared" ca="1" si="5"/>
        <v>--- Select ---</v>
      </c>
      <c r="Q10" s="63" t="str">
        <f t="shared" si="6"/>
        <v>N</v>
      </c>
      <c r="R10" s="63" t="str">
        <f t="shared" si="7"/>
        <v>Y</v>
      </c>
      <c r="S10" s="63" t="str">
        <f t="shared" si="8"/>
        <v>Y</v>
      </c>
    </row>
    <row r="11" spans="1:19" x14ac:dyDescent="0.35">
      <c r="A11" s="63" t="s">
        <v>40</v>
      </c>
      <c r="B11" s="61" t="s">
        <v>172</v>
      </c>
      <c r="C11" s="63" t="s">
        <v>88</v>
      </c>
      <c r="D11" s="61" t="s">
        <v>89</v>
      </c>
      <c r="E11" s="63" t="s">
        <v>84</v>
      </c>
      <c r="F11" s="61" t="s">
        <v>85</v>
      </c>
      <c r="G11" s="61" t="str">
        <f t="shared" ca="1" si="0"/>
        <v>--- Select ---</v>
      </c>
      <c r="H11" s="62" t="s">
        <v>853</v>
      </c>
      <c r="I11" s="62" t="s">
        <v>852</v>
      </c>
      <c r="J11" s="62" t="s">
        <v>852</v>
      </c>
      <c r="L11" s="64" t="str">
        <f t="shared" si="3"/>
        <v>1.2.3</v>
      </c>
      <c r="M11" s="64" t="str">
        <f t="shared" si="1"/>
        <v>V1</v>
      </c>
      <c r="N11" s="64" t="str">
        <f t="shared" si="2"/>
        <v>V1.2</v>
      </c>
      <c r="O11" s="64" t="str">
        <f t="shared" si="4"/>
        <v>Verify that the application uses a single vetted authentication mechanism that is known to be secure, can be extended to include strong authentication, and has sufficient logging and monitoring to detect account abuse or breaches.</v>
      </c>
      <c r="P11" s="64" t="str">
        <f t="shared" ca="1" si="5"/>
        <v>--- Select ---</v>
      </c>
      <c r="Q11" s="63" t="str">
        <f t="shared" si="6"/>
        <v>N</v>
      </c>
      <c r="R11" s="63" t="str">
        <f t="shared" si="7"/>
        <v>Y</v>
      </c>
      <c r="S11" s="63" t="str">
        <f t="shared" si="8"/>
        <v>Y</v>
      </c>
    </row>
    <row r="12" spans="1:19" x14ac:dyDescent="0.35">
      <c r="A12" s="63" t="s">
        <v>40</v>
      </c>
      <c r="B12" s="61" t="s">
        <v>172</v>
      </c>
      <c r="C12" s="63" t="s">
        <v>88</v>
      </c>
      <c r="D12" s="61" t="s">
        <v>89</v>
      </c>
      <c r="E12" s="63" t="s">
        <v>86</v>
      </c>
      <c r="F12" s="61" t="s">
        <v>87</v>
      </c>
      <c r="G12" s="61" t="str">
        <f t="shared" ca="1" si="0"/>
        <v>--- Select ---</v>
      </c>
      <c r="H12" s="62" t="s">
        <v>853</v>
      </c>
      <c r="I12" s="62" t="s">
        <v>852</v>
      </c>
      <c r="J12" s="62" t="s">
        <v>852</v>
      </c>
      <c r="L12" s="64" t="str">
        <f t="shared" si="3"/>
        <v>1.2.4</v>
      </c>
      <c r="M12" s="64" t="str">
        <f t="shared" si="1"/>
        <v>V1</v>
      </c>
      <c r="N12" s="64" t="str">
        <f t="shared" si="2"/>
        <v>V1.2</v>
      </c>
      <c r="O12" s="64" t="str">
        <f t="shared" si="4"/>
        <v>Verify that all authentication pathways and identity management APIs implement consistent authentication security control strength, such that there are no weaker alternatives per the risk of the application.</v>
      </c>
      <c r="P12" s="64" t="str">
        <f t="shared" ca="1" si="5"/>
        <v>--- Select ---</v>
      </c>
      <c r="Q12" s="63" t="str">
        <f t="shared" si="6"/>
        <v>N</v>
      </c>
      <c r="R12" s="63" t="str">
        <f t="shared" si="7"/>
        <v>Y</v>
      </c>
      <c r="S12" s="63" t="str">
        <f t="shared" si="8"/>
        <v>Y</v>
      </c>
    </row>
    <row r="13" spans="1:19" x14ac:dyDescent="0.35">
      <c r="A13" s="63" t="s">
        <v>40</v>
      </c>
      <c r="B13" s="61" t="s">
        <v>172</v>
      </c>
      <c r="C13" s="63" t="s">
        <v>90</v>
      </c>
      <c r="D13" s="61" t="s">
        <v>91</v>
      </c>
      <c r="E13" s="63" t="s">
        <v>92</v>
      </c>
      <c r="F13" s="61" t="s">
        <v>93</v>
      </c>
      <c r="G13" s="61" t="str">
        <f t="shared" ca="1" si="0"/>
        <v>--- Select ---</v>
      </c>
      <c r="H13" s="62" t="s">
        <v>853</v>
      </c>
      <c r="I13" s="62" t="s">
        <v>852</v>
      </c>
      <c r="J13" s="62" t="s">
        <v>852</v>
      </c>
      <c r="L13" s="64" t="str">
        <f t="shared" si="3"/>
        <v>1.4.1</v>
      </c>
      <c r="M13" s="64" t="str">
        <f t="shared" si="1"/>
        <v>V1</v>
      </c>
      <c r="N13" s="64" t="str">
        <f t="shared" si="2"/>
        <v>V1.4</v>
      </c>
      <c r="O13" s="64" t="str">
        <f t="shared" si="4"/>
        <v>Verify that trusted enforcement points such as at access control gateways, servers, and serverless functions enforce access controls. Never enforce access controls on the client.</v>
      </c>
      <c r="P13" s="64" t="str">
        <f t="shared" ca="1" si="5"/>
        <v>--- Select ---</v>
      </c>
      <c r="Q13" s="63" t="str">
        <f t="shared" si="6"/>
        <v>N</v>
      </c>
      <c r="R13" s="63" t="str">
        <f t="shared" si="7"/>
        <v>Y</v>
      </c>
      <c r="S13" s="63" t="str">
        <f t="shared" si="8"/>
        <v>Y</v>
      </c>
    </row>
    <row r="14" spans="1:19" x14ac:dyDescent="0.35">
      <c r="A14" s="63" t="s">
        <v>40</v>
      </c>
      <c r="B14" s="61" t="s">
        <v>172</v>
      </c>
      <c r="C14" s="63" t="s">
        <v>90</v>
      </c>
      <c r="D14" s="61" t="s">
        <v>91</v>
      </c>
      <c r="E14" s="63" t="s">
        <v>94</v>
      </c>
      <c r="F14" s="61" t="s">
        <v>95</v>
      </c>
      <c r="G14" s="61" t="str">
        <f t="shared" ca="1" si="0"/>
        <v>--- Select ---</v>
      </c>
      <c r="H14" s="62" t="s">
        <v>853</v>
      </c>
      <c r="I14" s="62" t="s">
        <v>852</v>
      </c>
      <c r="J14" s="62" t="s">
        <v>852</v>
      </c>
      <c r="L14" s="64" t="str">
        <f t="shared" si="3"/>
        <v>1.4.2</v>
      </c>
      <c r="M14" s="64" t="str">
        <f t="shared" si="1"/>
        <v>V1</v>
      </c>
      <c r="N14" s="64" t="str">
        <f t="shared" si="2"/>
        <v>V1.4</v>
      </c>
      <c r="O14" s="64" t="str">
        <f t="shared" si="4"/>
        <v>Verify that the chosen access control solution is flexible enough to meet the application's needs.</v>
      </c>
      <c r="P14" s="64" t="str">
        <f t="shared" ca="1" si="5"/>
        <v>--- Select ---</v>
      </c>
      <c r="Q14" s="63" t="str">
        <f t="shared" si="6"/>
        <v>N</v>
      </c>
      <c r="R14" s="63" t="str">
        <f t="shared" si="7"/>
        <v>Y</v>
      </c>
      <c r="S14" s="63" t="str">
        <f t="shared" si="8"/>
        <v>Y</v>
      </c>
    </row>
    <row r="15" spans="1:19" x14ac:dyDescent="0.35">
      <c r="A15" s="63" t="s">
        <v>40</v>
      </c>
      <c r="B15" s="61" t="s">
        <v>172</v>
      </c>
      <c r="C15" s="63" t="s">
        <v>90</v>
      </c>
      <c r="D15" s="61" t="s">
        <v>91</v>
      </c>
      <c r="E15" s="63" t="s">
        <v>96</v>
      </c>
      <c r="F15" s="61" t="s">
        <v>97</v>
      </c>
      <c r="G15" s="61" t="str">
        <f t="shared" ca="1" si="0"/>
        <v>--- Select ---</v>
      </c>
      <c r="H15" s="62" t="s">
        <v>853</v>
      </c>
      <c r="I15" s="62" t="s">
        <v>852</v>
      </c>
      <c r="J15" s="62" t="s">
        <v>852</v>
      </c>
      <c r="L15" s="64" t="str">
        <f t="shared" si="3"/>
        <v>1.4.3</v>
      </c>
      <c r="M15" s="64" t="str">
        <f t="shared" si="1"/>
        <v>V1</v>
      </c>
      <c r="N15" s="64" t="str">
        <f t="shared" si="2"/>
        <v>V1.4</v>
      </c>
      <c r="O15" s="64" t="str">
        <f t="shared" si="4"/>
        <v>Verify enforcement of the principle of least privilege in functions, data files, URLs, controllers, services, and other resources. This implies protection against spoofing and elevation of privilege.</v>
      </c>
      <c r="P15" s="64" t="str">
        <f t="shared" ca="1" si="5"/>
        <v>--- Select ---</v>
      </c>
      <c r="Q15" s="63" t="str">
        <f t="shared" si="6"/>
        <v>N</v>
      </c>
      <c r="R15" s="63" t="str">
        <f t="shared" si="7"/>
        <v>Y</v>
      </c>
      <c r="S15" s="63" t="str">
        <f t="shared" si="8"/>
        <v>Y</v>
      </c>
    </row>
    <row r="16" spans="1:19" x14ac:dyDescent="0.35">
      <c r="A16" s="63" t="s">
        <v>40</v>
      </c>
      <c r="B16" s="61" t="s">
        <v>172</v>
      </c>
      <c r="C16" s="63" t="s">
        <v>90</v>
      </c>
      <c r="D16" s="61" t="s">
        <v>91</v>
      </c>
      <c r="E16" s="63" t="s">
        <v>98</v>
      </c>
      <c r="F16" s="61" t="s">
        <v>99</v>
      </c>
      <c r="G16" s="61" t="str">
        <f t="shared" ca="1" si="0"/>
        <v>--- Select ---</v>
      </c>
      <c r="H16" s="62" t="s">
        <v>853</v>
      </c>
      <c r="I16" s="62" t="s">
        <v>852</v>
      </c>
      <c r="J16" s="62" t="s">
        <v>852</v>
      </c>
      <c r="L16" s="64" t="str">
        <f t="shared" si="3"/>
        <v>1.4.4</v>
      </c>
      <c r="M16" s="64" t="str">
        <f t="shared" si="1"/>
        <v>V1</v>
      </c>
      <c r="N16" s="64" t="str">
        <f t="shared" si="2"/>
        <v>V1.4</v>
      </c>
      <c r="O16" s="64" t="str">
        <f t="shared" si="4"/>
        <v>Verify the application uses a single and well-vetted access control mechanism for accessing protected data and resources. All requests must pass through this single mechanism to avoid copy and paste or insecure alternative paths. (C7)</v>
      </c>
      <c r="P16" s="64" t="str">
        <f t="shared" ca="1" si="5"/>
        <v>--- Select ---</v>
      </c>
      <c r="Q16" s="63" t="str">
        <f t="shared" si="6"/>
        <v>N</v>
      </c>
      <c r="R16" s="63" t="str">
        <f t="shared" si="7"/>
        <v>Y</v>
      </c>
      <c r="S16" s="63" t="str">
        <f t="shared" si="8"/>
        <v>Y</v>
      </c>
    </row>
    <row r="17" spans="1:19" x14ac:dyDescent="0.35">
      <c r="A17" s="63" t="s">
        <v>40</v>
      </c>
      <c r="B17" s="61" t="s">
        <v>172</v>
      </c>
      <c r="C17" s="63" t="s">
        <v>90</v>
      </c>
      <c r="D17" s="61" t="s">
        <v>91</v>
      </c>
      <c r="E17" s="63" t="s">
        <v>100</v>
      </c>
      <c r="F17" s="61" t="s">
        <v>101</v>
      </c>
      <c r="G17" s="61" t="str">
        <f t="shared" ca="1" si="0"/>
        <v>--- Select ---</v>
      </c>
      <c r="H17" s="62" t="s">
        <v>853</v>
      </c>
      <c r="I17" s="62" t="s">
        <v>852</v>
      </c>
      <c r="J17" s="62" t="s">
        <v>852</v>
      </c>
      <c r="L17" s="64" t="str">
        <f t="shared" si="3"/>
        <v>1.4.5</v>
      </c>
      <c r="M17" s="64" t="str">
        <f t="shared" si="1"/>
        <v>V1</v>
      </c>
      <c r="N17" s="64" t="str">
        <f t="shared" si="2"/>
        <v>V1.4</v>
      </c>
      <c r="O17" s="64" t="str">
        <f t="shared" si="4"/>
        <v>Verify that attribute or feature-based access control is used whereby the code checks the user's authorization for a feature/data item rather than just their role. Permissions should still be allocated using roles. (C7)</v>
      </c>
      <c r="P17" s="64" t="str">
        <f t="shared" ca="1" si="5"/>
        <v>--- Select ---</v>
      </c>
      <c r="Q17" s="63" t="str">
        <f t="shared" si="6"/>
        <v>N</v>
      </c>
      <c r="R17" s="63" t="str">
        <f t="shared" si="7"/>
        <v>Y</v>
      </c>
      <c r="S17" s="63" t="str">
        <f t="shared" si="8"/>
        <v>Y</v>
      </c>
    </row>
    <row r="18" spans="1:19" x14ac:dyDescent="0.35">
      <c r="A18" s="63" t="s">
        <v>40</v>
      </c>
      <c r="B18" s="61" t="s">
        <v>172</v>
      </c>
      <c r="C18" s="63" t="s">
        <v>102</v>
      </c>
      <c r="D18" s="61" t="s">
        <v>103</v>
      </c>
      <c r="E18" s="63" t="s">
        <v>104</v>
      </c>
      <c r="F18" s="61" t="s">
        <v>105</v>
      </c>
      <c r="G18" s="61" t="str">
        <f t="shared" ca="1" si="0"/>
        <v>--- Select ---</v>
      </c>
      <c r="H18" s="62" t="s">
        <v>853</v>
      </c>
      <c r="I18" s="62" t="s">
        <v>852</v>
      </c>
      <c r="J18" s="62" t="s">
        <v>852</v>
      </c>
      <c r="L18" s="64" t="str">
        <f t="shared" si="3"/>
        <v>1.5.1</v>
      </c>
      <c r="M18" s="64" t="str">
        <f t="shared" si="1"/>
        <v>V1</v>
      </c>
      <c r="N18" s="64" t="str">
        <f t="shared" si="2"/>
        <v>V1.5</v>
      </c>
      <c r="O18" s="64" t="str">
        <f t="shared" si="4"/>
        <v>Verify that input and output requirements clearly define how to handle and process data based on type, content, and applicable laws, regulations, and other policy compliance.</v>
      </c>
      <c r="P18" s="64" t="str">
        <f t="shared" ca="1" si="5"/>
        <v>--- Select ---</v>
      </c>
      <c r="Q18" s="63" t="str">
        <f t="shared" si="6"/>
        <v>N</v>
      </c>
      <c r="R18" s="63" t="str">
        <f t="shared" si="7"/>
        <v>Y</v>
      </c>
      <c r="S18" s="63" t="str">
        <f t="shared" si="8"/>
        <v>Y</v>
      </c>
    </row>
    <row r="19" spans="1:19" x14ac:dyDescent="0.35">
      <c r="A19" s="63" t="s">
        <v>40</v>
      </c>
      <c r="B19" s="61" t="s">
        <v>172</v>
      </c>
      <c r="C19" s="63" t="s">
        <v>102</v>
      </c>
      <c r="D19" s="61" t="s">
        <v>103</v>
      </c>
      <c r="E19" s="63" t="s">
        <v>106</v>
      </c>
      <c r="F19" s="61" t="s">
        <v>107</v>
      </c>
      <c r="G19" s="61" t="str">
        <f t="shared" ca="1" si="0"/>
        <v>--- Select ---</v>
      </c>
      <c r="H19" s="62" t="s">
        <v>853</v>
      </c>
      <c r="I19" s="62" t="s">
        <v>852</v>
      </c>
      <c r="J19" s="62" t="s">
        <v>852</v>
      </c>
      <c r="L19" s="64" t="str">
        <f t="shared" si="3"/>
        <v>1.5.2</v>
      </c>
      <c r="M19" s="64" t="str">
        <f t="shared" si="1"/>
        <v>V1</v>
      </c>
      <c r="N19" s="64" t="str">
        <f t="shared" si="2"/>
        <v>V1.5</v>
      </c>
      <c r="O19" s="64" t="str">
        <f t="shared" si="4"/>
        <v>Verify that serialization is not used when communicating with untrusted clients. If this is not possible, ensure that adequate integrity controls (and possibly encryption if sensitive data is sent) are enforced to prevent deserialization attacks including object injection.</v>
      </c>
      <c r="P19" s="64" t="str">
        <f t="shared" ca="1" si="5"/>
        <v>--- Select ---</v>
      </c>
      <c r="Q19" s="63" t="str">
        <f t="shared" si="6"/>
        <v>N</v>
      </c>
      <c r="R19" s="63" t="str">
        <f t="shared" si="7"/>
        <v>Y</v>
      </c>
      <c r="S19" s="63" t="str">
        <f t="shared" si="8"/>
        <v>Y</v>
      </c>
    </row>
    <row r="20" spans="1:19" x14ac:dyDescent="0.35">
      <c r="A20" s="63" t="s">
        <v>40</v>
      </c>
      <c r="B20" s="61" t="s">
        <v>172</v>
      </c>
      <c r="C20" s="63" t="s">
        <v>102</v>
      </c>
      <c r="D20" s="61" t="s">
        <v>103</v>
      </c>
      <c r="E20" s="63" t="s">
        <v>108</v>
      </c>
      <c r="F20" s="61" t="s">
        <v>109</v>
      </c>
      <c r="G20" s="61" t="str">
        <f t="shared" ca="1" si="0"/>
        <v>--- Select ---</v>
      </c>
      <c r="H20" s="62" t="s">
        <v>853</v>
      </c>
      <c r="I20" s="62" t="s">
        <v>852</v>
      </c>
      <c r="J20" s="62" t="s">
        <v>852</v>
      </c>
      <c r="L20" s="64" t="str">
        <f t="shared" si="3"/>
        <v>1.5.3</v>
      </c>
      <c r="M20" s="64" t="str">
        <f t="shared" si="1"/>
        <v>V1</v>
      </c>
      <c r="N20" s="64" t="str">
        <f t="shared" si="2"/>
        <v>V1.5</v>
      </c>
      <c r="O20" s="64" t="str">
        <f t="shared" si="4"/>
        <v>Verify that input validation is enforced on a trusted service layer. (C5)</v>
      </c>
      <c r="P20" s="64" t="str">
        <f t="shared" ca="1" si="5"/>
        <v>--- Select ---</v>
      </c>
      <c r="Q20" s="63" t="str">
        <f t="shared" si="6"/>
        <v>N</v>
      </c>
      <c r="R20" s="63" t="str">
        <f t="shared" si="7"/>
        <v>Y</v>
      </c>
      <c r="S20" s="63" t="str">
        <f t="shared" si="8"/>
        <v>Y</v>
      </c>
    </row>
    <row r="21" spans="1:19" x14ac:dyDescent="0.35">
      <c r="A21" s="63" t="s">
        <v>40</v>
      </c>
      <c r="B21" s="61" t="s">
        <v>172</v>
      </c>
      <c r="C21" s="63" t="s">
        <v>102</v>
      </c>
      <c r="D21" s="61" t="s">
        <v>103</v>
      </c>
      <c r="E21" s="63" t="s">
        <v>110</v>
      </c>
      <c r="F21" s="61" t="s">
        <v>111</v>
      </c>
      <c r="G21" s="61" t="str">
        <f t="shared" ca="1" si="0"/>
        <v>--- Select ---</v>
      </c>
      <c r="H21" s="62" t="s">
        <v>853</v>
      </c>
      <c r="I21" s="62" t="s">
        <v>852</v>
      </c>
      <c r="J21" s="62" t="s">
        <v>852</v>
      </c>
      <c r="L21" s="64" t="str">
        <f t="shared" si="3"/>
        <v>1.5.4</v>
      </c>
      <c r="M21" s="64" t="str">
        <f t="shared" si="1"/>
        <v>V1</v>
      </c>
      <c r="N21" s="64" t="str">
        <f t="shared" si="2"/>
        <v>V1.5</v>
      </c>
      <c r="O21" s="64" t="str">
        <f t="shared" si="4"/>
        <v>Verify that output encoding occurs close to or by the interpreter for which it is intended. (C4)</v>
      </c>
      <c r="P21" s="64" t="str">
        <f t="shared" ca="1" si="5"/>
        <v>--- Select ---</v>
      </c>
      <c r="Q21" s="63" t="str">
        <f t="shared" si="6"/>
        <v>N</v>
      </c>
      <c r="R21" s="63" t="str">
        <f t="shared" si="7"/>
        <v>Y</v>
      </c>
      <c r="S21" s="63" t="str">
        <f t="shared" si="8"/>
        <v>Y</v>
      </c>
    </row>
    <row r="22" spans="1:19" x14ac:dyDescent="0.35">
      <c r="A22" s="63" t="s">
        <v>40</v>
      </c>
      <c r="B22" s="61" t="s">
        <v>172</v>
      </c>
      <c r="C22" s="63" t="s">
        <v>112</v>
      </c>
      <c r="D22" s="61" t="s">
        <v>113</v>
      </c>
      <c r="E22" s="63" t="s">
        <v>114</v>
      </c>
      <c r="F22" s="61" t="s">
        <v>115</v>
      </c>
      <c r="G22" s="61" t="str">
        <f t="shared" ca="1" si="0"/>
        <v>--- Select ---</v>
      </c>
      <c r="H22" s="62" t="s">
        <v>853</v>
      </c>
      <c r="I22" s="62" t="s">
        <v>852</v>
      </c>
      <c r="J22" s="62" t="s">
        <v>852</v>
      </c>
      <c r="L22" s="64" t="str">
        <f t="shared" si="3"/>
        <v>1.6.1</v>
      </c>
      <c r="M22" s="64" t="str">
        <f t="shared" si="1"/>
        <v>V1</v>
      </c>
      <c r="N22" s="64" t="str">
        <f t="shared" si="2"/>
        <v>V1.6</v>
      </c>
      <c r="O22" s="64" t="str">
        <f t="shared" si="4"/>
        <v>Verify that there is an explicit policy for management of cryptographic keys and that a cryptographic key lifecycle follows a key management standard such as NIST SP 800-57.</v>
      </c>
      <c r="P22" s="64" t="str">
        <f t="shared" ca="1" si="5"/>
        <v>--- Select ---</v>
      </c>
      <c r="Q22" s="63" t="str">
        <f t="shared" si="6"/>
        <v>N</v>
      </c>
      <c r="R22" s="63" t="str">
        <f t="shared" si="7"/>
        <v>Y</v>
      </c>
      <c r="S22" s="63" t="str">
        <f t="shared" si="8"/>
        <v>Y</v>
      </c>
    </row>
    <row r="23" spans="1:19" x14ac:dyDescent="0.35">
      <c r="A23" s="63" t="s">
        <v>40</v>
      </c>
      <c r="B23" s="61" t="s">
        <v>172</v>
      </c>
      <c r="C23" s="63" t="s">
        <v>112</v>
      </c>
      <c r="D23" s="61" t="s">
        <v>113</v>
      </c>
      <c r="E23" s="63" t="s">
        <v>116</v>
      </c>
      <c r="F23" s="61" t="s">
        <v>117</v>
      </c>
      <c r="G23" s="61" t="str">
        <f t="shared" ca="1" si="0"/>
        <v>--- Select ---</v>
      </c>
      <c r="H23" s="62" t="s">
        <v>853</v>
      </c>
      <c r="I23" s="62" t="s">
        <v>852</v>
      </c>
      <c r="J23" s="62" t="s">
        <v>852</v>
      </c>
      <c r="L23" s="64" t="str">
        <f t="shared" si="3"/>
        <v>1.6.2</v>
      </c>
      <c r="M23" s="64" t="str">
        <f t="shared" si="1"/>
        <v>V1</v>
      </c>
      <c r="N23" s="64" t="str">
        <f t="shared" si="2"/>
        <v>V1.6</v>
      </c>
      <c r="O23" s="64" t="str">
        <f t="shared" si="4"/>
        <v>Verify that consumers of cryptographic services protect key material and other secrets by using key vaults or API based alternatives.</v>
      </c>
      <c r="P23" s="64" t="str">
        <f t="shared" ca="1" si="5"/>
        <v>--- Select ---</v>
      </c>
      <c r="Q23" s="63" t="str">
        <f t="shared" si="6"/>
        <v>N</v>
      </c>
      <c r="R23" s="63" t="str">
        <f t="shared" si="7"/>
        <v>Y</v>
      </c>
      <c r="S23" s="63" t="str">
        <f t="shared" si="8"/>
        <v>Y</v>
      </c>
    </row>
    <row r="24" spans="1:19" x14ac:dyDescent="0.35">
      <c r="A24" s="63" t="s">
        <v>40</v>
      </c>
      <c r="B24" s="61" t="s">
        <v>172</v>
      </c>
      <c r="C24" s="63" t="s">
        <v>112</v>
      </c>
      <c r="D24" s="61" t="s">
        <v>113</v>
      </c>
      <c r="E24" s="63" t="s">
        <v>118</v>
      </c>
      <c r="F24" s="61" t="s">
        <v>119</v>
      </c>
      <c r="G24" s="61" t="str">
        <f t="shared" ca="1" si="0"/>
        <v>--- Select ---</v>
      </c>
      <c r="H24" s="62" t="s">
        <v>853</v>
      </c>
      <c r="I24" s="62" t="s">
        <v>852</v>
      </c>
      <c r="J24" s="62" t="s">
        <v>852</v>
      </c>
      <c r="L24" s="64" t="str">
        <f t="shared" si="3"/>
        <v>1.6.3</v>
      </c>
      <c r="M24" s="64" t="str">
        <f t="shared" si="1"/>
        <v>V1</v>
      </c>
      <c r="N24" s="64" t="str">
        <f t="shared" si="2"/>
        <v>V1.6</v>
      </c>
      <c r="O24" s="64" t="str">
        <f t="shared" si="4"/>
        <v>Verify that all keys and passwords are replaceable and are part of a well-defined process to re-encrypt sensitive data.</v>
      </c>
      <c r="P24" s="64" t="str">
        <f t="shared" ca="1" si="5"/>
        <v>--- Select ---</v>
      </c>
      <c r="Q24" s="63" t="str">
        <f t="shared" si="6"/>
        <v>N</v>
      </c>
      <c r="R24" s="63" t="str">
        <f t="shared" si="7"/>
        <v>Y</v>
      </c>
      <c r="S24" s="63" t="str">
        <f t="shared" si="8"/>
        <v>Y</v>
      </c>
    </row>
    <row r="25" spans="1:19" x14ac:dyDescent="0.35">
      <c r="A25" s="63" t="s">
        <v>40</v>
      </c>
      <c r="B25" s="61" t="s">
        <v>172</v>
      </c>
      <c r="C25" s="63" t="s">
        <v>112</v>
      </c>
      <c r="D25" s="61" t="s">
        <v>113</v>
      </c>
      <c r="E25" s="63" t="s">
        <v>120</v>
      </c>
      <c r="F25" s="61" t="s">
        <v>121</v>
      </c>
      <c r="G25" s="61" t="str">
        <f t="shared" ca="1" si="0"/>
        <v>--- Select ---</v>
      </c>
      <c r="H25" s="62" t="s">
        <v>853</v>
      </c>
      <c r="I25" s="62" t="s">
        <v>852</v>
      </c>
      <c r="J25" s="62" t="s">
        <v>852</v>
      </c>
      <c r="L25" s="64" t="str">
        <f t="shared" si="3"/>
        <v>1.6.4</v>
      </c>
      <c r="M25" s="64" t="str">
        <f t="shared" si="1"/>
        <v>V1</v>
      </c>
      <c r="N25" s="64" t="str">
        <f t="shared" si="2"/>
        <v>V1.6</v>
      </c>
      <c r="O25" s="64" t="str">
        <f t="shared" si="4"/>
        <v>Verify that symmetric keys, passwords, or API secrets generated by or shared with clients are used only in protecting low risk secrets, such as encrypting local storage, or temporary ephemeral uses such as parameter obfuscation. Sharing secrets with clients is clear-text equivalent and architecturally should be treated as such.</v>
      </c>
      <c r="P25" s="64" t="str">
        <f t="shared" ca="1" si="5"/>
        <v>--- Select ---</v>
      </c>
      <c r="Q25" s="63" t="str">
        <f t="shared" si="6"/>
        <v>N</v>
      </c>
      <c r="R25" s="63" t="str">
        <f t="shared" si="7"/>
        <v>Y</v>
      </c>
      <c r="S25" s="63" t="str">
        <f t="shared" si="8"/>
        <v>Y</v>
      </c>
    </row>
    <row r="26" spans="1:19" x14ac:dyDescent="0.35">
      <c r="A26" s="63" t="s">
        <v>40</v>
      </c>
      <c r="B26" s="61" t="s">
        <v>172</v>
      </c>
      <c r="C26" s="63" t="s">
        <v>122</v>
      </c>
      <c r="D26" s="61" t="s">
        <v>123</v>
      </c>
      <c r="E26" s="63" t="s">
        <v>124</v>
      </c>
      <c r="F26" s="61" t="s">
        <v>125</v>
      </c>
      <c r="G26" s="61" t="str">
        <f t="shared" ca="1" si="0"/>
        <v>--- Select ---</v>
      </c>
      <c r="H26" s="62" t="s">
        <v>853</v>
      </c>
      <c r="I26" s="62" t="s">
        <v>852</v>
      </c>
      <c r="J26" s="62" t="s">
        <v>852</v>
      </c>
      <c r="L26" s="64" t="str">
        <f t="shared" si="3"/>
        <v>1.7.1</v>
      </c>
      <c r="M26" s="64" t="str">
        <f t="shared" si="1"/>
        <v>V1</v>
      </c>
      <c r="N26" s="64" t="str">
        <f t="shared" si="2"/>
        <v>V1.7</v>
      </c>
      <c r="O26" s="64" t="str">
        <f t="shared" si="4"/>
        <v>Verify that a common logging format and approach is used across the system. (C9)</v>
      </c>
      <c r="P26" s="64" t="str">
        <f t="shared" ca="1" si="5"/>
        <v>--- Select ---</v>
      </c>
      <c r="Q26" s="63" t="str">
        <f t="shared" si="6"/>
        <v>N</v>
      </c>
      <c r="R26" s="63" t="str">
        <f t="shared" si="7"/>
        <v>Y</v>
      </c>
      <c r="S26" s="63" t="str">
        <f t="shared" si="8"/>
        <v>Y</v>
      </c>
    </row>
    <row r="27" spans="1:19" x14ac:dyDescent="0.35">
      <c r="A27" s="63" t="s">
        <v>40</v>
      </c>
      <c r="B27" s="61" t="s">
        <v>172</v>
      </c>
      <c r="C27" s="63" t="s">
        <v>122</v>
      </c>
      <c r="D27" s="61" t="s">
        <v>123</v>
      </c>
      <c r="E27" s="63" t="s">
        <v>126</v>
      </c>
      <c r="F27" s="61" t="s">
        <v>127</v>
      </c>
      <c r="G27" s="61" t="str">
        <f t="shared" ca="1" si="0"/>
        <v>--- Select ---</v>
      </c>
      <c r="H27" s="62" t="s">
        <v>853</v>
      </c>
      <c r="I27" s="62" t="s">
        <v>852</v>
      </c>
      <c r="J27" s="62" t="s">
        <v>852</v>
      </c>
      <c r="L27" s="64" t="str">
        <f t="shared" si="3"/>
        <v>1.7.2</v>
      </c>
      <c r="M27" s="64" t="str">
        <f t="shared" si="1"/>
        <v>V1</v>
      </c>
      <c r="N27" s="64" t="str">
        <f t="shared" si="2"/>
        <v>V1.7</v>
      </c>
      <c r="O27" s="64" t="str">
        <f t="shared" si="4"/>
        <v>Verify that logs are securely transmitted to a preferably remote system for analysis, detection, alerting, and escalation. (C9)</v>
      </c>
      <c r="P27" s="64" t="str">
        <f t="shared" ca="1" si="5"/>
        <v>--- Select ---</v>
      </c>
      <c r="Q27" s="63" t="str">
        <f t="shared" si="6"/>
        <v>N</v>
      </c>
      <c r="R27" s="63" t="str">
        <f t="shared" si="7"/>
        <v>Y</v>
      </c>
      <c r="S27" s="63" t="str">
        <f t="shared" si="8"/>
        <v>Y</v>
      </c>
    </row>
    <row r="28" spans="1:19" x14ac:dyDescent="0.35">
      <c r="A28" s="63" t="s">
        <v>40</v>
      </c>
      <c r="B28" s="61" t="s">
        <v>172</v>
      </c>
      <c r="C28" s="63" t="s">
        <v>128</v>
      </c>
      <c r="D28" s="61" t="s">
        <v>129</v>
      </c>
      <c r="E28" s="63" t="s">
        <v>130</v>
      </c>
      <c r="F28" s="61" t="s">
        <v>131</v>
      </c>
      <c r="G28" s="61" t="str">
        <f t="shared" ca="1" si="0"/>
        <v>--- Select ---</v>
      </c>
      <c r="H28" s="62" t="s">
        <v>853</v>
      </c>
      <c r="I28" s="62" t="s">
        <v>852</v>
      </c>
      <c r="J28" s="62" t="s">
        <v>852</v>
      </c>
      <c r="L28" s="64" t="str">
        <f t="shared" si="3"/>
        <v>1.8.1</v>
      </c>
      <c r="M28" s="64" t="str">
        <f t="shared" si="1"/>
        <v>V1</v>
      </c>
      <c r="N28" s="64" t="str">
        <f t="shared" si="2"/>
        <v>V1.8</v>
      </c>
      <c r="O28" s="64" t="str">
        <f t="shared" si="4"/>
        <v>Verify that all sensitive data is identified and classified into protection levels.</v>
      </c>
      <c r="P28" s="64" t="str">
        <f t="shared" ca="1" si="5"/>
        <v>--- Select ---</v>
      </c>
      <c r="Q28" s="63" t="str">
        <f t="shared" si="6"/>
        <v>N</v>
      </c>
      <c r="R28" s="63" t="str">
        <f t="shared" si="7"/>
        <v>Y</v>
      </c>
      <c r="S28" s="63" t="str">
        <f t="shared" si="8"/>
        <v>Y</v>
      </c>
    </row>
    <row r="29" spans="1:19" x14ac:dyDescent="0.35">
      <c r="A29" s="63" t="s">
        <v>40</v>
      </c>
      <c r="B29" s="61" t="s">
        <v>172</v>
      </c>
      <c r="C29" s="63" t="s">
        <v>128</v>
      </c>
      <c r="D29" s="61" t="s">
        <v>129</v>
      </c>
      <c r="E29" s="63" t="s">
        <v>132</v>
      </c>
      <c r="F29" s="61" t="s">
        <v>133</v>
      </c>
      <c r="G29" s="61" t="str">
        <f t="shared" ca="1" si="0"/>
        <v>--- Select ---</v>
      </c>
      <c r="H29" s="62" t="s">
        <v>853</v>
      </c>
      <c r="I29" s="62" t="s">
        <v>852</v>
      </c>
      <c r="J29" s="62" t="s">
        <v>852</v>
      </c>
      <c r="L29" s="64" t="str">
        <f t="shared" si="3"/>
        <v>1.8.2</v>
      </c>
      <c r="M29" s="64" t="str">
        <f t="shared" si="1"/>
        <v>V1</v>
      </c>
      <c r="N29" s="64" t="str">
        <f t="shared" si="2"/>
        <v>V1.8</v>
      </c>
      <c r="O29" s="64" t="str">
        <f t="shared" si="4"/>
        <v>Verify that all protection levels have an associated set of protection requirements, such as encryption requirements, integrity requirements, retention, privacy and other confidentiality requirements, and that these are applied in the architecture.</v>
      </c>
      <c r="P29" s="64" t="str">
        <f t="shared" ca="1" si="5"/>
        <v>--- Select ---</v>
      </c>
      <c r="Q29" s="63" t="str">
        <f t="shared" si="6"/>
        <v>N</v>
      </c>
      <c r="R29" s="63" t="str">
        <f t="shared" si="7"/>
        <v>Y</v>
      </c>
      <c r="S29" s="63" t="str">
        <f t="shared" si="8"/>
        <v>Y</v>
      </c>
    </row>
    <row r="30" spans="1:19" x14ac:dyDescent="0.35">
      <c r="A30" s="63" t="s">
        <v>40</v>
      </c>
      <c r="B30" s="61" t="s">
        <v>172</v>
      </c>
      <c r="C30" s="63" t="s">
        <v>134</v>
      </c>
      <c r="D30" s="61" t="s">
        <v>135</v>
      </c>
      <c r="E30" s="63" t="s">
        <v>136</v>
      </c>
      <c r="F30" s="61" t="s">
        <v>137</v>
      </c>
      <c r="G30" s="61" t="str">
        <f t="shared" ca="1" si="0"/>
        <v>--- Select ---</v>
      </c>
      <c r="H30" s="62" t="s">
        <v>853</v>
      </c>
      <c r="I30" s="62" t="s">
        <v>852</v>
      </c>
      <c r="J30" s="62" t="s">
        <v>852</v>
      </c>
      <c r="L30" s="64" t="str">
        <f t="shared" si="3"/>
        <v>1.9.1</v>
      </c>
      <c r="M30" s="64" t="str">
        <f t="shared" si="1"/>
        <v>V1</v>
      </c>
      <c r="N30" s="64" t="str">
        <f t="shared" si="2"/>
        <v>V1.9</v>
      </c>
      <c r="O30" s="64" t="str">
        <f t="shared" si="4"/>
        <v>Verify the application encrypts communications between components, particularly when these components are in different containers, systems, sites, or cloud providers. (C3)</v>
      </c>
      <c r="P30" s="64" t="str">
        <f t="shared" ca="1" si="5"/>
        <v>--- Select ---</v>
      </c>
      <c r="Q30" s="63" t="str">
        <f t="shared" si="6"/>
        <v>N</v>
      </c>
      <c r="R30" s="63" t="str">
        <f t="shared" si="7"/>
        <v>Y</v>
      </c>
      <c r="S30" s="63" t="str">
        <f t="shared" si="8"/>
        <v>Y</v>
      </c>
    </row>
    <row r="31" spans="1:19" x14ac:dyDescent="0.35">
      <c r="A31" s="63" t="s">
        <v>40</v>
      </c>
      <c r="B31" s="61" t="s">
        <v>172</v>
      </c>
      <c r="C31" s="63" t="s">
        <v>134</v>
      </c>
      <c r="D31" s="61" t="s">
        <v>135</v>
      </c>
      <c r="E31" s="63" t="s">
        <v>138</v>
      </c>
      <c r="F31" s="61" t="s">
        <v>139</v>
      </c>
      <c r="G31" s="61" t="str">
        <f t="shared" ca="1" si="0"/>
        <v>--- Select ---</v>
      </c>
      <c r="H31" s="62" t="s">
        <v>853</v>
      </c>
      <c r="I31" s="62" t="s">
        <v>852</v>
      </c>
      <c r="J31" s="62" t="s">
        <v>852</v>
      </c>
      <c r="L31" s="64" t="str">
        <f t="shared" si="3"/>
        <v>1.9.2</v>
      </c>
      <c r="M31" s="64" t="str">
        <f t="shared" si="1"/>
        <v>V1</v>
      </c>
      <c r="N31" s="64" t="str">
        <f t="shared" si="2"/>
        <v>V1.9</v>
      </c>
      <c r="O31" s="64" t="str">
        <f t="shared" si="4"/>
        <v>Verify that application components verify the authenticity of each side in a communication link to prevent person-in-the-middle attacks. For example, application components should validate TLS certificates and chains.</v>
      </c>
      <c r="P31" s="64" t="str">
        <f t="shared" ca="1" si="5"/>
        <v>--- Select ---</v>
      </c>
      <c r="Q31" s="63" t="str">
        <f t="shared" si="6"/>
        <v>N</v>
      </c>
      <c r="R31" s="63" t="str">
        <f t="shared" si="7"/>
        <v>Y</v>
      </c>
      <c r="S31" s="63" t="str">
        <f t="shared" si="8"/>
        <v>Y</v>
      </c>
    </row>
    <row r="32" spans="1:19" x14ac:dyDescent="0.35">
      <c r="A32" s="63" t="s">
        <v>40</v>
      </c>
      <c r="B32" s="61" t="s">
        <v>172</v>
      </c>
      <c r="C32" s="63" t="s">
        <v>140</v>
      </c>
      <c r="D32" s="61" t="s">
        <v>141</v>
      </c>
      <c r="E32" s="63" t="s">
        <v>142</v>
      </c>
      <c r="F32" s="61" t="s">
        <v>143</v>
      </c>
      <c r="G32" s="61" t="str">
        <f t="shared" ca="1" si="0"/>
        <v>--- Select ---</v>
      </c>
      <c r="H32" s="62" t="s">
        <v>853</v>
      </c>
      <c r="I32" s="62" t="s">
        <v>852</v>
      </c>
      <c r="J32" s="62" t="s">
        <v>852</v>
      </c>
      <c r="L32" s="64" t="str">
        <f t="shared" si="3"/>
        <v>1.10.1</v>
      </c>
      <c r="M32" s="64" t="str">
        <f t="shared" si="1"/>
        <v>V1</v>
      </c>
      <c r="N32" s="64" t="str">
        <f t="shared" si="2"/>
        <v>V1.10</v>
      </c>
      <c r="O32" s="64" t="str">
        <f t="shared" si="4"/>
        <v>Verify that a source code control system is in use, with procedures to ensure that check-ins are accompanied by issues or change tickets. The source code control system should have access control and identifiable users to allow traceability of any changes.</v>
      </c>
      <c r="P32" s="64" t="str">
        <f t="shared" ca="1" si="5"/>
        <v>--- Select ---</v>
      </c>
      <c r="Q32" s="63" t="str">
        <f t="shared" si="6"/>
        <v>N</v>
      </c>
      <c r="R32" s="63" t="str">
        <f t="shared" si="7"/>
        <v>Y</v>
      </c>
      <c r="S32" s="63" t="str">
        <f t="shared" si="8"/>
        <v>Y</v>
      </c>
    </row>
    <row r="33" spans="1:19" x14ac:dyDescent="0.35">
      <c r="A33" s="63" t="s">
        <v>40</v>
      </c>
      <c r="B33" s="61" t="s">
        <v>172</v>
      </c>
      <c r="C33" s="63" t="s">
        <v>144</v>
      </c>
      <c r="D33" s="61" t="s">
        <v>145</v>
      </c>
      <c r="E33" s="63" t="s">
        <v>146</v>
      </c>
      <c r="F33" s="61" t="s">
        <v>147</v>
      </c>
      <c r="G33" s="61" t="str">
        <f t="shared" ca="1" si="0"/>
        <v>--- Select ---</v>
      </c>
      <c r="H33" s="62" t="s">
        <v>853</v>
      </c>
      <c r="I33" s="62" t="s">
        <v>852</v>
      </c>
      <c r="J33" s="62" t="s">
        <v>852</v>
      </c>
      <c r="L33" s="64" t="str">
        <f t="shared" si="3"/>
        <v>1.11.1</v>
      </c>
      <c r="M33" s="64" t="str">
        <f t="shared" si="1"/>
        <v>V1</v>
      </c>
      <c r="N33" s="64" t="str">
        <f t="shared" si="2"/>
        <v>V1.11</v>
      </c>
      <c r="O33" s="64" t="str">
        <f t="shared" si="4"/>
        <v>Verify the definition and documentation of all application components in terms of the business or security functions they provide.</v>
      </c>
      <c r="P33" s="64" t="str">
        <f t="shared" ca="1" si="5"/>
        <v>--- Select ---</v>
      </c>
      <c r="Q33" s="63" t="str">
        <f t="shared" si="6"/>
        <v>N</v>
      </c>
      <c r="R33" s="63" t="str">
        <f t="shared" si="7"/>
        <v>Y</v>
      </c>
      <c r="S33" s="63" t="str">
        <f t="shared" si="8"/>
        <v>Y</v>
      </c>
    </row>
    <row r="34" spans="1:19" x14ac:dyDescent="0.35">
      <c r="A34" s="63" t="s">
        <v>40</v>
      </c>
      <c r="B34" s="61" t="s">
        <v>172</v>
      </c>
      <c r="C34" s="63" t="s">
        <v>144</v>
      </c>
      <c r="D34" s="61" t="s">
        <v>145</v>
      </c>
      <c r="E34" s="63" t="s">
        <v>148</v>
      </c>
      <c r="F34" s="61" t="s">
        <v>149</v>
      </c>
      <c r="G34" s="61" t="str">
        <f t="shared" ca="1" si="0"/>
        <v>--- Select ---</v>
      </c>
      <c r="H34" s="62" t="s">
        <v>853</v>
      </c>
      <c r="I34" s="62" t="s">
        <v>852</v>
      </c>
      <c r="J34" s="62" t="s">
        <v>852</v>
      </c>
      <c r="L34" s="64" t="str">
        <f t="shared" si="3"/>
        <v>1.11.2</v>
      </c>
      <c r="M34" s="64" t="str">
        <f t="shared" si="1"/>
        <v>V1</v>
      </c>
      <c r="N34" s="64" t="str">
        <f t="shared" si="2"/>
        <v>V1.11</v>
      </c>
      <c r="O34" s="64" t="str">
        <f t="shared" si="4"/>
        <v>Verify that all high-value business logic flows, including authentication, session management and access control, do not share unsynchronized state.</v>
      </c>
      <c r="P34" s="64" t="str">
        <f t="shared" ca="1" si="5"/>
        <v>--- Select ---</v>
      </c>
      <c r="Q34" s="63" t="str">
        <f t="shared" si="6"/>
        <v>N</v>
      </c>
      <c r="R34" s="63" t="str">
        <f t="shared" si="7"/>
        <v>Y</v>
      </c>
      <c r="S34" s="63" t="str">
        <f t="shared" si="8"/>
        <v>Y</v>
      </c>
    </row>
    <row r="35" spans="1:19" x14ac:dyDescent="0.35">
      <c r="A35" s="63" t="s">
        <v>40</v>
      </c>
      <c r="B35" s="61" t="s">
        <v>172</v>
      </c>
      <c r="C35" s="63" t="s">
        <v>144</v>
      </c>
      <c r="D35" s="61" t="s">
        <v>145</v>
      </c>
      <c r="E35" s="63" t="s">
        <v>150</v>
      </c>
      <c r="F35" s="61" t="s">
        <v>151</v>
      </c>
      <c r="G35" s="61" t="str">
        <f t="shared" ca="1" si="0"/>
        <v>--- Select ---</v>
      </c>
      <c r="H35" s="62" t="s">
        <v>853</v>
      </c>
      <c r="I35" s="62" t="s">
        <v>853</v>
      </c>
      <c r="J35" s="62" t="s">
        <v>852</v>
      </c>
      <c r="L35" s="64" t="str">
        <f t="shared" si="3"/>
        <v>1.11.3</v>
      </c>
      <c r="M35" s="64" t="str">
        <f t="shared" si="1"/>
        <v>V1</v>
      </c>
      <c r="N35" s="64" t="str">
        <f t="shared" si="2"/>
        <v>V1.11</v>
      </c>
      <c r="O35" s="64" t="str">
        <f t="shared" si="4"/>
        <v>Verify that all high-value business logic flows, including authentication, session management and access control are thread safe and resistant to time-of-check and time-of-use race conditions.</v>
      </c>
      <c r="P35" s="64" t="str">
        <f t="shared" ca="1" si="5"/>
        <v>--- Select ---</v>
      </c>
      <c r="Q35" s="63" t="str">
        <f t="shared" si="6"/>
        <v>N</v>
      </c>
      <c r="R35" s="63" t="str">
        <f t="shared" si="7"/>
        <v>N</v>
      </c>
      <c r="S35" s="63" t="str">
        <f t="shared" si="8"/>
        <v>Y</v>
      </c>
    </row>
    <row r="36" spans="1:19" x14ac:dyDescent="0.35">
      <c r="A36" s="63" t="s">
        <v>40</v>
      </c>
      <c r="B36" s="61" t="s">
        <v>172</v>
      </c>
      <c r="C36" s="63" t="s">
        <v>152</v>
      </c>
      <c r="D36" s="61" t="s">
        <v>153</v>
      </c>
      <c r="E36" s="63" t="s">
        <v>154</v>
      </c>
      <c r="F36" s="61" t="s">
        <v>155</v>
      </c>
      <c r="G36" s="61" t="str">
        <f t="shared" ca="1" si="0"/>
        <v>--- Select ---</v>
      </c>
      <c r="H36" s="62" t="s">
        <v>853</v>
      </c>
      <c r="I36" s="62" t="s">
        <v>852</v>
      </c>
      <c r="J36" s="62" t="s">
        <v>852</v>
      </c>
      <c r="L36" s="64" t="str">
        <f t="shared" si="3"/>
        <v>1.12.1</v>
      </c>
      <c r="M36" s="64" t="str">
        <f t="shared" si="1"/>
        <v>V1</v>
      </c>
      <c r="N36" s="64" t="str">
        <f t="shared" si="2"/>
        <v>V1.12</v>
      </c>
      <c r="O36" s="64" t="str">
        <f t="shared" si="4"/>
        <v>Verify that user-uploaded files are stored outside of the web root.</v>
      </c>
      <c r="P36" s="64" t="str">
        <f t="shared" ca="1" si="5"/>
        <v>--- Select ---</v>
      </c>
      <c r="Q36" s="63" t="str">
        <f t="shared" si="6"/>
        <v>N</v>
      </c>
      <c r="R36" s="63" t="str">
        <f t="shared" si="7"/>
        <v>Y</v>
      </c>
      <c r="S36" s="63" t="str">
        <f t="shared" si="8"/>
        <v>Y</v>
      </c>
    </row>
    <row r="37" spans="1:19" x14ac:dyDescent="0.35">
      <c r="A37" s="63" t="s">
        <v>40</v>
      </c>
      <c r="B37" s="61" t="s">
        <v>172</v>
      </c>
      <c r="C37" s="63" t="s">
        <v>152</v>
      </c>
      <c r="D37" s="61" t="s">
        <v>153</v>
      </c>
      <c r="E37" s="63" t="s">
        <v>156</v>
      </c>
      <c r="F37" s="61" t="s">
        <v>157</v>
      </c>
      <c r="G37" s="61" t="str">
        <f t="shared" ca="1" si="0"/>
        <v>--- Select ---</v>
      </c>
      <c r="H37" s="62" t="s">
        <v>853</v>
      </c>
      <c r="I37" s="62" t="s">
        <v>852</v>
      </c>
      <c r="J37" s="62" t="s">
        <v>852</v>
      </c>
      <c r="L37" s="64" t="str">
        <f t="shared" si="3"/>
        <v>1.12.2</v>
      </c>
      <c r="M37" s="64" t="str">
        <f t="shared" si="1"/>
        <v>V1</v>
      </c>
      <c r="N37" s="64" t="str">
        <f t="shared" si="2"/>
        <v>V1.12</v>
      </c>
      <c r="O37" s="64" t="str">
        <f t="shared" si="4"/>
        <v>Verify that user-uploaded files - if required to be displayed or downloaded from the application - are served by either octet stream downloads, or from an unrelated domain, such as a cloud file storage bucket. Implement a suitable content security policy to reduce the risk from XSS vectors or other attacks from the uploaded file.</v>
      </c>
      <c r="P37" s="64" t="str">
        <f t="shared" ca="1" si="5"/>
        <v>--- Select ---</v>
      </c>
      <c r="Q37" s="63" t="str">
        <f t="shared" si="6"/>
        <v>N</v>
      </c>
      <c r="R37" s="63" t="str">
        <f t="shared" si="7"/>
        <v>Y</v>
      </c>
      <c r="S37" s="63" t="str">
        <f t="shared" si="8"/>
        <v>Y</v>
      </c>
    </row>
    <row r="38" spans="1:19" x14ac:dyDescent="0.35">
      <c r="A38" s="63" t="s">
        <v>40</v>
      </c>
      <c r="B38" s="61" t="s">
        <v>172</v>
      </c>
      <c r="C38" s="63" t="s">
        <v>158</v>
      </c>
      <c r="D38" s="61" t="s">
        <v>159</v>
      </c>
      <c r="E38" s="63" t="s">
        <v>160</v>
      </c>
      <c r="F38" s="61" t="s">
        <v>161</v>
      </c>
      <c r="G38" s="61" t="str">
        <f t="shared" ca="1" si="0"/>
        <v>--- Select ---</v>
      </c>
      <c r="H38" s="62" t="s">
        <v>853</v>
      </c>
      <c r="I38" s="62" t="s">
        <v>852</v>
      </c>
      <c r="J38" s="62" t="s">
        <v>852</v>
      </c>
      <c r="L38" s="64" t="str">
        <f t="shared" si="3"/>
        <v>1.14.1</v>
      </c>
      <c r="M38" s="64" t="str">
        <f t="shared" si="1"/>
        <v>V1</v>
      </c>
      <c r="N38" s="64" t="str">
        <f t="shared" si="2"/>
        <v>V1.14</v>
      </c>
      <c r="O38" s="64" t="str">
        <f t="shared" si="4"/>
        <v>Verify the segregation of components of differing trust levels through well-defined security controls, firewall rules, API gateways, reverse proxies, cloud-based security groups, or similar mechanisms.</v>
      </c>
      <c r="P38" s="64" t="str">
        <f t="shared" ca="1" si="5"/>
        <v>--- Select ---</v>
      </c>
      <c r="Q38" s="63" t="str">
        <f t="shared" si="6"/>
        <v>N</v>
      </c>
      <c r="R38" s="63" t="str">
        <f t="shared" si="7"/>
        <v>Y</v>
      </c>
      <c r="S38" s="63" t="str">
        <f t="shared" si="8"/>
        <v>Y</v>
      </c>
    </row>
    <row r="39" spans="1:19" x14ac:dyDescent="0.35">
      <c r="A39" s="63" t="s">
        <v>40</v>
      </c>
      <c r="B39" s="61" t="s">
        <v>172</v>
      </c>
      <c r="C39" s="63" t="s">
        <v>158</v>
      </c>
      <c r="D39" s="61" t="s">
        <v>159</v>
      </c>
      <c r="E39" s="63" t="s">
        <v>162</v>
      </c>
      <c r="F39" s="61" t="s">
        <v>163</v>
      </c>
      <c r="G39" s="61" t="str">
        <f t="shared" ca="1" si="0"/>
        <v>--- Select ---</v>
      </c>
      <c r="H39" s="62" t="s">
        <v>853</v>
      </c>
      <c r="I39" s="62" t="s">
        <v>852</v>
      </c>
      <c r="J39" s="62" t="s">
        <v>852</v>
      </c>
      <c r="L39" s="64" t="str">
        <f t="shared" si="3"/>
        <v>1.14.2</v>
      </c>
      <c r="M39" s="64" t="str">
        <f t="shared" si="1"/>
        <v>V1</v>
      </c>
      <c r="N39" s="64" t="str">
        <f t="shared" si="2"/>
        <v>V1.14</v>
      </c>
      <c r="O39" s="64" t="str">
        <f t="shared" si="4"/>
        <v>Verify that if deploying binaries to untrusted devices makes use of binary signatures, trusted connections, and verified endpoints.</v>
      </c>
      <c r="P39" s="64" t="str">
        <f t="shared" ca="1" si="5"/>
        <v>--- Select ---</v>
      </c>
      <c r="Q39" s="63" t="str">
        <f t="shared" si="6"/>
        <v>N</v>
      </c>
      <c r="R39" s="63" t="str">
        <f t="shared" si="7"/>
        <v>Y</v>
      </c>
      <c r="S39" s="63" t="str">
        <f t="shared" si="8"/>
        <v>Y</v>
      </c>
    </row>
    <row r="40" spans="1:19" x14ac:dyDescent="0.35">
      <c r="A40" s="63" t="s">
        <v>40</v>
      </c>
      <c r="B40" s="61" t="s">
        <v>172</v>
      </c>
      <c r="C40" s="63" t="s">
        <v>158</v>
      </c>
      <c r="D40" s="61" t="s">
        <v>159</v>
      </c>
      <c r="E40" s="63" t="s">
        <v>164</v>
      </c>
      <c r="F40" s="61" t="s">
        <v>165</v>
      </c>
      <c r="G40" s="61" t="str">
        <f t="shared" ca="1" si="0"/>
        <v>--- Select ---</v>
      </c>
      <c r="H40" s="62" t="s">
        <v>853</v>
      </c>
      <c r="I40" s="62" t="s">
        <v>852</v>
      </c>
      <c r="J40" s="62" t="s">
        <v>852</v>
      </c>
      <c r="L40" s="64" t="str">
        <f t="shared" si="3"/>
        <v>1.14.3</v>
      </c>
      <c r="M40" s="64" t="str">
        <f t="shared" si="1"/>
        <v>V1</v>
      </c>
      <c r="N40" s="64" t="str">
        <f t="shared" si="2"/>
        <v>V1.14</v>
      </c>
      <c r="O40" s="64" t="str">
        <f t="shared" si="4"/>
        <v>Verify that the build pipeline warns of out-of-date or insecure components and takes appropriate actions.</v>
      </c>
      <c r="P40" s="64" t="str">
        <f t="shared" ca="1" si="5"/>
        <v>--- Select ---</v>
      </c>
      <c r="Q40" s="63" t="str">
        <f t="shared" si="6"/>
        <v>N</v>
      </c>
      <c r="R40" s="63" t="str">
        <f t="shared" si="7"/>
        <v>Y</v>
      </c>
      <c r="S40" s="63" t="str">
        <f t="shared" si="8"/>
        <v>Y</v>
      </c>
    </row>
    <row r="41" spans="1:19" x14ac:dyDescent="0.35">
      <c r="A41" s="63" t="s">
        <v>40</v>
      </c>
      <c r="B41" s="61" t="s">
        <v>172</v>
      </c>
      <c r="C41" s="63" t="s">
        <v>158</v>
      </c>
      <c r="D41" s="61" t="s">
        <v>159</v>
      </c>
      <c r="E41" s="63" t="s">
        <v>166</v>
      </c>
      <c r="F41" s="61" t="s">
        <v>167</v>
      </c>
      <c r="G41" s="61" t="str">
        <f t="shared" ca="1" si="0"/>
        <v>--- Select ---</v>
      </c>
      <c r="H41" s="62" t="s">
        <v>853</v>
      </c>
      <c r="I41" s="62" t="s">
        <v>852</v>
      </c>
      <c r="J41" s="62" t="s">
        <v>852</v>
      </c>
      <c r="L41" s="64" t="str">
        <f t="shared" si="3"/>
        <v>1.14.4</v>
      </c>
      <c r="M41" s="64" t="str">
        <f t="shared" si="1"/>
        <v>V1</v>
      </c>
      <c r="N41" s="64" t="str">
        <f t="shared" si="2"/>
        <v>V1.14</v>
      </c>
      <c r="O41" s="64" t="str">
        <f t="shared" si="4"/>
        <v>Verify that the build pipeline contains a build step to automatically build and verify the secure deployment of the application, particularly if the application infrastructure is software defined, such as cloud environment build scripts.</v>
      </c>
      <c r="P41" s="64" t="str">
        <f t="shared" ca="1" si="5"/>
        <v>--- Select ---</v>
      </c>
      <c r="Q41" s="63" t="str">
        <f t="shared" si="6"/>
        <v>N</v>
      </c>
      <c r="R41" s="63" t="str">
        <f t="shared" si="7"/>
        <v>Y</v>
      </c>
      <c r="S41" s="63" t="str">
        <f t="shared" si="8"/>
        <v>Y</v>
      </c>
    </row>
    <row r="42" spans="1:19" x14ac:dyDescent="0.35">
      <c r="A42" s="63" t="s">
        <v>40</v>
      </c>
      <c r="B42" s="61" t="s">
        <v>172</v>
      </c>
      <c r="C42" s="63" t="s">
        <v>158</v>
      </c>
      <c r="D42" s="61" t="s">
        <v>159</v>
      </c>
      <c r="E42" s="63" t="s">
        <v>168</v>
      </c>
      <c r="F42" s="61" t="s">
        <v>169</v>
      </c>
      <c r="G42" s="61" t="str">
        <f t="shared" ca="1" si="0"/>
        <v>--- Select ---</v>
      </c>
      <c r="H42" s="62" t="s">
        <v>853</v>
      </c>
      <c r="I42" s="62" t="s">
        <v>852</v>
      </c>
      <c r="J42" s="62" t="s">
        <v>852</v>
      </c>
      <c r="L42" s="64" t="str">
        <f t="shared" si="3"/>
        <v>1.14.5</v>
      </c>
      <c r="M42" s="64" t="str">
        <f t="shared" si="1"/>
        <v>V1</v>
      </c>
      <c r="N42" s="64" t="str">
        <f t="shared" si="2"/>
        <v>V1.14</v>
      </c>
      <c r="O42" s="64" t="str">
        <f t="shared" si="4"/>
        <v>Verify that application deployments adequately sandbox, containerize and/or isolate at the network level to delay and deter attackers from attacking other applications, especially when they are performing sensitive or dangerous actions such as deserialization. (C5)</v>
      </c>
      <c r="P42" s="64" t="str">
        <f t="shared" ca="1" si="5"/>
        <v>--- Select ---</v>
      </c>
      <c r="Q42" s="63" t="str">
        <f t="shared" si="6"/>
        <v>N</v>
      </c>
      <c r="R42" s="63" t="str">
        <f t="shared" si="7"/>
        <v>Y</v>
      </c>
      <c r="S42" s="63" t="str">
        <f t="shared" si="8"/>
        <v>Y</v>
      </c>
    </row>
    <row r="43" spans="1:19" x14ac:dyDescent="0.35">
      <c r="A43" s="63" t="s">
        <v>40</v>
      </c>
      <c r="B43" s="61" t="s">
        <v>172</v>
      </c>
      <c r="C43" s="63" t="s">
        <v>158</v>
      </c>
      <c r="D43" s="61" t="s">
        <v>159</v>
      </c>
      <c r="E43" s="63" t="s">
        <v>170</v>
      </c>
      <c r="F43" s="61" t="s">
        <v>171</v>
      </c>
      <c r="G43" s="61" t="str">
        <f t="shared" ca="1" si="0"/>
        <v>--- Select ---</v>
      </c>
      <c r="H43" s="62" t="s">
        <v>853</v>
      </c>
      <c r="I43" s="62" t="s">
        <v>852</v>
      </c>
      <c r="J43" s="62" t="s">
        <v>852</v>
      </c>
      <c r="L43" s="64" t="str">
        <f t="shared" si="3"/>
        <v>1.14.6</v>
      </c>
      <c r="M43" s="64" t="str">
        <f t="shared" si="1"/>
        <v>V1</v>
      </c>
      <c r="N43" s="64" t="str">
        <f t="shared" si="2"/>
        <v>V1.14</v>
      </c>
      <c r="O43" s="64" t="str">
        <f t="shared" si="4"/>
        <v>Verify the application does not use unsupported, insecure, or deprecated client-side technologies such as NSAPI plugins, Flash, Shockwave, ActiveX, Silverlight, NACL, or client-side Java applets.</v>
      </c>
      <c r="P43" s="64" t="str">
        <f t="shared" ca="1" si="5"/>
        <v>--- Select ---</v>
      </c>
      <c r="Q43" s="63" t="str">
        <f t="shared" si="6"/>
        <v>N</v>
      </c>
      <c r="R43" s="63" t="str">
        <f t="shared" si="7"/>
        <v>Y</v>
      </c>
      <c r="S43" s="63" t="str">
        <f t="shared" si="8"/>
        <v>Y</v>
      </c>
    </row>
    <row r="44" spans="1:19" x14ac:dyDescent="0.35">
      <c r="A44" s="63" t="s">
        <v>41</v>
      </c>
      <c r="B44" s="61" t="s">
        <v>174</v>
      </c>
      <c r="C44" s="63" t="s">
        <v>175</v>
      </c>
      <c r="D44" s="61" t="s">
        <v>176</v>
      </c>
      <c r="E44" s="63" t="s">
        <v>177</v>
      </c>
      <c r="F44" s="61" t="s">
        <v>178</v>
      </c>
      <c r="G44" s="61" t="str">
        <f t="shared" ca="1" si="0"/>
        <v>--- Select ---</v>
      </c>
      <c r="H44" s="62" t="s">
        <v>852</v>
      </c>
      <c r="I44" s="62" t="s">
        <v>852</v>
      </c>
      <c r="J44" s="62" t="s">
        <v>852</v>
      </c>
      <c r="L44" s="64" t="str">
        <f t="shared" si="3"/>
        <v>2.1.1</v>
      </c>
      <c r="M44" s="64" t="str">
        <f t="shared" si="1"/>
        <v>V2</v>
      </c>
      <c r="N44" s="64" t="str">
        <f t="shared" si="2"/>
        <v>V2.1</v>
      </c>
      <c r="O44" s="64" t="str">
        <f t="shared" si="4"/>
        <v>Verify that user set passwords are at least 12 characters in length. (C6)</v>
      </c>
      <c r="P44" s="64" t="str">
        <f t="shared" ca="1" si="5"/>
        <v>--- Select ---</v>
      </c>
      <c r="Q44" s="63" t="str">
        <f t="shared" si="6"/>
        <v>Y</v>
      </c>
      <c r="R44" s="63" t="str">
        <f t="shared" si="7"/>
        <v>Y</v>
      </c>
      <c r="S44" s="63" t="str">
        <f t="shared" si="8"/>
        <v>Y</v>
      </c>
    </row>
    <row r="45" spans="1:19" x14ac:dyDescent="0.35">
      <c r="A45" s="63" t="s">
        <v>41</v>
      </c>
      <c r="B45" s="61" t="s">
        <v>174</v>
      </c>
      <c r="C45" s="63" t="s">
        <v>175</v>
      </c>
      <c r="D45" s="61" t="s">
        <v>176</v>
      </c>
      <c r="E45" s="63" t="s">
        <v>180</v>
      </c>
      <c r="F45" s="61" t="s">
        <v>181</v>
      </c>
      <c r="G45" s="61" t="str">
        <f t="shared" ca="1" si="0"/>
        <v>--- Select ---</v>
      </c>
      <c r="H45" s="62" t="s">
        <v>852</v>
      </c>
      <c r="I45" s="62" t="s">
        <v>852</v>
      </c>
      <c r="J45" s="62" t="s">
        <v>852</v>
      </c>
      <c r="L45" s="64" t="str">
        <f t="shared" si="3"/>
        <v>2.1.2</v>
      </c>
      <c r="M45" s="64" t="str">
        <f t="shared" si="1"/>
        <v>V2</v>
      </c>
      <c r="N45" s="64" t="str">
        <f t="shared" si="2"/>
        <v>V2.1</v>
      </c>
      <c r="O45" s="64" t="str">
        <f t="shared" si="4"/>
        <v>Verify that passwords 64 characters or longer are permitted. (C6)</v>
      </c>
      <c r="P45" s="64" t="str">
        <f t="shared" ca="1" si="5"/>
        <v>--- Select ---</v>
      </c>
      <c r="Q45" s="63" t="str">
        <f t="shared" si="6"/>
        <v>Y</v>
      </c>
      <c r="R45" s="63" t="str">
        <f t="shared" si="7"/>
        <v>Y</v>
      </c>
      <c r="S45" s="63" t="str">
        <f t="shared" si="8"/>
        <v>Y</v>
      </c>
    </row>
    <row r="46" spans="1:19" x14ac:dyDescent="0.35">
      <c r="A46" s="63" t="s">
        <v>41</v>
      </c>
      <c r="B46" s="61" t="s">
        <v>174</v>
      </c>
      <c r="C46" s="63" t="s">
        <v>175</v>
      </c>
      <c r="D46" s="61" t="s">
        <v>176</v>
      </c>
      <c r="E46" s="63" t="s">
        <v>182</v>
      </c>
      <c r="F46" s="61" t="s">
        <v>183</v>
      </c>
      <c r="G46" s="61" t="str">
        <f t="shared" ca="1" si="0"/>
        <v>--- Select ---</v>
      </c>
      <c r="H46" s="62" t="s">
        <v>852</v>
      </c>
      <c r="I46" s="62" t="s">
        <v>852</v>
      </c>
      <c r="J46" s="62" t="s">
        <v>852</v>
      </c>
      <c r="L46" s="64" t="str">
        <f t="shared" si="3"/>
        <v>2.1.3</v>
      </c>
      <c r="M46" s="64" t="str">
        <f t="shared" si="1"/>
        <v>V2</v>
      </c>
      <c r="N46" s="64" t="str">
        <f t="shared" si="2"/>
        <v>V2.1</v>
      </c>
      <c r="O46" s="64" t="str">
        <f t="shared" si="4"/>
        <v>Verify that passwords can contain spaces and truncation is not performed. Consecutive multiple spaces MAY optionally be coalesced. (C6)</v>
      </c>
      <c r="P46" s="64" t="str">
        <f t="shared" ca="1" si="5"/>
        <v>--- Select ---</v>
      </c>
      <c r="Q46" s="63" t="str">
        <f t="shared" si="6"/>
        <v>Y</v>
      </c>
      <c r="R46" s="63" t="str">
        <f t="shared" si="7"/>
        <v>Y</v>
      </c>
      <c r="S46" s="63" t="str">
        <f t="shared" si="8"/>
        <v>Y</v>
      </c>
    </row>
    <row r="47" spans="1:19" x14ac:dyDescent="0.35">
      <c r="A47" s="63" t="s">
        <v>41</v>
      </c>
      <c r="B47" s="61" t="s">
        <v>174</v>
      </c>
      <c r="C47" s="63" t="s">
        <v>175</v>
      </c>
      <c r="D47" s="61" t="s">
        <v>176</v>
      </c>
      <c r="E47" s="63" t="s">
        <v>184</v>
      </c>
      <c r="F47" s="61" t="s">
        <v>185</v>
      </c>
      <c r="G47" s="61" t="str">
        <f t="shared" ca="1" si="0"/>
        <v>--- Select ---</v>
      </c>
      <c r="H47" s="62" t="s">
        <v>852</v>
      </c>
      <c r="I47" s="62" t="s">
        <v>852</v>
      </c>
      <c r="J47" s="62" t="s">
        <v>852</v>
      </c>
      <c r="L47" s="64" t="str">
        <f t="shared" si="3"/>
        <v>2.1.4</v>
      </c>
      <c r="M47" s="64" t="str">
        <f t="shared" si="1"/>
        <v>V2</v>
      </c>
      <c r="N47" s="64" t="str">
        <f t="shared" si="2"/>
        <v>V2.1</v>
      </c>
      <c r="O47" s="64" t="str">
        <f t="shared" si="4"/>
        <v>Verify that Unicode characters are permitted in passwords. A single Unicode code point is considered a character, so 12 emoji or 64 kanji characters should be valid and permitted.</v>
      </c>
      <c r="P47" s="64" t="str">
        <f t="shared" ca="1" si="5"/>
        <v>--- Select ---</v>
      </c>
      <c r="Q47" s="63" t="str">
        <f t="shared" si="6"/>
        <v>Y</v>
      </c>
      <c r="R47" s="63" t="str">
        <f t="shared" si="7"/>
        <v>Y</v>
      </c>
      <c r="S47" s="63" t="str">
        <f t="shared" si="8"/>
        <v>Y</v>
      </c>
    </row>
    <row r="48" spans="1:19" x14ac:dyDescent="0.35">
      <c r="A48" s="63" t="s">
        <v>41</v>
      </c>
      <c r="B48" s="61" t="s">
        <v>174</v>
      </c>
      <c r="C48" s="63" t="s">
        <v>175</v>
      </c>
      <c r="D48" s="61" t="s">
        <v>176</v>
      </c>
      <c r="E48" s="63" t="s">
        <v>186</v>
      </c>
      <c r="F48" s="61" t="s">
        <v>187</v>
      </c>
      <c r="G48" s="61" t="str">
        <f t="shared" ca="1" si="0"/>
        <v>--- Select ---</v>
      </c>
      <c r="H48" s="62" t="s">
        <v>852</v>
      </c>
      <c r="I48" s="62" t="s">
        <v>852</v>
      </c>
      <c r="J48" s="62" t="s">
        <v>852</v>
      </c>
      <c r="L48" s="64" t="str">
        <f t="shared" si="3"/>
        <v>2.1.5</v>
      </c>
      <c r="M48" s="64" t="str">
        <f t="shared" si="1"/>
        <v>V2</v>
      </c>
      <c r="N48" s="64" t="str">
        <f t="shared" si="2"/>
        <v>V2.1</v>
      </c>
      <c r="O48" s="64" t="str">
        <f t="shared" si="4"/>
        <v>Verify users can change their password.</v>
      </c>
      <c r="P48" s="64" t="str">
        <f t="shared" ca="1" si="5"/>
        <v>--- Select ---</v>
      </c>
      <c r="Q48" s="63" t="str">
        <f t="shared" si="6"/>
        <v>Y</v>
      </c>
      <c r="R48" s="63" t="str">
        <f t="shared" si="7"/>
        <v>Y</v>
      </c>
      <c r="S48" s="63" t="str">
        <f t="shared" si="8"/>
        <v>Y</v>
      </c>
    </row>
    <row r="49" spans="1:19" x14ac:dyDescent="0.35">
      <c r="A49" s="63" t="s">
        <v>41</v>
      </c>
      <c r="B49" s="61" t="s">
        <v>174</v>
      </c>
      <c r="C49" s="63" t="s">
        <v>175</v>
      </c>
      <c r="D49" s="61" t="s">
        <v>176</v>
      </c>
      <c r="E49" s="63" t="s">
        <v>188</v>
      </c>
      <c r="F49" s="61" t="s">
        <v>189</v>
      </c>
      <c r="G49" s="61" t="str">
        <f t="shared" ca="1" si="0"/>
        <v>--- Select ---</v>
      </c>
      <c r="H49" s="62" t="s">
        <v>852</v>
      </c>
      <c r="I49" s="62" t="s">
        <v>852</v>
      </c>
      <c r="J49" s="62" t="s">
        <v>852</v>
      </c>
      <c r="L49" s="64" t="str">
        <f t="shared" si="3"/>
        <v>2.1.6</v>
      </c>
      <c r="M49" s="64" t="str">
        <f t="shared" si="1"/>
        <v>V2</v>
      </c>
      <c r="N49" s="64" t="str">
        <f t="shared" si="2"/>
        <v>V2.1</v>
      </c>
      <c r="O49" s="64" t="str">
        <f t="shared" si="4"/>
        <v>Verify that password change functionality requires the user's current and new password.</v>
      </c>
      <c r="P49" s="64" t="str">
        <f t="shared" ca="1" si="5"/>
        <v>--- Select ---</v>
      </c>
      <c r="Q49" s="63" t="str">
        <f t="shared" si="6"/>
        <v>Y</v>
      </c>
      <c r="R49" s="63" t="str">
        <f t="shared" si="7"/>
        <v>Y</v>
      </c>
      <c r="S49" s="63" t="str">
        <f t="shared" si="8"/>
        <v>Y</v>
      </c>
    </row>
    <row r="50" spans="1:19" x14ac:dyDescent="0.35">
      <c r="A50" s="63" t="s">
        <v>41</v>
      </c>
      <c r="B50" s="61" t="s">
        <v>174</v>
      </c>
      <c r="C50" s="63" t="s">
        <v>175</v>
      </c>
      <c r="D50" s="61" t="s">
        <v>176</v>
      </c>
      <c r="E50" s="63" t="s">
        <v>190</v>
      </c>
      <c r="F50" s="61" t="s">
        <v>191</v>
      </c>
      <c r="G50" s="61" t="str">
        <f t="shared" ca="1" si="0"/>
        <v>--- Select ---</v>
      </c>
      <c r="H50" s="62" t="s">
        <v>852</v>
      </c>
      <c r="I50" s="62" t="s">
        <v>852</v>
      </c>
      <c r="J50" s="62" t="s">
        <v>852</v>
      </c>
      <c r="L50" s="64" t="str">
        <f t="shared" si="3"/>
        <v>2.1.7</v>
      </c>
      <c r="M50" s="64" t="str">
        <f t="shared" si="1"/>
        <v>V2</v>
      </c>
      <c r="N50" s="64" t="str">
        <f t="shared" si="2"/>
        <v>V2.1</v>
      </c>
      <c r="O50" s="64" t="str">
        <f t="shared" si="4"/>
        <v>Verify that passwords submitted during account registration, login, and password change are checked against a set of breached passwords either locally (such as the top 1,000 or 10,000 most common passwords which match the system's password policy) or using an external API. If using an API a zero knowledge proof or other mechanism should be used to ensure that the plain text password is not sent or used in verifying the breach status of the password. If the password is breached, the application must require the user to set a new non-breached password. (C6)</v>
      </c>
      <c r="P50" s="64" t="str">
        <f t="shared" ca="1" si="5"/>
        <v>--- Select ---</v>
      </c>
      <c r="Q50" s="63" t="str">
        <f t="shared" si="6"/>
        <v>Y</v>
      </c>
      <c r="R50" s="63" t="str">
        <f t="shared" si="7"/>
        <v>Y</v>
      </c>
      <c r="S50" s="63" t="str">
        <f t="shared" si="8"/>
        <v>Y</v>
      </c>
    </row>
    <row r="51" spans="1:19" x14ac:dyDescent="0.35">
      <c r="A51" s="63" t="s">
        <v>41</v>
      </c>
      <c r="B51" s="61" t="s">
        <v>174</v>
      </c>
      <c r="C51" s="63" t="s">
        <v>175</v>
      </c>
      <c r="D51" s="61" t="s">
        <v>176</v>
      </c>
      <c r="E51" s="63" t="s">
        <v>192</v>
      </c>
      <c r="F51" s="61" t="s">
        <v>193</v>
      </c>
      <c r="G51" s="61" t="str">
        <f t="shared" ca="1" si="0"/>
        <v>--- Select ---</v>
      </c>
      <c r="H51" s="62" t="s">
        <v>852</v>
      </c>
      <c r="I51" s="62" t="s">
        <v>852</v>
      </c>
      <c r="J51" s="62" t="s">
        <v>852</v>
      </c>
      <c r="L51" s="64" t="str">
        <f t="shared" si="3"/>
        <v>2.1.8</v>
      </c>
      <c r="M51" s="64" t="str">
        <f t="shared" si="1"/>
        <v>V2</v>
      </c>
      <c r="N51" s="64" t="str">
        <f t="shared" si="2"/>
        <v>V2.1</v>
      </c>
      <c r="O51" s="64" t="str">
        <f t="shared" si="4"/>
        <v>Verify that a password strength meter is provided to help users set a stronger password.</v>
      </c>
      <c r="P51" s="64" t="str">
        <f t="shared" ca="1" si="5"/>
        <v>--- Select ---</v>
      </c>
      <c r="Q51" s="63" t="str">
        <f t="shared" si="6"/>
        <v>Y</v>
      </c>
      <c r="R51" s="63" t="str">
        <f t="shared" si="7"/>
        <v>Y</v>
      </c>
      <c r="S51" s="63" t="str">
        <f t="shared" si="8"/>
        <v>Y</v>
      </c>
    </row>
    <row r="52" spans="1:19" x14ac:dyDescent="0.35">
      <c r="A52" s="63" t="s">
        <v>41</v>
      </c>
      <c r="B52" s="61" t="s">
        <v>174</v>
      </c>
      <c r="C52" s="63" t="s">
        <v>175</v>
      </c>
      <c r="D52" s="61" t="s">
        <v>176</v>
      </c>
      <c r="E52" s="63" t="s">
        <v>194</v>
      </c>
      <c r="F52" s="61" t="s">
        <v>195</v>
      </c>
      <c r="G52" s="61" t="str">
        <f t="shared" ca="1" si="0"/>
        <v>--- Select ---</v>
      </c>
      <c r="H52" s="62" t="s">
        <v>852</v>
      </c>
      <c r="I52" s="62" t="s">
        <v>852</v>
      </c>
      <c r="J52" s="62" t="s">
        <v>852</v>
      </c>
      <c r="L52" s="64" t="str">
        <f t="shared" si="3"/>
        <v>2.1.9</v>
      </c>
      <c r="M52" s="64" t="str">
        <f t="shared" si="1"/>
        <v>V2</v>
      </c>
      <c r="N52" s="64" t="str">
        <f t="shared" si="2"/>
        <v>V2.1</v>
      </c>
      <c r="O52" s="64" t="str">
        <f t="shared" si="4"/>
        <v>Verify that there are no password composition rules limiting the type of characters permitted. There should be no requirement for upper or lower case or numbers or special characters. (C6)</v>
      </c>
      <c r="P52" s="64" t="str">
        <f t="shared" ca="1" si="5"/>
        <v>--- Select ---</v>
      </c>
      <c r="Q52" s="63" t="str">
        <f t="shared" si="6"/>
        <v>Y</v>
      </c>
      <c r="R52" s="63" t="str">
        <f t="shared" si="7"/>
        <v>Y</v>
      </c>
      <c r="S52" s="63" t="str">
        <f t="shared" si="8"/>
        <v>Y</v>
      </c>
    </row>
    <row r="53" spans="1:19" x14ac:dyDescent="0.35">
      <c r="A53" s="63" t="s">
        <v>41</v>
      </c>
      <c r="B53" s="61" t="s">
        <v>174</v>
      </c>
      <c r="C53" s="63" t="s">
        <v>175</v>
      </c>
      <c r="D53" s="61" t="s">
        <v>176</v>
      </c>
      <c r="E53" s="63" t="s">
        <v>196</v>
      </c>
      <c r="F53" s="61" t="s">
        <v>197</v>
      </c>
      <c r="G53" s="61" t="str">
        <f t="shared" ca="1" si="0"/>
        <v>--- Select ---</v>
      </c>
      <c r="H53" s="62" t="s">
        <v>852</v>
      </c>
      <c r="I53" s="62" t="s">
        <v>852</v>
      </c>
      <c r="J53" s="62" t="s">
        <v>852</v>
      </c>
      <c r="L53" s="64" t="str">
        <f t="shared" si="3"/>
        <v>2.1.10</v>
      </c>
      <c r="M53" s="64" t="str">
        <f t="shared" si="1"/>
        <v>V2</v>
      </c>
      <c r="N53" s="64" t="str">
        <f t="shared" si="2"/>
        <v>V2.1</v>
      </c>
      <c r="O53" s="64" t="str">
        <f t="shared" si="4"/>
        <v>Verify that there are no periodic credential rotation or password history requirements.</v>
      </c>
      <c r="P53" s="64" t="str">
        <f t="shared" ca="1" si="5"/>
        <v>--- Select ---</v>
      </c>
      <c r="Q53" s="63" t="str">
        <f t="shared" si="6"/>
        <v>Y</v>
      </c>
      <c r="R53" s="63" t="str">
        <f t="shared" si="7"/>
        <v>Y</v>
      </c>
      <c r="S53" s="63" t="str">
        <f t="shared" si="8"/>
        <v>Y</v>
      </c>
    </row>
    <row r="54" spans="1:19" x14ac:dyDescent="0.35">
      <c r="A54" s="63" t="s">
        <v>41</v>
      </c>
      <c r="B54" s="61" t="s">
        <v>174</v>
      </c>
      <c r="C54" s="63" t="s">
        <v>175</v>
      </c>
      <c r="D54" s="61" t="s">
        <v>176</v>
      </c>
      <c r="E54" s="63" t="s">
        <v>198</v>
      </c>
      <c r="F54" s="61" t="s">
        <v>199</v>
      </c>
      <c r="G54" s="61" t="str">
        <f t="shared" ca="1" si="0"/>
        <v>--- Select ---</v>
      </c>
      <c r="H54" s="62" t="s">
        <v>852</v>
      </c>
      <c r="I54" s="62" t="s">
        <v>852</v>
      </c>
      <c r="J54" s="62" t="s">
        <v>852</v>
      </c>
      <c r="L54" s="64" t="str">
        <f t="shared" si="3"/>
        <v>2.1.11</v>
      </c>
      <c r="M54" s="64" t="str">
        <f t="shared" si="1"/>
        <v>V2</v>
      </c>
      <c r="N54" s="64" t="str">
        <f t="shared" si="2"/>
        <v>V2.1</v>
      </c>
      <c r="O54" s="64" t="str">
        <f t="shared" si="4"/>
        <v>Verify that "paste" functionality, browser password helpers, and external password managers are permitted.</v>
      </c>
      <c r="P54" s="64" t="str">
        <f t="shared" ca="1" si="5"/>
        <v>--- Select ---</v>
      </c>
      <c r="Q54" s="63" t="str">
        <f t="shared" si="6"/>
        <v>Y</v>
      </c>
      <c r="R54" s="63" t="str">
        <f t="shared" si="7"/>
        <v>Y</v>
      </c>
      <c r="S54" s="63" t="str">
        <f t="shared" si="8"/>
        <v>Y</v>
      </c>
    </row>
    <row r="55" spans="1:19" x14ac:dyDescent="0.35">
      <c r="A55" s="63" t="s">
        <v>41</v>
      </c>
      <c r="B55" s="61" t="s">
        <v>174</v>
      </c>
      <c r="C55" s="63" t="s">
        <v>175</v>
      </c>
      <c r="D55" s="61" t="s">
        <v>176</v>
      </c>
      <c r="E55" s="63" t="s">
        <v>200</v>
      </c>
      <c r="F55" s="61" t="s">
        <v>201</v>
      </c>
      <c r="G55" s="61" t="str">
        <f t="shared" ca="1" si="0"/>
        <v>--- Select ---</v>
      </c>
      <c r="H55" s="62" t="s">
        <v>852</v>
      </c>
      <c r="I55" s="62" t="s">
        <v>852</v>
      </c>
      <c r="J55" s="62" t="s">
        <v>852</v>
      </c>
      <c r="L55" s="64" t="str">
        <f t="shared" si="3"/>
        <v>2.1.12</v>
      </c>
      <c r="M55" s="64" t="str">
        <f t="shared" si="1"/>
        <v>V2</v>
      </c>
      <c r="N55" s="64" t="str">
        <f t="shared" si="2"/>
        <v>V2.1</v>
      </c>
      <c r="O55" s="64" t="str">
        <f t="shared" si="4"/>
        <v>Verify that the user can choose to either temporarily view the entire masked password, or temporarily view the last typed character of the password on platforms that do not have this as native functionality.</v>
      </c>
      <c r="P55" s="64" t="str">
        <f t="shared" ca="1" si="5"/>
        <v>--- Select ---</v>
      </c>
      <c r="Q55" s="63" t="str">
        <f t="shared" si="6"/>
        <v>Y</v>
      </c>
      <c r="R55" s="63" t="str">
        <f t="shared" si="7"/>
        <v>Y</v>
      </c>
      <c r="S55" s="63" t="str">
        <f t="shared" si="8"/>
        <v>Y</v>
      </c>
    </row>
    <row r="56" spans="1:19" x14ac:dyDescent="0.35">
      <c r="A56" s="63" t="s">
        <v>41</v>
      </c>
      <c r="B56" s="61" t="s">
        <v>174</v>
      </c>
      <c r="C56" s="63" t="s">
        <v>202</v>
      </c>
      <c r="D56" s="61" t="s">
        <v>203</v>
      </c>
      <c r="E56" s="63" t="s">
        <v>204</v>
      </c>
      <c r="F56" s="61" t="s">
        <v>205</v>
      </c>
      <c r="G56" s="61" t="str">
        <f t="shared" ca="1" si="0"/>
        <v>--- Select ---</v>
      </c>
      <c r="H56" s="62" t="s">
        <v>852</v>
      </c>
      <c r="I56" s="62" t="s">
        <v>852</v>
      </c>
      <c r="J56" s="62" t="s">
        <v>852</v>
      </c>
      <c r="L56" s="64" t="str">
        <f t="shared" si="3"/>
        <v>2.2.1</v>
      </c>
      <c r="M56" s="64" t="str">
        <f t="shared" si="1"/>
        <v>V2</v>
      </c>
      <c r="N56" s="64" t="str">
        <f t="shared" si="2"/>
        <v>V2.2</v>
      </c>
      <c r="O56" s="64" t="str">
        <f t="shared" si="4"/>
        <v>Verify that anti-automation controls are effective at mitigating breached credential testing, brute force, and account lockout attacks. Such controls include blocking the most common breached passwords, soft lockouts, rate limiting, CAPTCHA, ever increasing delays between attempts, IP address restrictions, or risk-based restrictions such as location, first login on a device, recent attempts to unlock the account, or similar. Verify that no more than 100 failed attempts per hour is possible on a single account.</v>
      </c>
      <c r="P56" s="64" t="str">
        <f t="shared" ca="1" si="5"/>
        <v>--- Select ---</v>
      </c>
      <c r="Q56" s="63" t="str">
        <f t="shared" si="6"/>
        <v>Y</v>
      </c>
      <c r="R56" s="63" t="str">
        <f t="shared" si="7"/>
        <v>Y</v>
      </c>
      <c r="S56" s="63" t="str">
        <f t="shared" si="8"/>
        <v>Y</v>
      </c>
    </row>
    <row r="57" spans="1:19" x14ac:dyDescent="0.35">
      <c r="A57" s="63" t="s">
        <v>41</v>
      </c>
      <c r="B57" s="61" t="s">
        <v>174</v>
      </c>
      <c r="C57" s="63" t="s">
        <v>202</v>
      </c>
      <c r="D57" s="61" t="s">
        <v>203</v>
      </c>
      <c r="E57" s="63" t="s">
        <v>207</v>
      </c>
      <c r="F57" s="61" t="s">
        <v>208</v>
      </c>
      <c r="G57" s="61" t="str">
        <f t="shared" ca="1" si="0"/>
        <v>--- Select ---</v>
      </c>
      <c r="H57" s="62" t="s">
        <v>852</v>
      </c>
      <c r="I57" s="62" t="s">
        <v>852</v>
      </c>
      <c r="J57" s="62" t="s">
        <v>852</v>
      </c>
      <c r="L57" s="64" t="str">
        <f t="shared" si="3"/>
        <v>2.2.2</v>
      </c>
      <c r="M57" s="64" t="str">
        <f t="shared" si="1"/>
        <v>V2</v>
      </c>
      <c r="N57" s="64" t="str">
        <f t="shared" si="2"/>
        <v>V2.2</v>
      </c>
      <c r="O57" s="64" t="str">
        <f t="shared" si="4"/>
        <v>Verify that the use of weak authenticators (such as SMS and email) is limited to secondary verification and transaction approval and not as a replacement for more secure authentication methods. Verify that stronger methods are offered before weak methods, users are aware of the risks, or that proper measures are in place to limit the risks of account compromise.</v>
      </c>
      <c r="P57" s="64" t="str">
        <f t="shared" ca="1" si="5"/>
        <v>--- Select ---</v>
      </c>
      <c r="Q57" s="63" t="str">
        <f t="shared" si="6"/>
        <v>Y</v>
      </c>
      <c r="R57" s="63" t="str">
        <f t="shared" si="7"/>
        <v>Y</v>
      </c>
      <c r="S57" s="63" t="str">
        <f t="shared" si="8"/>
        <v>Y</v>
      </c>
    </row>
    <row r="58" spans="1:19" x14ac:dyDescent="0.35">
      <c r="A58" s="63" t="s">
        <v>41</v>
      </c>
      <c r="B58" s="61" t="s">
        <v>174</v>
      </c>
      <c r="C58" s="63" t="s">
        <v>202</v>
      </c>
      <c r="D58" s="61" t="s">
        <v>203</v>
      </c>
      <c r="E58" s="63" t="s">
        <v>210</v>
      </c>
      <c r="F58" s="61" t="s">
        <v>211</v>
      </c>
      <c r="G58" s="61" t="str">
        <f t="shared" ca="1" si="0"/>
        <v>--- Select ---</v>
      </c>
      <c r="H58" s="62" t="s">
        <v>852</v>
      </c>
      <c r="I58" s="62" t="s">
        <v>852</v>
      </c>
      <c r="J58" s="62" t="s">
        <v>852</v>
      </c>
      <c r="L58" s="64" t="str">
        <f t="shared" si="3"/>
        <v>2.2.3</v>
      </c>
      <c r="M58" s="64" t="str">
        <f t="shared" si="1"/>
        <v>V2</v>
      </c>
      <c r="N58" s="64" t="str">
        <f t="shared" si="2"/>
        <v>V2.2</v>
      </c>
      <c r="O58" s="64" t="str">
        <f t="shared" si="4"/>
        <v>Verify that secure notifications are sent to users after updates to authentication details, such as credential resets, email or address changes, logging in from unknown or risky locations. The use of push notifications - rather than SMS or email - is preferred, but in the absence of push notifications, SMS or email is acceptable as long as no sensitive information is disclosed in the notification.</v>
      </c>
      <c r="P58" s="64" t="str">
        <f t="shared" ca="1" si="5"/>
        <v>--- Select ---</v>
      </c>
      <c r="Q58" s="63" t="str">
        <f t="shared" si="6"/>
        <v>Y</v>
      </c>
      <c r="R58" s="63" t="str">
        <f t="shared" si="7"/>
        <v>Y</v>
      </c>
      <c r="S58" s="63" t="str">
        <f t="shared" si="8"/>
        <v>Y</v>
      </c>
    </row>
    <row r="59" spans="1:19" x14ac:dyDescent="0.35">
      <c r="A59" s="63" t="s">
        <v>41</v>
      </c>
      <c r="B59" s="61" t="s">
        <v>174</v>
      </c>
      <c r="C59" s="63" t="s">
        <v>202</v>
      </c>
      <c r="D59" s="61" t="s">
        <v>203</v>
      </c>
      <c r="E59" s="63" t="s">
        <v>212</v>
      </c>
      <c r="F59" s="61" t="s">
        <v>213</v>
      </c>
      <c r="G59" s="61" t="str">
        <f t="shared" ca="1" si="0"/>
        <v>--- Select ---</v>
      </c>
      <c r="H59" s="62" t="s">
        <v>853</v>
      </c>
      <c r="I59" s="62" t="s">
        <v>853</v>
      </c>
      <c r="J59" s="62" t="s">
        <v>852</v>
      </c>
      <c r="L59" s="64" t="str">
        <f t="shared" si="3"/>
        <v>2.2.4</v>
      </c>
      <c r="M59" s="64" t="str">
        <f t="shared" si="1"/>
        <v>V2</v>
      </c>
      <c r="N59" s="64" t="str">
        <f t="shared" si="2"/>
        <v>V2.2</v>
      </c>
      <c r="O59" s="64" t="str">
        <f t="shared" si="4"/>
        <v>Verify impersonation resistance against phishing, such as the use of multi-factor authentication, cryptographic devices with intent (such as connected keys with a push to authenticate), or at higher AAL levels, client-side certificates.</v>
      </c>
      <c r="P59" s="64" t="str">
        <f t="shared" ca="1" si="5"/>
        <v>--- Select ---</v>
      </c>
      <c r="Q59" s="63" t="str">
        <f t="shared" si="6"/>
        <v>N</v>
      </c>
      <c r="R59" s="63" t="str">
        <f t="shared" si="7"/>
        <v>N</v>
      </c>
      <c r="S59" s="63" t="str">
        <f t="shared" si="8"/>
        <v>Y</v>
      </c>
    </row>
    <row r="60" spans="1:19" x14ac:dyDescent="0.35">
      <c r="A60" s="63" t="s">
        <v>41</v>
      </c>
      <c r="B60" s="61" t="s">
        <v>174</v>
      </c>
      <c r="C60" s="63" t="s">
        <v>202</v>
      </c>
      <c r="D60" s="61" t="s">
        <v>203</v>
      </c>
      <c r="E60" s="63" t="s">
        <v>215</v>
      </c>
      <c r="F60" s="61" t="s">
        <v>216</v>
      </c>
      <c r="G60" s="61" t="str">
        <f t="shared" ca="1" si="0"/>
        <v>--- Select ---</v>
      </c>
      <c r="H60" s="62" t="s">
        <v>853</v>
      </c>
      <c r="I60" s="62" t="s">
        <v>853</v>
      </c>
      <c r="J60" s="62" t="s">
        <v>852</v>
      </c>
      <c r="L60" s="64" t="str">
        <f t="shared" si="3"/>
        <v>2.2.5</v>
      </c>
      <c r="M60" s="64" t="str">
        <f t="shared" si="1"/>
        <v>V2</v>
      </c>
      <c r="N60" s="64" t="str">
        <f t="shared" si="2"/>
        <v>V2.2</v>
      </c>
      <c r="O60" s="64" t="str">
        <f t="shared" si="4"/>
        <v>Verify that where a credential service provider (CSP) and the application verifying authentication are separated, mutually authenticated TLS is in place between the two endpoints.</v>
      </c>
      <c r="P60" s="64" t="str">
        <f t="shared" ca="1" si="5"/>
        <v>--- Select ---</v>
      </c>
      <c r="Q60" s="63" t="str">
        <f t="shared" si="6"/>
        <v>N</v>
      </c>
      <c r="R60" s="63" t="str">
        <f t="shared" si="7"/>
        <v>N</v>
      </c>
      <c r="S60" s="63" t="str">
        <f t="shared" si="8"/>
        <v>Y</v>
      </c>
    </row>
    <row r="61" spans="1:19" x14ac:dyDescent="0.35">
      <c r="A61" s="63" t="s">
        <v>41</v>
      </c>
      <c r="B61" s="61" t="s">
        <v>174</v>
      </c>
      <c r="C61" s="63" t="s">
        <v>202</v>
      </c>
      <c r="D61" s="61" t="s">
        <v>203</v>
      </c>
      <c r="E61" s="63" t="s">
        <v>218</v>
      </c>
      <c r="F61" s="61" t="s">
        <v>219</v>
      </c>
      <c r="G61" s="61" t="str">
        <f t="shared" ca="1" si="0"/>
        <v>--- Select ---</v>
      </c>
      <c r="H61" s="62" t="s">
        <v>853</v>
      </c>
      <c r="I61" s="62" t="s">
        <v>853</v>
      </c>
      <c r="J61" s="62" t="s">
        <v>852</v>
      </c>
      <c r="L61" s="64" t="str">
        <f t="shared" si="3"/>
        <v>2.2.6</v>
      </c>
      <c r="M61" s="64" t="str">
        <f t="shared" si="1"/>
        <v>V2</v>
      </c>
      <c r="N61" s="64" t="str">
        <f t="shared" si="2"/>
        <v>V2.2</v>
      </c>
      <c r="O61" s="64" t="str">
        <f t="shared" si="4"/>
        <v>Verify replay resistance through the mandated use of OTP devices, cryptographic authenticators, or lookup codes.</v>
      </c>
      <c r="P61" s="64" t="str">
        <f t="shared" ca="1" si="5"/>
        <v>--- Select ---</v>
      </c>
      <c r="Q61" s="63" t="str">
        <f t="shared" si="6"/>
        <v>N</v>
      </c>
      <c r="R61" s="63" t="str">
        <f t="shared" si="7"/>
        <v>N</v>
      </c>
      <c r="S61" s="63" t="str">
        <f t="shared" si="8"/>
        <v>Y</v>
      </c>
    </row>
    <row r="62" spans="1:19" x14ac:dyDescent="0.35">
      <c r="A62" s="63" t="s">
        <v>41</v>
      </c>
      <c r="B62" s="61" t="s">
        <v>174</v>
      </c>
      <c r="C62" s="63" t="s">
        <v>202</v>
      </c>
      <c r="D62" s="61" t="s">
        <v>203</v>
      </c>
      <c r="E62" s="63" t="s">
        <v>221</v>
      </c>
      <c r="F62" s="61" t="s">
        <v>222</v>
      </c>
      <c r="G62" s="61" t="str">
        <f t="shared" ca="1" si="0"/>
        <v>--- Select ---</v>
      </c>
      <c r="H62" s="62" t="s">
        <v>853</v>
      </c>
      <c r="I62" s="62" t="s">
        <v>853</v>
      </c>
      <c r="J62" s="62" t="s">
        <v>852</v>
      </c>
      <c r="L62" s="64" t="str">
        <f t="shared" si="3"/>
        <v>2.2.7</v>
      </c>
      <c r="M62" s="64" t="str">
        <f t="shared" si="1"/>
        <v>V2</v>
      </c>
      <c r="N62" s="64" t="str">
        <f t="shared" si="2"/>
        <v>V2.2</v>
      </c>
      <c r="O62" s="64" t="str">
        <f t="shared" si="4"/>
        <v>Verify intent to authenticate by requiring the entry of an OTP token or user-initiated action such as a button press on a FIDO hardware key.</v>
      </c>
      <c r="P62" s="64" t="str">
        <f t="shared" ca="1" si="5"/>
        <v>--- Select ---</v>
      </c>
      <c r="Q62" s="63" t="str">
        <f t="shared" si="6"/>
        <v>N</v>
      </c>
      <c r="R62" s="63" t="str">
        <f t="shared" si="7"/>
        <v>N</v>
      </c>
      <c r="S62" s="63" t="str">
        <f t="shared" si="8"/>
        <v>Y</v>
      </c>
    </row>
    <row r="63" spans="1:19" x14ac:dyDescent="0.35">
      <c r="A63" s="63" t="s">
        <v>41</v>
      </c>
      <c r="B63" s="61" t="s">
        <v>174</v>
      </c>
      <c r="C63" s="63" t="s">
        <v>224</v>
      </c>
      <c r="D63" s="61" t="s">
        <v>225</v>
      </c>
      <c r="E63" s="63" t="s">
        <v>226</v>
      </c>
      <c r="F63" s="61" t="s">
        <v>227</v>
      </c>
      <c r="G63" s="61" t="str">
        <f t="shared" ca="1" si="0"/>
        <v>--- Select ---</v>
      </c>
      <c r="H63" s="62" t="s">
        <v>852</v>
      </c>
      <c r="I63" s="62" t="s">
        <v>852</v>
      </c>
      <c r="J63" s="62" t="s">
        <v>852</v>
      </c>
      <c r="L63" s="64" t="str">
        <f t="shared" si="3"/>
        <v>2.3.1</v>
      </c>
      <c r="M63" s="64" t="str">
        <f t="shared" si="1"/>
        <v>V2</v>
      </c>
      <c r="N63" s="64" t="str">
        <f t="shared" si="2"/>
        <v>V2.3</v>
      </c>
      <c r="O63" s="64" t="str">
        <f t="shared" si="4"/>
        <v>Verify system generated initial passwords or activation codes SHOULD be securely randomly generated, SHOULD be at least 6 characters long, and MAY contain letters and numbers, and expire after a short period of time. These initial secrets must not be permitted to become the long term password.</v>
      </c>
      <c r="P63" s="64" t="str">
        <f t="shared" ca="1" si="5"/>
        <v>--- Select ---</v>
      </c>
      <c r="Q63" s="63" t="str">
        <f t="shared" si="6"/>
        <v>Y</v>
      </c>
      <c r="R63" s="63" t="str">
        <f t="shared" si="7"/>
        <v>Y</v>
      </c>
      <c r="S63" s="63" t="str">
        <f t="shared" si="8"/>
        <v>Y</v>
      </c>
    </row>
    <row r="64" spans="1:19" x14ac:dyDescent="0.35">
      <c r="A64" s="63" t="s">
        <v>41</v>
      </c>
      <c r="B64" s="61" t="s">
        <v>174</v>
      </c>
      <c r="C64" s="63" t="s">
        <v>224</v>
      </c>
      <c r="D64" s="61" t="s">
        <v>225</v>
      </c>
      <c r="E64" s="63" t="s">
        <v>229</v>
      </c>
      <c r="F64" s="61" t="s">
        <v>230</v>
      </c>
      <c r="G64" s="61" t="str">
        <f t="shared" ca="1" si="0"/>
        <v>--- Select ---</v>
      </c>
      <c r="H64" s="62" t="s">
        <v>853</v>
      </c>
      <c r="I64" s="62" t="s">
        <v>852</v>
      </c>
      <c r="J64" s="62" t="s">
        <v>852</v>
      </c>
      <c r="L64" s="64" t="str">
        <f t="shared" si="3"/>
        <v>2.3.2</v>
      </c>
      <c r="M64" s="64" t="str">
        <f t="shared" si="1"/>
        <v>V2</v>
      </c>
      <c r="N64" s="64" t="str">
        <f t="shared" si="2"/>
        <v>V2.3</v>
      </c>
      <c r="O64" s="64" t="str">
        <f t="shared" si="4"/>
        <v>Verify that enrollment and use of subscriber-provided authentication devices are supported, such as a U2F or FIDO tokens.</v>
      </c>
      <c r="P64" s="64" t="str">
        <f t="shared" ca="1" si="5"/>
        <v>--- Select ---</v>
      </c>
      <c r="Q64" s="63" t="str">
        <f t="shared" si="6"/>
        <v>N</v>
      </c>
      <c r="R64" s="63" t="str">
        <f t="shared" si="7"/>
        <v>Y</v>
      </c>
      <c r="S64" s="63" t="str">
        <f t="shared" si="8"/>
        <v>Y</v>
      </c>
    </row>
    <row r="65" spans="1:19" x14ac:dyDescent="0.35">
      <c r="A65" s="63" t="s">
        <v>41</v>
      </c>
      <c r="B65" s="61" t="s">
        <v>174</v>
      </c>
      <c r="C65" s="63" t="s">
        <v>224</v>
      </c>
      <c r="D65" s="61" t="s">
        <v>225</v>
      </c>
      <c r="E65" s="63" t="s">
        <v>232</v>
      </c>
      <c r="F65" s="61" t="s">
        <v>233</v>
      </c>
      <c r="G65" s="61" t="str">
        <f t="shared" ca="1" si="0"/>
        <v>--- Select ---</v>
      </c>
      <c r="H65" s="62" t="s">
        <v>853</v>
      </c>
      <c r="I65" s="62" t="s">
        <v>852</v>
      </c>
      <c r="J65" s="62" t="s">
        <v>852</v>
      </c>
      <c r="L65" s="64" t="str">
        <f t="shared" si="3"/>
        <v>2.3.3</v>
      </c>
      <c r="M65" s="64" t="str">
        <f t="shared" si="1"/>
        <v>V2</v>
      </c>
      <c r="N65" s="64" t="str">
        <f t="shared" si="2"/>
        <v>V2.3</v>
      </c>
      <c r="O65" s="64" t="str">
        <f t="shared" si="4"/>
        <v>Verify that renewal instructions are sent with sufficient time to renew time bound authenticators.</v>
      </c>
      <c r="P65" s="64" t="str">
        <f t="shared" ca="1" si="5"/>
        <v>--- Select ---</v>
      </c>
      <c r="Q65" s="63" t="str">
        <f t="shared" si="6"/>
        <v>N</v>
      </c>
      <c r="R65" s="63" t="str">
        <f t="shared" si="7"/>
        <v>Y</v>
      </c>
      <c r="S65" s="63" t="str">
        <f t="shared" si="8"/>
        <v>Y</v>
      </c>
    </row>
    <row r="66" spans="1:19" x14ac:dyDescent="0.35">
      <c r="A66" s="63" t="s">
        <v>41</v>
      </c>
      <c r="B66" s="61" t="s">
        <v>174</v>
      </c>
      <c r="C66" s="63" t="s">
        <v>235</v>
      </c>
      <c r="D66" s="61" t="s">
        <v>236</v>
      </c>
      <c r="E66" s="63" t="s">
        <v>237</v>
      </c>
      <c r="F66" s="61" t="s">
        <v>238</v>
      </c>
      <c r="G66" s="61" t="str">
        <f t="shared" ref="G66:G129" ca="1" si="9">IF(AND(H66=YES, SELECTED_ASSESSMENT_LEVEL = LEVEL1),INDIRECT("zANS"&amp;E66, FALSE),IF(AND(I66=YES, SELECTED_ASSESSMENT_LEVEL = LEVEL2), INDIRECT("zANS"&amp;E66, FALSE), IF(AND(J66=YES, SELECTED_ASSESSMENT_LEVEL = LEVEL3), INDIRECT("zANS"&amp;E66, FALSE), "NA")))</f>
        <v>--- Select ---</v>
      </c>
      <c r="H66" s="62" t="s">
        <v>853</v>
      </c>
      <c r="I66" s="62" t="s">
        <v>852</v>
      </c>
      <c r="J66" s="62" t="s">
        <v>852</v>
      </c>
      <c r="L66" s="64" t="str">
        <f t="shared" si="3"/>
        <v>2.4.1</v>
      </c>
      <c r="M66" s="64" t="str">
        <f t="shared" ref="M66:M129" si="10">A66</f>
        <v>V2</v>
      </c>
      <c r="N66" s="64" t="str">
        <f t="shared" ref="N66:N129" si="11">C66</f>
        <v>V2.4</v>
      </c>
      <c r="O66" s="64" t="str">
        <f t="shared" si="4"/>
        <v>Verify that passwords are stored in a form that is resistant to offline attacks. Passwords SHALL be salted and hashed using an approved one-way key derivation or password hashing function. Key derivation and password hashing functions take a password, a salt, and a cost factor as inputs when generating a password hash. (C6)</v>
      </c>
      <c r="P66" s="64" t="str">
        <f t="shared" ca="1" si="5"/>
        <v>--- Select ---</v>
      </c>
      <c r="Q66" s="63" t="str">
        <f t="shared" si="6"/>
        <v>N</v>
      </c>
      <c r="R66" s="63" t="str">
        <f t="shared" si="7"/>
        <v>Y</v>
      </c>
      <c r="S66" s="63" t="str">
        <f t="shared" si="8"/>
        <v>Y</v>
      </c>
    </row>
    <row r="67" spans="1:19" x14ac:dyDescent="0.35">
      <c r="A67" s="63" t="s">
        <v>41</v>
      </c>
      <c r="B67" s="61" t="s">
        <v>174</v>
      </c>
      <c r="C67" s="63" t="s">
        <v>235</v>
      </c>
      <c r="D67" s="61" t="s">
        <v>236</v>
      </c>
      <c r="E67" s="63" t="s">
        <v>239</v>
      </c>
      <c r="F67" s="61" t="s">
        <v>240</v>
      </c>
      <c r="G67" s="61" t="str">
        <f t="shared" ca="1" si="9"/>
        <v>--- Select ---</v>
      </c>
      <c r="H67" s="62" t="s">
        <v>853</v>
      </c>
      <c r="I67" s="62" t="s">
        <v>852</v>
      </c>
      <c r="J67" s="62" t="s">
        <v>852</v>
      </c>
      <c r="L67" s="64" t="str">
        <f t="shared" ref="L67:L130" si="12">E67</f>
        <v>2.4.2</v>
      </c>
      <c r="M67" s="64" t="str">
        <f t="shared" si="10"/>
        <v>V2</v>
      </c>
      <c r="N67" s="64" t="str">
        <f t="shared" si="11"/>
        <v>V2.4</v>
      </c>
      <c r="O67" s="64" t="str">
        <f t="shared" ref="O67:O130" si="13">F67</f>
        <v>Verify that the salt is at least 32 bits in length and be chosen arbitrarily to minimize salt value collisions among stored hashes. For each credential, a unique salt value and the resulting hash SHALL be stored. (C6)</v>
      </c>
      <c r="P67" s="64" t="str">
        <f t="shared" ref="P67:P130" ca="1" si="14">G67</f>
        <v>--- Select ---</v>
      </c>
      <c r="Q67" s="63" t="str">
        <f t="shared" ref="Q67:Q130" si="15">H67</f>
        <v>N</v>
      </c>
      <c r="R67" s="63" t="str">
        <f t="shared" ref="R67:R130" si="16">I67</f>
        <v>Y</v>
      </c>
      <c r="S67" s="63" t="str">
        <f t="shared" ref="S67:S130" si="17">J67</f>
        <v>Y</v>
      </c>
    </row>
    <row r="68" spans="1:19" x14ac:dyDescent="0.35">
      <c r="A68" s="63" t="s">
        <v>41</v>
      </c>
      <c r="B68" s="61" t="s">
        <v>174</v>
      </c>
      <c r="C68" s="63" t="s">
        <v>235</v>
      </c>
      <c r="D68" s="61" t="s">
        <v>236</v>
      </c>
      <c r="E68" s="63" t="s">
        <v>241</v>
      </c>
      <c r="F68" s="61" t="s">
        <v>242</v>
      </c>
      <c r="G68" s="61" t="str">
        <f t="shared" ca="1" si="9"/>
        <v>--- Select ---</v>
      </c>
      <c r="H68" s="62" t="s">
        <v>853</v>
      </c>
      <c r="I68" s="62" t="s">
        <v>852</v>
      </c>
      <c r="J68" s="62" t="s">
        <v>852</v>
      </c>
      <c r="L68" s="64" t="str">
        <f t="shared" si="12"/>
        <v>2.4.3</v>
      </c>
      <c r="M68" s="64" t="str">
        <f t="shared" si="10"/>
        <v>V2</v>
      </c>
      <c r="N68" s="64" t="str">
        <f t="shared" si="11"/>
        <v>V2.4</v>
      </c>
      <c r="O68" s="64" t="str">
        <f t="shared" si="13"/>
        <v>Verify that if PBKDF2 is used, the iteration count SHOULD be as large as verification server performance will allow, typically at least 100,000 iterations. (C6)</v>
      </c>
      <c r="P68" s="64" t="str">
        <f t="shared" ca="1" si="14"/>
        <v>--- Select ---</v>
      </c>
      <c r="Q68" s="63" t="str">
        <f t="shared" si="15"/>
        <v>N</v>
      </c>
      <c r="R68" s="63" t="str">
        <f t="shared" si="16"/>
        <v>Y</v>
      </c>
      <c r="S68" s="63" t="str">
        <f t="shared" si="17"/>
        <v>Y</v>
      </c>
    </row>
    <row r="69" spans="1:19" x14ac:dyDescent="0.35">
      <c r="A69" s="63" t="s">
        <v>41</v>
      </c>
      <c r="B69" s="61" t="s">
        <v>174</v>
      </c>
      <c r="C69" s="63" t="s">
        <v>235</v>
      </c>
      <c r="D69" s="61" t="s">
        <v>236</v>
      </c>
      <c r="E69" s="63" t="s">
        <v>243</v>
      </c>
      <c r="F69" s="61" t="s">
        <v>244</v>
      </c>
      <c r="G69" s="61" t="str">
        <f t="shared" ca="1" si="9"/>
        <v>--- Select ---</v>
      </c>
      <c r="H69" s="62" t="s">
        <v>853</v>
      </c>
      <c r="I69" s="62" t="s">
        <v>852</v>
      </c>
      <c r="J69" s="62" t="s">
        <v>852</v>
      </c>
      <c r="L69" s="64" t="str">
        <f t="shared" si="12"/>
        <v>2.4.4</v>
      </c>
      <c r="M69" s="64" t="str">
        <f t="shared" si="10"/>
        <v>V2</v>
      </c>
      <c r="N69" s="64" t="str">
        <f t="shared" si="11"/>
        <v>V2.4</v>
      </c>
      <c r="O69" s="64" t="str">
        <f t="shared" si="13"/>
        <v>Verify that if bcrypt is used, the work factor SHOULD be as large as verification server performance will allow, typically at least 13. (C6)</v>
      </c>
      <c r="P69" s="64" t="str">
        <f t="shared" ca="1" si="14"/>
        <v>--- Select ---</v>
      </c>
      <c r="Q69" s="63" t="str">
        <f t="shared" si="15"/>
        <v>N</v>
      </c>
      <c r="R69" s="63" t="str">
        <f t="shared" si="16"/>
        <v>Y</v>
      </c>
      <c r="S69" s="63" t="str">
        <f t="shared" si="17"/>
        <v>Y</v>
      </c>
    </row>
    <row r="70" spans="1:19" x14ac:dyDescent="0.35">
      <c r="A70" s="63" t="s">
        <v>41</v>
      </c>
      <c r="B70" s="61" t="s">
        <v>174</v>
      </c>
      <c r="C70" s="63" t="s">
        <v>235</v>
      </c>
      <c r="D70" s="61" t="s">
        <v>236</v>
      </c>
      <c r="E70" s="63" t="s">
        <v>245</v>
      </c>
      <c r="F70" s="61" t="s">
        <v>246</v>
      </c>
      <c r="G70" s="61" t="str">
        <f t="shared" ca="1" si="9"/>
        <v>--- Select ---</v>
      </c>
      <c r="H70" s="62" t="s">
        <v>853</v>
      </c>
      <c r="I70" s="62" t="s">
        <v>852</v>
      </c>
      <c r="J70" s="62" t="s">
        <v>852</v>
      </c>
      <c r="L70" s="64" t="str">
        <f t="shared" si="12"/>
        <v>2.4.5</v>
      </c>
      <c r="M70" s="64" t="str">
        <f t="shared" si="10"/>
        <v>V2</v>
      </c>
      <c r="N70" s="64" t="str">
        <f t="shared" si="11"/>
        <v>V2.4</v>
      </c>
      <c r="O70" s="64" t="str">
        <f t="shared" si="13"/>
        <v>Verify that an additional iteration of a key derivation function is performed, using a salt value that is secret and known only to the verifier. Generate the salt value using an approved random bit generator [SP 800-90Ar1] and provide at least the minimum security strength specified in the latest revision of SP 800-131A. The secret salt value SHALL be stored separately from the hashed passwords (e.g., in a specialized device like a hardware security module).</v>
      </c>
      <c r="P70" s="64" t="str">
        <f t="shared" ca="1" si="14"/>
        <v>--- Select ---</v>
      </c>
      <c r="Q70" s="63" t="str">
        <f t="shared" si="15"/>
        <v>N</v>
      </c>
      <c r="R70" s="63" t="str">
        <f t="shared" si="16"/>
        <v>Y</v>
      </c>
      <c r="S70" s="63" t="str">
        <f t="shared" si="17"/>
        <v>Y</v>
      </c>
    </row>
    <row r="71" spans="1:19" x14ac:dyDescent="0.35">
      <c r="A71" s="63" t="s">
        <v>41</v>
      </c>
      <c r="B71" s="61" t="s">
        <v>174</v>
      </c>
      <c r="C71" s="63" t="s">
        <v>247</v>
      </c>
      <c r="D71" s="61" t="s">
        <v>248</v>
      </c>
      <c r="E71" s="63" t="s">
        <v>249</v>
      </c>
      <c r="F71" s="61" t="s">
        <v>250</v>
      </c>
      <c r="G71" s="61" t="str">
        <f t="shared" ca="1" si="9"/>
        <v>--- Select ---</v>
      </c>
      <c r="H71" s="62" t="s">
        <v>852</v>
      </c>
      <c r="I71" s="62" t="s">
        <v>852</v>
      </c>
      <c r="J71" s="62" t="s">
        <v>852</v>
      </c>
      <c r="L71" s="64" t="str">
        <f t="shared" si="12"/>
        <v>2.5.1</v>
      </c>
      <c r="M71" s="64" t="str">
        <f t="shared" si="10"/>
        <v>V2</v>
      </c>
      <c r="N71" s="64" t="str">
        <f t="shared" si="11"/>
        <v>V2.5</v>
      </c>
      <c r="O71" s="64" t="str">
        <f t="shared" si="13"/>
        <v>Verify that a system generated initial activation or recovery secret is not sent in clear text to the user. (C6)</v>
      </c>
      <c r="P71" s="64" t="str">
        <f t="shared" ca="1" si="14"/>
        <v>--- Select ---</v>
      </c>
      <c r="Q71" s="63" t="str">
        <f t="shared" si="15"/>
        <v>Y</v>
      </c>
      <c r="R71" s="63" t="str">
        <f t="shared" si="16"/>
        <v>Y</v>
      </c>
      <c r="S71" s="63" t="str">
        <f t="shared" si="17"/>
        <v>Y</v>
      </c>
    </row>
    <row r="72" spans="1:19" x14ac:dyDescent="0.35">
      <c r="A72" s="63" t="s">
        <v>41</v>
      </c>
      <c r="B72" s="61" t="s">
        <v>174</v>
      </c>
      <c r="C72" s="63" t="s">
        <v>247</v>
      </c>
      <c r="D72" s="61" t="s">
        <v>248</v>
      </c>
      <c r="E72" s="63" t="s">
        <v>251</v>
      </c>
      <c r="F72" s="61" t="s">
        <v>252</v>
      </c>
      <c r="G72" s="61" t="str">
        <f t="shared" ca="1" si="9"/>
        <v>--- Select ---</v>
      </c>
      <c r="H72" s="62" t="s">
        <v>852</v>
      </c>
      <c r="I72" s="62" t="s">
        <v>852</v>
      </c>
      <c r="J72" s="62" t="s">
        <v>852</v>
      </c>
      <c r="L72" s="64" t="str">
        <f t="shared" si="12"/>
        <v>2.5.2</v>
      </c>
      <c r="M72" s="64" t="str">
        <f t="shared" si="10"/>
        <v>V2</v>
      </c>
      <c r="N72" s="64" t="str">
        <f t="shared" si="11"/>
        <v>V2.5</v>
      </c>
      <c r="O72" s="64" t="str">
        <f t="shared" si="13"/>
        <v>Verify password hints or knowledge-based authentication (so-called "secret questions") are not present.</v>
      </c>
      <c r="P72" s="64" t="str">
        <f t="shared" ca="1" si="14"/>
        <v>--- Select ---</v>
      </c>
      <c r="Q72" s="63" t="str">
        <f t="shared" si="15"/>
        <v>Y</v>
      </c>
      <c r="R72" s="63" t="str">
        <f t="shared" si="16"/>
        <v>Y</v>
      </c>
      <c r="S72" s="63" t="str">
        <f t="shared" si="17"/>
        <v>Y</v>
      </c>
    </row>
    <row r="73" spans="1:19" x14ac:dyDescent="0.35">
      <c r="A73" s="63" t="s">
        <v>41</v>
      </c>
      <c r="B73" s="61" t="s">
        <v>174</v>
      </c>
      <c r="C73" s="63" t="s">
        <v>247</v>
      </c>
      <c r="D73" s="61" t="s">
        <v>248</v>
      </c>
      <c r="E73" s="63" t="s">
        <v>253</v>
      </c>
      <c r="F73" s="61" t="s">
        <v>254</v>
      </c>
      <c r="G73" s="61" t="str">
        <f t="shared" ca="1" si="9"/>
        <v>--- Select ---</v>
      </c>
      <c r="H73" s="62" t="s">
        <v>852</v>
      </c>
      <c r="I73" s="62" t="s">
        <v>852</v>
      </c>
      <c r="J73" s="62" t="s">
        <v>852</v>
      </c>
      <c r="L73" s="64" t="str">
        <f t="shared" si="12"/>
        <v>2.5.3</v>
      </c>
      <c r="M73" s="64" t="str">
        <f t="shared" si="10"/>
        <v>V2</v>
      </c>
      <c r="N73" s="64" t="str">
        <f t="shared" si="11"/>
        <v>V2.5</v>
      </c>
      <c r="O73" s="64" t="str">
        <f t="shared" si="13"/>
        <v>Verify password credential recovery does not reveal the current password in any way. (C6)</v>
      </c>
      <c r="P73" s="64" t="str">
        <f t="shared" ca="1" si="14"/>
        <v>--- Select ---</v>
      </c>
      <c r="Q73" s="63" t="str">
        <f t="shared" si="15"/>
        <v>Y</v>
      </c>
      <c r="R73" s="63" t="str">
        <f t="shared" si="16"/>
        <v>Y</v>
      </c>
      <c r="S73" s="63" t="str">
        <f t="shared" si="17"/>
        <v>Y</v>
      </c>
    </row>
    <row r="74" spans="1:19" x14ac:dyDescent="0.35">
      <c r="A74" s="63" t="s">
        <v>41</v>
      </c>
      <c r="B74" s="61" t="s">
        <v>174</v>
      </c>
      <c r="C74" s="63" t="s">
        <v>247</v>
      </c>
      <c r="D74" s="61" t="s">
        <v>248</v>
      </c>
      <c r="E74" s="63" t="s">
        <v>255</v>
      </c>
      <c r="F74" s="61" t="s">
        <v>256</v>
      </c>
      <c r="G74" s="61" t="str">
        <f t="shared" ca="1" si="9"/>
        <v>--- Select ---</v>
      </c>
      <c r="H74" s="62" t="s">
        <v>852</v>
      </c>
      <c r="I74" s="62" t="s">
        <v>852</v>
      </c>
      <c r="J74" s="62" t="s">
        <v>852</v>
      </c>
      <c r="L74" s="64" t="str">
        <f t="shared" si="12"/>
        <v>2.5.4</v>
      </c>
      <c r="M74" s="64" t="str">
        <f t="shared" si="10"/>
        <v>V2</v>
      </c>
      <c r="N74" s="64" t="str">
        <f t="shared" si="11"/>
        <v>V2.5</v>
      </c>
      <c r="O74" s="64" t="str">
        <f t="shared" si="13"/>
        <v>Verify shared or default accounts are not present (e.g. "root", "admin", or "sa").</v>
      </c>
      <c r="P74" s="64" t="str">
        <f t="shared" ca="1" si="14"/>
        <v>--- Select ---</v>
      </c>
      <c r="Q74" s="63" t="str">
        <f t="shared" si="15"/>
        <v>Y</v>
      </c>
      <c r="R74" s="63" t="str">
        <f t="shared" si="16"/>
        <v>Y</v>
      </c>
      <c r="S74" s="63" t="str">
        <f t="shared" si="17"/>
        <v>Y</v>
      </c>
    </row>
    <row r="75" spans="1:19" x14ac:dyDescent="0.35">
      <c r="A75" s="63" t="s">
        <v>41</v>
      </c>
      <c r="B75" s="61" t="s">
        <v>174</v>
      </c>
      <c r="C75" s="63" t="s">
        <v>247</v>
      </c>
      <c r="D75" s="61" t="s">
        <v>248</v>
      </c>
      <c r="E75" s="63" t="s">
        <v>257</v>
      </c>
      <c r="F75" s="61" t="s">
        <v>258</v>
      </c>
      <c r="G75" s="61" t="str">
        <f t="shared" ca="1" si="9"/>
        <v>--- Select ---</v>
      </c>
      <c r="H75" s="62" t="s">
        <v>852</v>
      </c>
      <c r="I75" s="62" t="s">
        <v>852</v>
      </c>
      <c r="J75" s="62" t="s">
        <v>852</v>
      </c>
      <c r="L75" s="64" t="str">
        <f t="shared" si="12"/>
        <v>2.5.5</v>
      </c>
      <c r="M75" s="64" t="str">
        <f t="shared" si="10"/>
        <v>V2</v>
      </c>
      <c r="N75" s="64" t="str">
        <f t="shared" si="11"/>
        <v>V2.5</v>
      </c>
      <c r="O75" s="64" t="str">
        <f t="shared" si="13"/>
        <v>Verify that if an authentication factor is changed or replaced, that the user is notified of this event.</v>
      </c>
      <c r="P75" s="64" t="str">
        <f t="shared" ca="1" si="14"/>
        <v>--- Select ---</v>
      </c>
      <c r="Q75" s="63" t="str">
        <f t="shared" si="15"/>
        <v>Y</v>
      </c>
      <c r="R75" s="63" t="str">
        <f t="shared" si="16"/>
        <v>Y</v>
      </c>
      <c r="S75" s="63" t="str">
        <f t="shared" si="17"/>
        <v>Y</v>
      </c>
    </row>
    <row r="76" spans="1:19" x14ac:dyDescent="0.35">
      <c r="A76" s="63" t="s">
        <v>41</v>
      </c>
      <c r="B76" s="61" t="s">
        <v>174</v>
      </c>
      <c r="C76" s="63" t="s">
        <v>247</v>
      </c>
      <c r="D76" s="61" t="s">
        <v>248</v>
      </c>
      <c r="E76" s="63" t="s">
        <v>260</v>
      </c>
      <c r="F76" s="61" t="s">
        <v>261</v>
      </c>
      <c r="G76" s="61" t="str">
        <f t="shared" ca="1" si="9"/>
        <v>--- Select ---</v>
      </c>
      <c r="H76" s="62" t="s">
        <v>852</v>
      </c>
      <c r="I76" s="62" t="s">
        <v>852</v>
      </c>
      <c r="J76" s="62" t="s">
        <v>852</v>
      </c>
      <c r="L76" s="64" t="str">
        <f t="shared" si="12"/>
        <v>2.5.6</v>
      </c>
      <c r="M76" s="64" t="str">
        <f t="shared" si="10"/>
        <v>V2</v>
      </c>
      <c r="N76" s="64" t="str">
        <f t="shared" si="11"/>
        <v>V2.5</v>
      </c>
      <c r="O76" s="64" t="str">
        <f t="shared" si="13"/>
        <v>Verify forgotten password, and other recovery paths use a secure recovery mechanism, such as TOTP or other soft token, mobile push, or another offline recovery mechanism. (C6)</v>
      </c>
      <c r="P76" s="64" t="str">
        <f t="shared" ca="1" si="14"/>
        <v>--- Select ---</v>
      </c>
      <c r="Q76" s="63" t="str">
        <f t="shared" si="15"/>
        <v>Y</v>
      </c>
      <c r="R76" s="63" t="str">
        <f t="shared" si="16"/>
        <v>Y</v>
      </c>
      <c r="S76" s="63" t="str">
        <f t="shared" si="17"/>
        <v>Y</v>
      </c>
    </row>
    <row r="77" spans="1:19" x14ac:dyDescent="0.35">
      <c r="A77" s="63" t="s">
        <v>41</v>
      </c>
      <c r="B77" s="61" t="s">
        <v>174</v>
      </c>
      <c r="C77" s="63" t="s">
        <v>247</v>
      </c>
      <c r="D77" s="61" t="s">
        <v>248</v>
      </c>
      <c r="E77" s="63" t="s">
        <v>262</v>
      </c>
      <c r="F77" s="61" t="s">
        <v>263</v>
      </c>
      <c r="G77" s="61" t="str">
        <f t="shared" ca="1" si="9"/>
        <v>--- Select ---</v>
      </c>
      <c r="H77" s="62" t="s">
        <v>853</v>
      </c>
      <c r="I77" s="62" t="s">
        <v>852</v>
      </c>
      <c r="J77" s="62" t="s">
        <v>852</v>
      </c>
      <c r="L77" s="64" t="str">
        <f t="shared" si="12"/>
        <v>2.5.7</v>
      </c>
      <c r="M77" s="64" t="str">
        <f t="shared" si="10"/>
        <v>V2</v>
      </c>
      <c r="N77" s="64" t="str">
        <f t="shared" si="11"/>
        <v>V2.5</v>
      </c>
      <c r="O77" s="64" t="str">
        <f t="shared" si="13"/>
        <v>Verify that if OTP or multi-factor authentication factors are lost, that evidence of identity proofing is performed at the same level as during enrollment.</v>
      </c>
      <c r="P77" s="64" t="str">
        <f t="shared" ca="1" si="14"/>
        <v>--- Select ---</v>
      </c>
      <c r="Q77" s="63" t="str">
        <f t="shared" si="15"/>
        <v>N</v>
      </c>
      <c r="R77" s="63" t="str">
        <f t="shared" si="16"/>
        <v>Y</v>
      </c>
      <c r="S77" s="63" t="str">
        <f t="shared" si="17"/>
        <v>Y</v>
      </c>
    </row>
    <row r="78" spans="1:19" x14ac:dyDescent="0.35">
      <c r="A78" s="63" t="s">
        <v>41</v>
      </c>
      <c r="B78" s="61" t="s">
        <v>174</v>
      </c>
      <c r="C78" s="63" t="s">
        <v>265</v>
      </c>
      <c r="D78" s="61" t="s">
        <v>264</v>
      </c>
      <c r="E78" s="63" t="s">
        <v>266</v>
      </c>
      <c r="F78" s="61" t="s">
        <v>267</v>
      </c>
      <c r="G78" s="61" t="str">
        <f t="shared" ca="1" si="9"/>
        <v>--- Select ---</v>
      </c>
      <c r="H78" s="62" t="s">
        <v>853</v>
      </c>
      <c r="I78" s="62" t="s">
        <v>852</v>
      </c>
      <c r="J78" s="62" t="s">
        <v>852</v>
      </c>
      <c r="L78" s="64" t="str">
        <f t="shared" si="12"/>
        <v>2.6.1</v>
      </c>
      <c r="M78" s="64" t="str">
        <f t="shared" si="10"/>
        <v>V2</v>
      </c>
      <c r="N78" s="64" t="str">
        <f t="shared" si="11"/>
        <v>V2.6</v>
      </c>
      <c r="O78" s="64" t="str">
        <f t="shared" si="13"/>
        <v>Verify that lookup secrets can be used only once.</v>
      </c>
      <c r="P78" s="64" t="str">
        <f t="shared" ca="1" si="14"/>
        <v>--- Select ---</v>
      </c>
      <c r="Q78" s="63" t="str">
        <f t="shared" si="15"/>
        <v>N</v>
      </c>
      <c r="R78" s="63" t="str">
        <f t="shared" si="16"/>
        <v>Y</v>
      </c>
      <c r="S78" s="63" t="str">
        <f t="shared" si="17"/>
        <v>Y</v>
      </c>
    </row>
    <row r="79" spans="1:19" x14ac:dyDescent="0.35">
      <c r="A79" s="63" t="s">
        <v>41</v>
      </c>
      <c r="B79" s="61" t="s">
        <v>174</v>
      </c>
      <c r="C79" s="63" t="s">
        <v>265</v>
      </c>
      <c r="D79" s="61" t="s">
        <v>264</v>
      </c>
      <c r="E79" s="63" t="s">
        <v>269</v>
      </c>
      <c r="F79" s="61" t="s">
        <v>270</v>
      </c>
      <c r="G79" s="61" t="str">
        <f t="shared" ca="1" si="9"/>
        <v>--- Select ---</v>
      </c>
      <c r="H79" s="62" t="s">
        <v>853</v>
      </c>
      <c r="I79" s="62" t="s">
        <v>852</v>
      </c>
      <c r="J79" s="62" t="s">
        <v>852</v>
      </c>
      <c r="L79" s="64" t="str">
        <f t="shared" si="12"/>
        <v>2.6.2</v>
      </c>
      <c r="M79" s="64" t="str">
        <f t="shared" si="10"/>
        <v>V2</v>
      </c>
      <c r="N79" s="64" t="str">
        <f t="shared" si="11"/>
        <v>V2.6</v>
      </c>
      <c r="O79" s="64" t="str">
        <f t="shared" si="13"/>
        <v>Verify that lookup secrets have sufficient randomness (112 bits of entropy), or if less than 112 bits of entropy, salted with a unique and random 32-bit salt and hashed with an approved one-way hash.</v>
      </c>
      <c r="P79" s="64" t="str">
        <f t="shared" ca="1" si="14"/>
        <v>--- Select ---</v>
      </c>
      <c r="Q79" s="63" t="str">
        <f t="shared" si="15"/>
        <v>N</v>
      </c>
      <c r="R79" s="63" t="str">
        <f t="shared" si="16"/>
        <v>Y</v>
      </c>
      <c r="S79" s="63" t="str">
        <f t="shared" si="17"/>
        <v>Y</v>
      </c>
    </row>
    <row r="80" spans="1:19" x14ac:dyDescent="0.35">
      <c r="A80" s="63" t="s">
        <v>41</v>
      </c>
      <c r="B80" s="61" t="s">
        <v>174</v>
      </c>
      <c r="C80" s="63" t="s">
        <v>265</v>
      </c>
      <c r="D80" s="61" t="s">
        <v>264</v>
      </c>
      <c r="E80" s="63" t="s">
        <v>271</v>
      </c>
      <c r="F80" s="61" t="s">
        <v>272</v>
      </c>
      <c r="G80" s="61" t="str">
        <f t="shared" ca="1" si="9"/>
        <v>--- Select ---</v>
      </c>
      <c r="H80" s="62" t="s">
        <v>853</v>
      </c>
      <c r="I80" s="62" t="s">
        <v>852</v>
      </c>
      <c r="J80" s="62" t="s">
        <v>852</v>
      </c>
      <c r="L80" s="64" t="str">
        <f t="shared" si="12"/>
        <v>2.6.3</v>
      </c>
      <c r="M80" s="64" t="str">
        <f t="shared" si="10"/>
        <v>V2</v>
      </c>
      <c r="N80" s="64" t="str">
        <f t="shared" si="11"/>
        <v>V2.6</v>
      </c>
      <c r="O80" s="64" t="str">
        <f t="shared" si="13"/>
        <v>Verify that lookup secrets are resistant to offline attacks, such as predictable values.</v>
      </c>
      <c r="P80" s="64" t="str">
        <f t="shared" ca="1" si="14"/>
        <v>--- Select ---</v>
      </c>
      <c r="Q80" s="63" t="str">
        <f t="shared" si="15"/>
        <v>N</v>
      </c>
      <c r="R80" s="63" t="str">
        <f t="shared" si="16"/>
        <v>Y</v>
      </c>
      <c r="S80" s="63" t="str">
        <f t="shared" si="17"/>
        <v>Y</v>
      </c>
    </row>
    <row r="81" spans="1:19" x14ac:dyDescent="0.35">
      <c r="A81" s="63" t="s">
        <v>41</v>
      </c>
      <c r="B81" s="61" t="s">
        <v>174</v>
      </c>
      <c r="C81" s="63" t="s">
        <v>273</v>
      </c>
      <c r="D81" s="61" t="s">
        <v>274</v>
      </c>
      <c r="E81" s="63" t="s">
        <v>275</v>
      </c>
      <c r="F81" s="61" t="s">
        <v>276</v>
      </c>
      <c r="G81" s="61" t="str">
        <f t="shared" ca="1" si="9"/>
        <v>--- Select ---</v>
      </c>
      <c r="H81" s="62" t="s">
        <v>852</v>
      </c>
      <c r="I81" s="62" t="s">
        <v>852</v>
      </c>
      <c r="J81" s="62" t="s">
        <v>852</v>
      </c>
      <c r="L81" s="64" t="str">
        <f t="shared" si="12"/>
        <v>2.7.1</v>
      </c>
      <c r="M81" s="64" t="str">
        <f t="shared" si="10"/>
        <v>V2</v>
      </c>
      <c r="N81" s="64" t="str">
        <f t="shared" si="11"/>
        <v>V2.7</v>
      </c>
      <c r="O81" s="64" t="str">
        <f t="shared" si="13"/>
        <v>Verify that clear text out of band (NIST "restricted") authenticators, such as SMS or PSTN, are not offered by default, and stronger alternatives such as push notifications are offered first.</v>
      </c>
      <c r="P81" s="64" t="str">
        <f t="shared" ca="1" si="14"/>
        <v>--- Select ---</v>
      </c>
      <c r="Q81" s="63" t="str">
        <f t="shared" si="15"/>
        <v>Y</v>
      </c>
      <c r="R81" s="63" t="str">
        <f t="shared" si="16"/>
        <v>Y</v>
      </c>
      <c r="S81" s="63" t="str">
        <f t="shared" si="17"/>
        <v>Y</v>
      </c>
    </row>
    <row r="82" spans="1:19" x14ac:dyDescent="0.35">
      <c r="A82" s="63" t="s">
        <v>41</v>
      </c>
      <c r="B82" s="61" t="s">
        <v>174</v>
      </c>
      <c r="C82" s="63" t="s">
        <v>273</v>
      </c>
      <c r="D82" s="61" t="s">
        <v>274</v>
      </c>
      <c r="E82" s="63" t="s">
        <v>278</v>
      </c>
      <c r="F82" s="61" t="s">
        <v>279</v>
      </c>
      <c r="G82" s="61" t="str">
        <f t="shared" ca="1" si="9"/>
        <v>--- Select ---</v>
      </c>
      <c r="H82" s="62" t="s">
        <v>852</v>
      </c>
      <c r="I82" s="62" t="s">
        <v>852</v>
      </c>
      <c r="J82" s="62" t="s">
        <v>852</v>
      </c>
      <c r="L82" s="64" t="str">
        <f t="shared" si="12"/>
        <v>2.7.2</v>
      </c>
      <c r="M82" s="64" t="str">
        <f t="shared" si="10"/>
        <v>V2</v>
      </c>
      <c r="N82" s="64" t="str">
        <f t="shared" si="11"/>
        <v>V2.7</v>
      </c>
      <c r="O82" s="64" t="str">
        <f t="shared" si="13"/>
        <v>Verify that the out of band verifier expires out of band authentication requests, codes, or tokens after 10 minutes.</v>
      </c>
      <c r="P82" s="64" t="str">
        <f t="shared" ca="1" si="14"/>
        <v>--- Select ---</v>
      </c>
      <c r="Q82" s="63" t="str">
        <f t="shared" si="15"/>
        <v>Y</v>
      </c>
      <c r="R82" s="63" t="str">
        <f t="shared" si="16"/>
        <v>Y</v>
      </c>
      <c r="S82" s="63" t="str">
        <f t="shared" si="17"/>
        <v>Y</v>
      </c>
    </row>
    <row r="83" spans="1:19" x14ac:dyDescent="0.35">
      <c r="A83" s="63" t="s">
        <v>41</v>
      </c>
      <c r="B83" s="61" t="s">
        <v>174</v>
      </c>
      <c r="C83" s="63" t="s">
        <v>273</v>
      </c>
      <c r="D83" s="61" t="s">
        <v>274</v>
      </c>
      <c r="E83" s="63" t="s">
        <v>280</v>
      </c>
      <c r="F83" s="61" t="s">
        <v>281</v>
      </c>
      <c r="G83" s="61" t="str">
        <f t="shared" ca="1" si="9"/>
        <v>--- Select ---</v>
      </c>
      <c r="H83" s="62" t="s">
        <v>852</v>
      </c>
      <c r="I83" s="62" t="s">
        <v>852</v>
      </c>
      <c r="J83" s="62" t="s">
        <v>852</v>
      </c>
      <c r="L83" s="64" t="str">
        <f t="shared" si="12"/>
        <v>2.7.3</v>
      </c>
      <c r="M83" s="64" t="str">
        <f t="shared" si="10"/>
        <v>V2</v>
      </c>
      <c r="N83" s="64" t="str">
        <f t="shared" si="11"/>
        <v>V2.7</v>
      </c>
      <c r="O83" s="64" t="str">
        <f t="shared" si="13"/>
        <v>Verify that the out of band verifier authentication requests, codes, or tokens are only usable once, and only for the original authentication request.</v>
      </c>
      <c r="P83" s="64" t="str">
        <f t="shared" ca="1" si="14"/>
        <v>--- Select ---</v>
      </c>
      <c r="Q83" s="63" t="str">
        <f t="shared" si="15"/>
        <v>Y</v>
      </c>
      <c r="R83" s="63" t="str">
        <f t="shared" si="16"/>
        <v>Y</v>
      </c>
      <c r="S83" s="63" t="str">
        <f t="shared" si="17"/>
        <v>Y</v>
      </c>
    </row>
    <row r="84" spans="1:19" x14ac:dyDescent="0.35">
      <c r="A84" s="63" t="s">
        <v>41</v>
      </c>
      <c r="B84" s="61" t="s">
        <v>174</v>
      </c>
      <c r="C84" s="63" t="s">
        <v>273</v>
      </c>
      <c r="D84" s="61" t="s">
        <v>274</v>
      </c>
      <c r="E84" s="63" t="s">
        <v>282</v>
      </c>
      <c r="F84" s="61" t="s">
        <v>283</v>
      </c>
      <c r="G84" s="61" t="str">
        <f t="shared" ca="1" si="9"/>
        <v>--- Select ---</v>
      </c>
      <c r="H84" s="62" t="s">
        <v>852</v>
      </c>
      <c r="I84" s="62" t="s">
        <v>852</v>
      </c>
      <c r="J84" s="62" t="s">
        <v>852</v>
      </c>
      <c r="L84" s="64" t="str">
        <f t="shared" si="12"/>
        <v>2.7.4</v>
      </c>
      <c r="M84" s="64" t="str">
        <f t="shared" si="10"/>
        <v>V2</v>
      </c>
      <c r="N84" s="64" t="str">
        <f t="shared" si="11"/>
        <v>V2.7</v>
      </c>
      <c r="O84" s="64" t="str">
        <f t="shared" si="13"/>
        <v>Verify that the out of band authenticator and verifier communicates over a secure independent channel.</v>
      </c>
      <c r="P84" s="64" t="str">
        <f t="shared" ca="1" si="14"/>
        <v>--- Select ---</v>
      </c>
      <c r="Q84" s="63" t="str">
        <f t="shared" si="15"/>
        <v>Y</v>
      </c>
      <c r="R84" s="63" t="str">
        <f t="shared" si="16"/>
        <v>Y</v>
      </c>
      <c r="S84" s="63" t="str">
        <f t="shared" si="17"/>
        <v>Y</v>
      </c>
    </row>
    <row r="85" spans="1:19" x14ac:dyDescent="0.35">
      <c r="A85" s="63" t="s">
        <v>41</v>
      </c>
      <c r="B85" s="61" t="s">
        <v>174</v>
      </c>
      <c r="C85" s="63" t="s">
        <v>273</v>
      </c>
      <c r="D85" s="61" t="s">
        <v>274</v>
      </c>
      <c r="E85" s="63" t="s">
        <v>284</v>
      </c>
      <c r="F85" s="61" t="s">
        <v>285</v>
      </c>
      <c r="G85" s="61" t="str">
        <f t="shared" ca="1" si="9"/>
        <v>--- Select ---</v>
      </c>
      <c r="H85" s="62" t="s">
        <v>853</v>
      </c>
      <c r="I85" s="62" t="s">
        <v>852</v>
      </c>
      <c r="J85" s="62" t="s">
        <v>852</v>
      </c>
      <c r="L85" s="64" t="str">
        <f t="shared" si="12"/>
        <v>2.7.5</v>
      </c>
      <c r="M85" s="64" t="str">
        <f t="shared" si="10"/>
        <v>V2</v>
      </c>
      <c r="N85" s="64" t="str">
        <f t="shared" si="11"/>
        <v>V2.7</v>
      </c>
      <c r="O85" s="64" t="str">
        <f t="shared" si="13"/>
        <v>Verify that the out of band verifier retains only a hashed version of the authentication code.</v>
      </c>
      <c r="P85" s="64" t="str">
        <f t="shared" ca="1" si="14"/>
        <v>--- Select ---</v>
      </c>
      <c r="Q85" s="63" t="str">
        <f t="shared" si="15"/>
        <v>N</v>
      </c>
      <c r="R85" s="63" t="str">
        <f t="shared" si="16"/>
        <v>Y</v>
      </c>
      <c r="S85" s="63" t="str">
        <f t="shared" si="17"/>
        <v>Y</v>
      </c>
    </row>
    <row r="86" spans="1:19" x14ac:dyDescent="0.35">
      <c r="A86" s="63" t="s">
        <v>41</v>
      </c>
      <c r="B86" s="61" t="s">
        <v>174</v>
      </c>
      <c r="C86" s="63" t="s">
        <v>273</v>
      </c>
      <c r="D86" s="61" t="s">
        <v>274</v>
      </c>
      <c r="E86" s="63" t="s">
        <v>286</v>
      </c>
      <c r="F86" s="61" t="s">
        <v>287</v>
      </c>
      <c r="G86" s="61" t="str">
        <f t="shared" ca="1" si="9"/>
        <v>--- Select ---</v>
      </c>
      <c r="H86" s="62" t="s">
        <v>853</v>
      </c>
      <c r="I86" s="62" t="s">
        <v>852</v>
      </c>
      <c r="J86" s="62" t="s">
        <v>852</v>
      </c>
      <c r="L86" s="64" t="str">
        <f t="shared" si="12"/>
        <v>2.7.6</v>
      </c>
      <c r="M86" s="64" t="str">
        <f t="shared" si="10"/>
        <v>V2</v>
      </c>
      <c r="N86" s="64" t="str">
        <f t="shared" si="11"/>
        <v>V2.7</v>
      </c>
      <c r="O86" s="64" t="str">
        <f t="shared" si="13"/>
        <v>Verify that the initial authentication code is generated by a secure random number generator, containing at least 20 bits of entropy (typically a six digital random number is sufficient).</v>
      </c>
      <c r="P86" s="64" t="str">
        <f t="shared" ca="1" si="14"/>
        <v>--- Select ---</v>
      </c>
      <c r="Q86" s="63" t="str">
        <f t="shared" si="15"/>
        <v>N</v>
      </c>
      <c r="R86" s="63" t="str">
        <f t="shared" si="16"/>
        <v>Y</v>
      </c>
      <c r="S86" s="63" t="str">
        <f t="shared" si="17"/>
        <v>Y</v>
      </c>
    </row>
    <row r="87" spans="1:19" x14ac:dyDescent="0.35">
      <c r="A87" s="63" t="s">
        <v>41</v>
      </c>
      <c r="B87" s="61" t="s">
        <v>174</v>
      </c>
      <c r="C87" s="63" t="s">
        <v>288</v>
      </c>
      <c r="D87" s="61" t="s">
        <v>289</v>
      </c>
      <c r="E87" s="63" t="s">
        <v>290</v>
      </c>
      <c r="F87" s="61" t="s">
        <v>291</v>
      </c>
      <c r="G87" s="61" t="str">
        <f t="shared" ca="1" si="9"/>
        <v>--- Select ---</v>
      </c>
      <c r="H87" s="62" t="s">
        <v>852</v>
      </c>
      <c r="I87" s="62" t="s">
        <v>852</v>
      </c>
      <c r="J87" s="62" t="s">
        <v>852</v>
      </c>
      <c r="L87" s="64" t="str">
        <f t="shared" si="12"/>
        <v>2.8.1</v>
      </c>
      <c r="M87" s="64" t="str">
        <f t="shared" si="10"/>
        <v>V2</v>
      </c>
      <c r="N87" s="64" t="str">
        <f t="shared" si="11"/>
        <v>V2.8</v>
      </c>
      <c r="O87" s="64" t="str">
        <f t="shared" si="13"/>
        <v>Verify that time-based OTPs have a defined lifetime before expiring.</v>
      </c>
      <c r="P87" s="64" t="str">
        <f t="shared" ca="1" si="14"/>
        <v>--- Select ---</v>
      </c>
      <c r="Q87" s="63" t="str">
        <f t="shared" si="15"/>
        <v>Y</v>
      </c>
      <c r="R87" s="63" t="str">
        <f t="shared" si="16"/>
        <v>Y</v>
      </c>
      <c r="S87" s="63" t="str">
        <f t="shared" si="17"/>
        <v>Y</v>
      </c>
    </row>
    <row r="88" spans="1:19" x14ac:dyDescent="0.35">
      <c r="A88" s="63" t="s">
        <v>41</v>
      </c>
      <c r="B88" s="61" t="s">
        <v>174</v>
      </c>
      <c r="C88" s="63" t="s">
        <v>288</v>
      </c>
      <c r="D88" s="61" t="s">
        <v>289</v>
      </c>
      <c r="E88" s="63" t="s">
        <v>293</v>
      </c>
      <c r="F88" s="61" t="s">
        <v>294</v>
      </c>
      <c r="G88" s="61" t="str">
        <f t="shared" ca="1" si="9"/>
        <v>--- Select ---</v>
      </c>
      <c r="H88" s="62" t="s">
        <v>853</v>
      </c>
      <c r="I88" s="62" t="s">
        <v>852</v>
      </c>
      <c r="J88" s="62" t="s">
        <v>852</v>
      </c>
      <c r="L88" s="64" t="str">
        <f t="shared" si="12"/>
        <v>2.8.2</v>
      </c>
      <c r="M88" s="64" t="str">
        <f t="shared" si="10"/>
        <v>V2</v>
      </c>
      <c r="N88" s="64" t="str">
        <f t="shared" si="11"/>
        <v>V2.8</v>
      </c>
      <c r="O88" s="64" t="str">
        <f t="shared" si="13"/>
        <v>Verify that symmetric keys used to verify submitted OTPs are highly protected, such as by using a hardware security module or secure operating system based key storage.</v>
      </c>
      <c r="P88" s="64" t="str">
        <f t="shared" ca="1" si="14"/>
        <v>--- Select ---</v>
      </c>
      <c r="Q88" s="63" t="str">
        <f t="shared" si="15"/>
        <v>N</v>
      </c>
      <c r="R88" s="63" t="str">
        <f t="shared" si="16"/>
        <v>Y</v>
      </c>
      <c r="S88" s="63" t="str">
        <f t="shared" si="17"/>
        <v>Y</v>
      </c>
    </row>
    <row r="89" spans="1:19" x14ac:dyDescent="0.35">
      <c r="A89" s="63" t="s">
        <v>41</v>
      </c>
      <c r="B89" s="61" t="s">
        <v>174</v>
      </c>
      <c r="C89" s="63" t="s">
        <v>288</v>
      </c>
      <c r="D89" s="61" t="s">
        <v>289</v>
      </c>
      <c r="E89" s="63" t="s">
        <v>295</v>
      </c>
      <c r="F89" s="61" t="s">
        <v>296</v>
      </c>
      <c r="G89" s="61" t="str">
        <f t="shared" ca="1" si="9"/>
        <v>--- Select ---</v>
      </c>
      <c r="H89" s="62" t="s">
        <v>853</v>
      </c>
      <c r="I89" s="62" t="s">
        <v>852</v>
      </c>
      <c r="J89" s="62" t="s">
        <v>852</v>
      </c>
      <c r="L89" s="64" t="str">
        <f t="shared" si="12"/>
        <v>2.8.3</v>
      </c>
      <c r="M89" s="64" t="str">
        <f t="shared" si="10"/>
        <v>V2</v>
      </c>
      <c r="N89" s="64" t="str">
        <f t="shared" si="11"/>
        <v>V2.8</v>
      </c>
      <c r="O89" s="64" t="str">
        <f t="shared" si="13"/>
        <v>Verify that approved cryptographic algorithms are used in the generation, seeding, and verification.</v>
      </c>
      <c r="P89" s="64" t="str">
        <f t="shared" ca="1" si="14"/>
        <v>--- Select ---</v>
      </c>
      <c r="Q89" s="63" t="str">
        <f t="shared" si="15"/>
        <v>N</v>
      </c>
      <c r="R89" s="63" t="str">
        <f t="shared" si="16"/>
        <v>Y</v>
      </c>
      <c r="S89" s="63" t="str">
        <f t="shared" si="17"/>
        <v>Y</v>
      </c>
    </row>
    <row r="90" spans="1:19" x14ac:dyDescent="0.35">
      <c r="A90" s="63" t="s">
        <v>41</v>
      </c>
      <c r="B90" s="61" t="s">
        <v>174</v>
      </c>
      <c r="C90" s="63" t="s">
        <v>288</v>
      </c>
      <c r="D90" s="61" t="s">
        <v>289</v>
      </c>
      <c r="E90" s="63" t="s">
        <v>297</v>
      </c>
      <c r="F90" s="61" t="s">
        <v>298</v>
      </c>
      <c r="G90" s="61" t="str">
        <f t="shared" ca="1" si="9"/>
        <v>--- Select ---</v>
      </c>
      <c r="H90" s="62" t="s">
        <v>853</v>
      </c>
      <c r="I90" s="62" t="s">
        <v>852</v>
      </c>
      <c r="J90" s="62" t="s">
        <v>852</v>
      </c>
      <c r="L90" s="64" t="str">
        <f t="shared" si="12"/>
        <v>2.8.4</v>
      </c>
      <c r="M90" s="64" t="str">
        <f t="shared" si="10"/>
        <v>V2</v>
      </c>
      <c r="N90" s="64" t="str">
        <f t="shared" si="11"/>
        <v>V2.8</v>
      </c>
      <c r="O90" s="64" t="str">
        <f t="shared" si="13"/>
        <v>Verify that time-based OTP can be used only once within the validity period.</v>
      </c>
      <c r="P90" s="64" t="str">
        <f t="shared" ca="1" si="14"/>
        <v>--- Select ---</v>
      </c>
      <c r="Q90" s="63" t="str">
        <f t="shared" si="15"/>
        <v>N</v>
      </c>
      <c r="R90" s="63" t="str">
        <f t="shared" si="16"/>
        <v>Y</v>
      </c>
      <c r="S90" s="63" t="str">
        <f t="shared" si="17"/>
        <v>Y</v>
      </c>
    </row>
    <row r="91" spans="1:19" x14ac:dyDescent="0.35">
      <c r="A91" s="63" t="s">
        <v>41</v>
      </c>
      <c r="B91" s="61" t="s">
        <v>174</v>
      </c>
      <c r="C91" s="63" t="s">
        <v>288</v>
      </c>
      <c r="D91" s="61" t="s">
        <v>289</v>
      </c>
      <c r="E91" s="63" t="s">
        <v>299</v>
      </c>
      <c r="F91" s="61" t="s">
        <v>300</v>
      </c>
      <c r="G91" s="61" t="str">
        <f t="shared" ca="1" si="9"/>
        <v>--- Select ---</v>
      </c>
      <c r="H91" s="62" t="s">
        <v>853</v>
      </c>
      <c r="I91" s="62" t="s">
        <v>852</v>
      </c>
      <c r="J91" s="62" t="s">
        <v>852</v>
      </c>
      <c r="L91" s="64" t="str">
        <f t="shared" si="12"/>
        <v>2.8.5</v>
      </c>
      <c r="M91" s="64" t="str">
        <f t="shared" si="10"/>
        <v>V2</v>
      </c>
      <c r="N91" s="64" t="str">
        <f t="shared" si="11"/>
        <v>V2.8</v>
      </c>
      <c r="O91" s="64" t="str">
        <f t="shared" si="13"/>
        <v>Verify that if a time-based multi factor OTP token is re-used during the validity period, it is logged and rejected with secure notifications being sent to the holder of the device.</v>
      </c>
      <c r="P91" s="64" t="str">
        <f t="shared" ca="1" si="14"/>
        <v>--- Select ---</v>
      </c>
      <c r="Q91" s="63" t="str">
        <f t="shared" si="15"/>
        <v>N</v>
      </c>
      <c r="R91" s="63" t="str">
        <f t="shared" si="16"/>
        <v>Y</v>
      </c>
      <c r="S91" s="63" t="str">
        <f t="shared" si="17"/>
        <v>Y</v>
      </c>
    </row>
    <row r="92" spans="1:19" x14ac:dyDescent="0.35">
      <c r="A92" s="63" t="s">
        <v>41</v>
      </c>
      <c r="B92" s="61" t="s">
        <v>174</v>
      </c>
      <c r="C92" s="63" t="s">
        <v>288</v>
      </c>
      <c r="D92" s="61" t="s">
        <v>289</v>
      </c>
      <c r="E92" s="63" t="s">
        <v>302</v>
      </c>
      <c r="F92" s="61" t="s">
        <v>303</v>
      </c>
      <c r="G92" s="61" t="str">
        <f t="shared" ca="1" si="9"/>
        <v>--- Select ---</v>
      </c>
      <c r="H92" s="62" t="s">
        <v>853</v>
      </c>
      <c r="I92" s="62" t="s">
        <v>852</v>
      </c>
      <c r="J92" s="62" t="s">
        <v>852</v>
      </c>
      <c r="L92" s="64" t="str">
        <f t="shared" si="12"/>
        <v>2.8.6</v>
      </c>
      <c r="M92" s="64" t="str">
        <f t="shared" si="10"/>
        <v>V2</v>
      </c>
      <c r="N92" s="64" t="str">
        <f t="shared" si="11"/>
        <v>V2.8</v>
      </c>
      <c r="O92" s="64" t="str">
        <f t="shared" si="13"/>
        <v>Verify physical single factor OTP generator can be revoked in case of theft or other loss. Ensure that revocation is immediately effective across logged in sessions, regardless of location.</v>
      </c>
      <c r="P92" s="64" t="str">
        <f t="shared" ca="1" si="14"/>
        <v>--- Select ---</v>
      </c>
      <c r="Q92" s="63" t="str">
        <f t="shared" si="15"/>
        <v>N</v>
      </c>
      <c r="R92" s="63" t="str">
        <f t="shared" si="16"/>
        <v>Y</v>
      </c>
      <c r="S92" s="63" t="str">
        <f t="shared" si="17"/>
        <v>Y</v>
      </c>
    </row>
    <row r="93" spans="1:19" x14ac:dyDescent="0.35">
      <c r="A93" s="63" t="s">
        <v>41</v>
      </c>
      <c r="B93" s="61" t="s">
        <v>174</v>
      </c>
      <c r="C93" s="63" t="s">
        <v>288</v>
      </c>
      <c r="D93" s="61" t="s">
        <v>289</v>
      </c>
      <c r="E93" s="63" t="s">
        <v>305</v>
      </c>
      <c r="F93" s="61" t="s">
        <v>306</v>
      </c>
      <c r="G93" s="61" t="str">
        <f t="shared" ca="1" si="9"/>
        <v>--- Select ---</v>
      </c>
      <c r="H93" s="62" t="s">
        <v>853</v>
      </c>
      <c r="I93" s="62" t="s">
        <v>852</v>
      </c>
      <c r="J93" s="62" t="s">
        <v>852</v>
      </c>
      <c r="L93" s="64" t="str">
        <f t="shared" si="12"/>
        <v>2.8.7</v>
      </c>
      <c r="M93" s="64" t="str">
        <f t="shared" si="10"/>
        <v>V2</v>
      </c>
      <c r="N93" s="64" t="str">
        <f t="shared" si="11"/>
        <v>V2.8</v>
      </c>
      <c r="O93" s="64" t="str">
        <f t="shared" si="13"/>
        <v>Verify that biometric authenticators are limited to use only as secondary factors in conjunction with either something you have and something you know.</v>
      </c>
      <c r="P93" s="64" t="str">
        <f t="shared" ca="1" si="14"/>
        <v>--- Select ---</v>
      </c>
      <c r="Q93" s="63" t="str">
        <f t="shared" si="15"/>
        <v>N</v>
      </c>
      <c r="R93" s="63" t="str">
        <f t="shared" si="16"/>
        <v>Y</v>
      </c>
      <c r="S93" s="63" t="str">
        <f t="shared" si="17"/>
        <v>Y</v>
      </c>
    </row>
    <row r="94" spans="1:19" x14ac:dyDescent="0.35">
      <c r="A94" s="63" t="s">
        <v>41</v>
      </c>
      <c r="B94" s="61" t="s">
        <v>174</v>
      </c>
      <c r="C94" s="63" t="s">
        <v>308</v>
      </c>
      <c r="D94" s="61" t="s">
        <v>309</v>
      </c>
      <c r="E94" s="63" t="s">
        <v>310</v>
      </c>
      <c r="F94" s="61" t="s">
        <v>311</v>
      </c>
      <c r="G94" s="61" t="str">
        <f t="shared" ca="1" si="9"/>
        <v>--- Select ---</v>
      </c>
      <c r="H94" s="62" t="s">
        <v>853</v>
      </c>
      <c r="I94" s="62" t="s">
        <v>852</v>
      </c>
      <c r="J94" s="62" t="s">
        <v>852</v>
      </c>
      <c r="L94" s="64" t="str">
        <f t="shared" si="12"/>
        <v>2.9.1</v>
      </c>
      <c r="M94" s="64" t="str">
        <f t="shared" si="10"/>
        <v>V2</v>
      </c>
      <c r="N94" s="64" t="str">
        <f t="shared" si="11"/>
        <v>V2.9</v>
      </c>
      <c r="O94" s="64" t="str">
        <f t="shared" si="13"/>
        <v>Verify that cryptographic keys used in verification are stored securely and protected against disclosure, such as using a TPM or HSM, or an OS service that can use this secure storage.</v>
      </c>
      <c r="P94" s="64" t="str">
        <f t="shared" ca="1" si="14"/>
        <v>--- Select ---</v>
      </c>
      <c r="Q94" s="63" t="str">
        <f t="shared" si="15"/>
        <v>N</v>
      </c>
      <c r="R94" s="63" t="str">
        <f t="shared" si="16"/>
        <v>Y</v>
      </c>
      <c r="S94" s="63" t="str">
        <f t="shared" si="17"/>
        <v>Y</v>
      </c>
    </row>
    <row r="95" spans="1:19" x14ac:dyDescent="0.35">
      <c r="A95" s="63" t="s">
        <v>41</v>
      </c>
      <c r="B95" s="61" t="s">
        <v>174</v>
      </c>
      <c r="C95" s="63" t="s">
        <v>308</v>
      </c>
      <c r="D95" s="61" t="s">
        <v>309</v>
      </c>
      <c r="E95" s="63" t="s">
        <v>313</v>
      </c>
      <c r="F95" s="61" t="s">
        <v>314</v>
      </c>
      <c r="G95" s="61" t="str">
        <f t="shared" ca="1" si="9"/>
        <v>--- Select ---</v>
      </c>
      <c r="H95" s="62" t="s">
        <v>853</v>
      </c>
      <c r="I95" s="62" t="s">
        <v>852</v>
      </c>
      <c r="J95" s="62" t="s">
        <v>852</v>
      </c>
      <c r="L95" s="64" t="str">
        <f t="shared" si="12"/>
        <v>2.9.2</v>
      </c>
      <c r="M95" s="64" t="str">
        <f t="shared" si="10"/>
        <v>V2</v>
      </c>
      <c r="N95" s="64" t="str">
        <f t="shared" si="11"/>
        <v>V2.9</v>
      </c>
      <c r="O95" s="64" t="str">
        <f t="shared" si="13"/>
        <v>Verify that the challenge nonce is at least 64 bits in length, and statistically unique or unique over the lifetime of the cryptographic device.</v>
      </c>
      <c r="P95" s="64" t="str">
        <f t="shared" ca="1" si="14"/>
        <v>--- Select ---</v>
      </c>
      <c r="Q95" s="63" t="str">
        <f t="shared" si="15"/>
        <v>N</v>
      </c>
      <c r="R95" s="63" t="str">
        <f t="shared" si="16"/>
        <v>Y</v>
      </c>
      <c r="S95" s="63" t="str">
        <f t="shared" si="17"/>
        <v>Y</v>
      </c>
    </row>
    <row r="96" spans="1:19" x14ac:dyDescent="0.35">
      <c r="A96" s="63" t="s">
        <v>41</v>
      </c>
      <c r="B96" s="61" t="s">
        <v>174</v>
      </c>
      <c r="C96" s="63" t="s">
        <v>308</v>
      </c>
      <c r="D96" s="61" t="s">
        <v>309</v>
      </c>
      <c r="E96" s="63" t="s">
        <v>315</v>
      </c>
      <c r="F96" s="61" t="s">
        <v>296</v>
      </c>
      <c r="G96" s="61" t="str">
        <f t="shared" ca="1" si="9"/>
        <v>--- Select ---</v>
      </c>
      <c r="H96" s="62" t="s">
        <v>853</v>
      </c>
      <c r="I96" s="62" t="s">
        <v>852</v>
      </c>
      <c r="J96" s="62" t="s">
        <v>852</v>
      </c>
      <c r="L96" s="64" t="str">
        <f t="shared" si="12"/>
        <v>2.9.3</v>
      </c>
      <c r="M96" s="64" t="str">
        <f t="shared" si="10"/>
        <v>V2</v>
      </c>
      <c r="N96" s="64" t="str">
        <f t="shared" si="11"/>
        <v>V2.9</v>
      </c>
      <c r="O96" s="64" t="str">
        <f t="shared" si="13"/>
        <v>Verify that approved cryptographic algorithms are used in the generation, seeding, and verification.</v>
      </c>
      <c r="P96" s="64" t="str">
        <f t="shared" ca="1" si="14"/>
        <v>--- Select ---</v>
      </c>
      <c r="Q96" s="63" t="str">
        <f t="shared" si="15"/>
        <v>N</v>
      </c>
      <c r="R96" s="63" t="str">
        <f t="shared" si="16"/>
        <v>Y</v>
      </c>
      <c r="S96" s="63" t="str">
        <f t="shared" si="17"/>
        <v>Y</v>
      </c>
    </row>
    <row r="97" spans="1:19" x14ac:dyDescent="0.35">
      <c r="A97" s="63" t="s">
        <v>41</v>
      </c>
      <c r="B97" s="61" t="s">
        <v>174</v>
      </c>
      <c r="C97" s="63" t="s">
        <v>316</v>
      </c>
      <c r="D97" s="61" t="s">
        <v>317</v>
      </c>
      <c r="E97" s="63" t="s">
        <v>318</v>
      </c>
      <c r="F97" s="61" t="s">
        <v>319</v>
      </c>
      <c r="G97" s="61" t="str">
        <f t="shared" ca="1" si="9"/>
        <v>--- Select ---</v>
      </c>
      <c r="H97" s="62" t="s">
        <v>853</v>
      </c>
      <c r="I97" s="62" t="s">
        <v>852</v>
      </c>
      <c r="J97" s="62" t="s">
        <v>852</v>
      </c>
      <c r="L97" s="64" t="str">
        <f t="shared" si="12"/>
        <v>2.10.1</v>
      </c>
      <c r="M97" s="64" t="str">
        <f t="shared" si="10"/>
        <v>V2</v>
      </c>
      <c r="N97" s="64" t="str">
        <f t="shared" si="11"/>
        <v>V2.10</v>
      </c>
      <c r="O97" s="64" t="str">
        <f t="shared" si="13"/>
        <v>Verify that integration secrets do not rely on unchanging passwords, such as API keys or shared privileged accounts.</v>
      </c>
      <c r="P97" s="64" t="str">
        <f t="shared" ca="1" si="14"/>
        <v>--- Select ---</v>
      </c>
      <c r="Q97" s="63" t="str">
        <f t="shared" si="15"/>
        <v>N</v>
      </c>
      <c r="R97" s="63" t="str">
        <f t="shared" si="16"/>
        <v>Y</v>
      </c>
      <c r="S97" s="63" t="str">
        <f t="shared" si="17"/>
        <v>Y</v>
      </c>
    </row>
    <row r="98" spans="1:19" x14ac:dyDescent="0.35">
      <c r="A98" s="63" t="s">
        <v>41</v>
      </c>
      <c r="B98" s="61" t="s">
        <v>174</v>
      </c>
      <c r="C98" s="63" t="s">
        <v>316</v>
      </c>
      <c r="D98" s="61" t="s">
        <v>317</v>
      </c>
      <c r="E98" s="63" t="s">
        <v>321</v>
      </c>
      <c r="F98" s="61" t="s">
        <v>322</v>
      </c>
      <c r="G98" s="61" t="str">
        <f t="shared" ca="1" si="9"/>
        <v>--- Select ---</v>
      </c>
      <c r="H98" s="62" t="s">
        <v>853</v>
      </c>
      <c r="I98" s="62" t="s">
        <v>852</v>
      </c>
      <c r="J98" s="62" t="s">
        <v>852</v>
      </c>
      <c r="L98" s="64" t="str">
        <f t="shared" si="12"/>
        <v>2.10.2</v>
      </c>
      <c r="M98" s="64" t="str">
        <f t="shared" si="10"/>
        <v>V2</v>
      </c>
      <c r="N98" s="64" t="str">
        <f t="shared" si="11"/>
        <v>V2.10</v>
      </c>
      <c r="O98" s="64" t="str">
        <f t="shared" si="13"/>
        <v>Verify that if passwords are required, the credentials are not a default account.</v>
      </c>
      <c r="P98" s="64" t="str">
        <f t="shared" ca="1" si="14"/>
        <v>--- Select ---</v>
      </c>
      <c r="Q98" s="63" t="str">
        <f t="shared" si="15"/>
        <v>N</v>
      </c>
      <c r="R98" s="63" t="str">
        <f t="shared" si="16"/>
        <v>Y</v>
      </c>
      <c r="S98" s="63" t="str">
        <f t="shared" si="17"/>
        <v>Y</v>
      </c>
    </row>
    <row r="99" spans="1:19" x14ac:dyDescent="0.35">
      <c r="A99" s="63" t="s">
        <v>41</v>
      </c>
      <c r="B99" s="61" t="s">
        <v>174</v>
      </c>
      <c r="C99" s="63" t="s">
        <v>316</v>
      </c>
      <c r="D99" s="61" t="s">
        <v>317</v>
      </c>
      <c r="E99" s="63" t="s">
        <v>323</v>
      </c>
      <c r="F99" s="61" t="s">
        <v>324</v>
      </c>
      <c r="G99" s="61" t="str">
        <f t="shared" ca="1" si="9"/>
        <v>--- Select ---</v>
      </c>
      <c r="H99" s="62" t="s">
        <v>853</v>
      </c>
      <c r="I99" s="62" t="s">
        <v>852</v>
      </c>
      <c r="J99" s="62" t="s">
        <v>852</v>
      </c>
      <c r="L99" s="64" t="str">
        <f t="shared" si="12"/>
        <v>2.10.3</v>
      </c>
      <c r="M99" s="64" t="str">
        <f t="shared" si="10"/>
        <v>V2</v>
      </c>
      <c r="N99" s="64" t="str">
        <f t="shared" si="11"/>
        <v>V2.10</v>
      </c>
      <c r="O99" s="64" t="str">
        <f t="shared" si="13"/>
        <v>Verify that passwords are stored with sufficient protection to prevent offline recovery attacks, including local system access.</v>
      </c>
      <c r="P99" s="64" t="str">
        <f t="shared" ca="1" si="14"/>
        <v>--- Select ---</v>
      </c>
      <c r="Q99" s="63" t="str">
        <f t="shared" si="15"/>
        <v>N</v>
      </c>
      <c r="R99" s="63" t="str">
        <f t="shared" si="16"/>
        <v>Y</v>
      </c>
      <c r="S99" s="63" t="str">
        <f t="shared" si="17"/>
        <v>Y</v>
      </c>
    </row>
    <row r="100" spans="1:19" x14ac:dyDescent="0.35">
      <c r="A100" s="63" t="s">
        <v>41</v>
      </c>
      <c r="B100" s="61" t="s">
        <v>174</v>
      </c>
      <c r="C100" s="63" t="s">
        <v>316</v>
      </c>
      <c r="D100" s="61" t="s">
        <v>317</v>
      </c>
      <c r="E100" s="63" t="s">
        <v>325</v>
      </c>
      <c r="F100" s="61" t="s">
        <v>326</v>
      </c>
      <c r="G100" s="61" t="str">
        <f t="shared" ca="1" si="9"/>
        <v>--- Select ---</v>
      </c>
      <c r="H100" s="62" t="s">
        <v>853</v>
      </c>
      <c r="I100" s="62" t="s">
        <v>852</v>
      </c>
      <c r="J100" s="62" t="s">
        <v>852</v>
      </c>
      <c r="L100" s="64" t="str">
        <f t="shared" si="12"/>
        <v>2.10.4</v>
      </c>
      <c r="M100" s="64" t="str">
        <f t="shared" si="10"/>
        <v>V2</v>
      </c>
      <c r="N100" s="64" t="str">
        <f t="shared" si="11"/>
        <v>V2.10</v>
      </c>
      <c r="O100" s="64" t="str">
        <f t="shared" si="13"/>
        <v>Verify passwords, integrations with databases and third-party systems, seeds and internal secrets, and API keys are managed securely and not included in the source code or stored within source code repositories. Such storage SHOULD resist offline attacks. The use of a secure software key store (L1), hardware trusted platform module (TPM), or a hardware security module (L3) is recommended for password storage.</v>
      </c>
      <c r="P100" s="64" t="str">
        <f t="shared" ca="1" si="14"/>
        <v>--- Select ---</v>
      </c>
      <c r="Q100" s="63" t="str">
        <f t="shared" si="15"/>
        <v>N</v>
      </c>
      <c r="R100" s="63" t="str">
        <f t="shared" si="16"/>
        <v>Y</v>
      </c>
      <c r="S100" s="63" t="str">
        <f t="shared" si="17"/>
        <v>Y</v>
      </c>
    </row>
    <row r="101" spans="1:19" x14ac:dyDescent="0.35">
      <c r="A101" s="63" t="s">
        <v>42</v>
      </c>
      <c r="B101" s="61" t="s">
        <v>328</v>
      </c>
      <c r="C101" s="63" t="s">
        <v>330</v>
      </c>
      <c r="D101" s="61" t="s">
        <v>329</v>
      </c>
      <c r="E101" s="63" t="s">
        <v>331</v>
      </c>
      <c r="F101" s="61" t="s">
        <v>332</v>
      </c>
      <c r="G101" s="61" t="str">
        <f t="shared" ca="1" si="9"/>
        <v>--- Select ---</v>
      </c>
      <c r="H101" s="62" t="s">
        <v>852</v>
      </c>
      <c r="I101" s="62" t="s">
        <v>852</v>
      </c>
      <c r="J101" s="62" t="s">
        <v>852</v>
      </c>
      <c r="L101" s="64" t="str">
        <f t="shared" si="12"/>
        <v>3.1.1</v>
      </c>
      <c r="M101" s="64" t="str">
        <f t="shared" si="10"/>
        <v>V3</v>
      </c>
      <c r="N101" s="64" t="str">
        <f t="shared" si="11"/>
        <v>V3.1</v>
      </c>
      <c r="O101" s="64" t="str">
        <f t="shared" si="13"/>
        <v>Verify the application never reveals session tokens in URL parameters or error messages.</v>
      </c>
      <c r="P101" s="64" t="str">
        <f t="shared" ca="1" si="14"/>
        <v>--- Select ---</v>
      </c>
      <c r="Q101" s="63" t="str">
        <f t="shared" si="15"/>
        <v>Y</v>
      </c>
      <c r="R101" s="63" t="str">
        <f t="shared" si="16"/>
        <v>Y</v>
      </c>
      <c r="S101" s="63" t="str">
        <f t="shared" si="17"/>
        <v>Y</v>
      </c>
    </row>
    <row r="102" spans="1:19" x14ac:dyDescent="0.35">
      <c r="A102" s="63" t="s">
        <v>42</v>
      </c>
      <c r="B102" s="61" t="s">
        <v>328</v>
      </c>
      <c r="C102" s="63" t="s">
        <v>333</v>
      </c>
      <c r="D102" s="61" t="s">
        <v>334</v>
      </c>
      <c r="E102" s="63" t="s">
        <v>335</v>
      </c>
      <c r="F102" s="61" t="s">
        <v>336</v>
      </c>
      <c r="G102" s="61" t="str">
        <f t="shared" ca="1" si="9"/>
        <v>--- Select ---</v>
      </c>
      <c r="H102" s="62" t="s">
        <v>852</v>
      </c>
      <c r="I102" s="62" t="s">
        <v>852</v>
      </c>
      <c r="J102" s="62" t="s">
        <v>852</v>
      </c>
      <c r="L102" s="64" t="str">
        <f t="shared" si="12"/>
        <v>3.2.1</v>
      </c>
      <c r="M102" s="64" t="str">
        <f t="shared" si="10"/>
        <v>V3</v>
      </c>
      <c r="N102" s="64" t="str">
        <f t="shared" si="11"/>
        <v>V3.2</v>
      </c>
      <c r="O102" s="64" t="str">
        <f t="shared" si="13"/>
        <v>Verify the application generates a new session token on user authentication. (C6)</v>
      </c>
      <c r="P102" s="64" t="str">
        <f t="shared" ca="1" si="14"/>
        <v>--- Select ---</v>
      </c>
      <c r="Q102" s="63" t="str">
        <f t="shared" si="15"/>
        <v>Y</v>
      </c>
      <c r="R102" s="63" t="str">
        <f t="shared" si="16"/>
        <v>Y</v>
      </c>
      <c r="S102" s="63" t="str">
        <f t="shared" si="17"/>
        <v>Y</v>
      </c>
    </row>
    <row r="103" spans="1:19" x14ac:dyDescent="0.35">
      <c r="A103" s="63" t="s">
        <v>42</v>
      </c>
      <c r="B103" s="61" t="s">
        <v>328</v>
      </c>
      <c r="C103" s="63" t="s">
        <v>333</v>
      </c>
      <c r="D103" s="61" t="s">
        <v>334</v>
      </c>
      <c r="E103" s="63" t="s">
        <v>337</v>
      </c>
      <c r="F103" s="61" t="s">
        <v>338</v>
      </c>
      <c r="G103" s="61" t="str">
        <f t="shared" ca="1" si="9"/>
        <v>--- Select ---</v>
      </c>
      <c r="H103" s="62" t="s">
        <v>852</v>
      </c>
      <c r="I103" s="62" t="s">
        <v>852</v>
      </c>
      <c r="J103" s="62" t="s">
        <v>852</v>
      </c>
      <c r="L103" s="64" t="str">
        <f t="shared" si="12"/>
        <v>3.2.2</v>
      </c>
      <c r="M103" s="64" t="str">
        <f t="shared" si="10"/>
        <v>V3</v>
      </c>
      <c r="N103" s="64" t="str">
        <f t="shared" si="11"/>
        <v>V3.2</v>
      </c>
      <c r="O103" s="64" t="str">
        <f t="shared" si="13"/>
        <v>Verify that session tokens possess at least 64 bits of entropy. (C6)</v>
      </c>
      <c r="P103" s="64" t="str">
        <f t="shared" ca="1" si="14"/>
        <v>--- Select ---</v>
      </c>
      <c r="Q103" s="63" t="str">
        <f t="shared" si="15"/>
        <v>Y</v>
      </c>
      <c r="R103" s="63" t="str">
        <f t="shared" si="16"/>
        <v>Y</v>
      </c>
      <c r="S103" s="63" t="str">
        <f t="shared" si="17"/>
        <v>Y</v>
      </c>
    </row>
    <row r="104" spans="1:19" x14ac:dyDescent="0.35">
      <c r="A104" s="63" t="s">
        <v>42</v>
      </c>
      <c r="B104" s="61" t="s">
        <v>328</v>
      </c>
      <c r="C104" s="63" t="s">
        <v>333</v>
      </c>
      <c r="D104" s="61" t="s">
        <v>334</v>
      </c>
      <c r="E104" s="63" t="s">
        <v>339</v>
      </c>
      <c r="F104" s="61" t="s">
        <v>340</v>
      </c>
      <c r="G104" s="61" t="str">
        <f t="shared" ca="1" si="9"/>
        <v>--- Select ---</v>
      </c>
      <c r="H104" s="62" t="s">
        <v>852</v>
      </c>
      <c r="I104" s="62" t="s">
        <v>852</v>
      </c>
      <c r="J104" s="62" t="s">
        <v>852</v>
      </c>
      <c r="L104" s="64" t="str">
        <f t="shared" si="12"/>
        <v>3.2.3</v>
      </c>
      <c r="M104" s="64" t="str">
        <f t="shared" si="10"/>
        <v>V3</v>
      </c>
      <c r="N104" s="64" t="str">
        <f t="shared" si="11"/>
        <v>V3.2</v>
      </c>
      <c r="O104" s="64" t="str">
        <f t="shared" si="13"/>
        <v>Verify the application only stores session tokens in the browser using secure methods such as appropriately secured cookies (see section 3.4) or HTML 5 session storage.</v>
      </c>
      <c r="P104" s="64" t="str">
        <f t="shared" ca="1" si="14"/>
        <v>--- Select ---</v>
      </c>
      <c r="Q104" s="63" t="str">
        <f t="shared" si="15"/>
        <v>Y</v>
      </c>
      <c r="R104" s="63" t="str">
        <f t="shared" si="16"/>
        <v>Y</v>
      </c>
      <c r="S104" s="63" t="str">
        <f t="shared" si="17"/>
        <v>Y</v>
      </c>
    </row>
    <row r="105" spans="1:19" x14ac:dyDescent="0.35">
      <c r="A105" s="63" t="s">
        <v>42</v>
      </c>
      <c r="B105" s="61" t="s">
        <v>328</v>
      </c>
      <c r="C105" s="63" t="s">
        <v>333</v>
      </c>
      <c r="D105" s="61" t="s">
        <v>334</v>
      </c>
      <c r="E105" s="63" t="s">
        <v>341</v>
      </c>
      <c r="F105" s="61" t="s">
        <v>342</v>
      </c>
      <c r="G105" s="61" t="str">
        <f t="shared" ca="1" si="9"/>
        <v>--- Select ---</v>
      </c>
      <c r="H105" s="62" t="s">
        <v>853</v>
      </c>
      <c r="I105" s="62" t="s">
        <v>852</v>
      </c>
      <c r="J105" s="62" t="s">
        <v>852</v>
      </c>
      <c r="L105" s="64" t="str">
        <f t="shared" si="12"/>
        <v>3.2.4</v>
      </c>
      <c r="M105" s="64" t="str">
        <f t="shared" si="10"/>
        <v>V3</v>
      </c>
      <c r="N105" s="64" t="str">
        <f t="shared" si="11"/>
        <v>V3.2</v>
      </c>
      <c r="O105" s="64" t="str">
        <f t="shared" si="13"/>
        <v>Verify that session token are generated using approved cryptographic algorithms. (C6)</v>
      </c>
      <c r="P105" s="64" t="str">
        <f t="shared" ca="1" si="14"/>
        <v>--- Select ---</v>
      </c>
      <c r="Q105" s="63" t="str">
        <f t="shared" si="15"/>
        <v>N</v>
      </c>
      <c r="R105" s="63" t="str">
        <f t="shared" si="16"/>
        <v>Y</v>
      </c>
      <c r="S105" s="63" t="str">
        <f t="shared" si="17"/>
        <v>Y</v>
      </c>
    </row>
    <row r="106" spans="1:19" x14ac:dyDescent="0.35">
      <c r="A106" s="63" t="s">
        <v>42</v>
      </c>
      <c r="B106" s="61" t="s">
        <v>328</v>
      </c>
      <c r="C106" s="63" t="s">
        <v>343</v>
      </c>
      <c r="D106" s="61" t="s">
        <v>344</v>
      </c>
      <c r="E106" s="63" t="s">
        <v>345</v>
      </c>
      <c r="F106" s="61" t="s">
        <v>346</v>
      </c>
      <c r="G106" s="61" t="str">
        <f t="shared" ca="1" si="9"/>
        <v>--- Select ---</v>
      </c>
      <c r="H106" s="62" t="s">
        <v>852</v>
      </c>
      <c r="I106" s="62" t="s">
        <v>852</v>
      </c>
      <c r="J106" s="62" t="s">
        <v>852</v>
      </c>
      <c r="L106" s="64" t="str">
        <f t="shared" si="12"/>
        <v>3.3.1</v>
      </c>
      <c r="M106" s="64" t="str">
        <f t="shared" si="10"/>
        <v>V3</v>
      </c>
      <c r="N106" s="64" t="str">
        <f t="shared" si="11"/>
        <v>V3.3</v>
      </c>
      <c r="O106" s="64" t="str">
        <f t="shared" si="13"/>
        <v>Verify that logout and expiration invalidate the session token, such that the back button or a downstream relying party does not resume an authenticated session, including across relying parties. (C6)</v>
      </c>
      <c r="P106" s="64" t="str">
        <f t="shared" ca="1" si="14"/>
        <v>--- Select ---</v>
      </c>
      <c r="Q106" s="63" t="str">
        <f t="shared" si="15"/>
        <v>Y</v>
      </c>
      <c r="R106" s="63" t="str">
        <f t="shared" si="16"/>
        <v>Y</v>
      </c>
      <c r="S106" s="63" t="str">
        <f t="shared" si="17"/>
        <v>Y</v>
      </c>
    </row>
    <row r="107" spans="1:19" x14ac:dyDescent="0.35">
      <c r="A107" s="63" t="s">
        <v>42</v>
      </c>
      <c r="B107" s="61" t="s">
        <v>328</v>
      </c>
      <c r="C107" s="63" t="s">
        <v>343</v>
      </c>
      <c r="D107" s="61" t="s">
        <v>344</v>
      </c>
      <c r="E107" s="63" t="s">
        <v>347</v>
      </c>
      <c r="F107" s="61" t="s">
        <v>348</v>
      </c>
      <c r="G107" s="61" t="str">
        <f t="shared" ca="1" si="9"/>
        <v>--- Select ---</v>
      </c>
      <c r="H107" s="62" t="s">
        <v>852</v>
      </c>
      <c r="I107" s="62" t="s">
        <v>852</v>
      </c>
      <c r="J107" s="62" t="s">
        <v>852</v>
      </c>
      <c r="L107" s="64" t="str">
        <f t="shared" si="12"/>
        <v>3.3.2</v>
      </c>
      <c r="M107" s="64" t="str">
        <f t="shared" si="10"/>
        <v>V3</v>
      </c>
      <c r="N107" s="64" t="str">
        <f t="shared" si="11"/>
        <v>V3.3</v>
      </c>
      <c r="O107" s="64" t="str">
        <f t="shared" si="13"/>
        <v>If authenticators permit users to remain logged in, verify that re-authentication occurs periodically both when actively used or after an idle period. (C6)</v>
      </c>
      <c r="P107" s="64" t="str">
        <f t="shared" ca="1" si="14"/>
        <v>--- Select ---</v>
      </c>
      <c r="Q107" s="63" t="str">
        <f t="shared" si="15"/>
        <v>Y</v>
      </c>
      <c r="R107" s="63" t="str">
        <f t="shared" si="16"/>
        <v>Y</v>
      </c>
      <c r="S107" s="63" t="str">
        <f t="shared" si="17"/>
        <v>Y</v>
      </c>
    </row>
    <row r="108" spans="1:19" x14ac:dyDescent="0.35">
      <c r="A108" s="63" t="s">
        <v>42</v>
      </c>
      <c r="B108" s="61" t="s">
        <v>328</v>
      </c>
      <c r="C108" s="63" t="s">
        <v>343</v>
      </c>
      <c r="D108" s="61" t="s">
        <v>344</v>
      </c>
      <c r="E108" s="63" t="s">
        <v>349</v>
      </c>
      <c r="F108" s="61" t="s">
        <v>350</v>
      </c>
      <c r="G108" s="61" t="str">
        <f t="shared" ca="1" si="9"/>
        <v>--- Select ---</v>
      </c>
      <c r="H108" s="62" t="s">
        <v>853</v>
      </c>
      <c r="I108" s="62" t="s">
        <v>852</v>
      </c>
      <c r="J108" s="62" t="s">
        <v>852</v>
      </c>
      <c r="L108" s="64" t="str">
        <f t="shared" si="12"/>
        <v>3.3.3</v>
      </c>
      <c r="M108" s="64" t="str">
        <f t="shared" si="10"/>
        <v>V3</v>
      </c>
      <c r="N108" s="64" t="str">
        <f t="shared" si="11"/>
        <v>V3.3</v>
      </c>
      <c r="O108" s="64" t="str">
        <f t="shared" si="13"/>
        <v>Verify that the application terminates all other active sessions after a successful password change, and that this is effective across the application, federated login (if present), and any relying parties.</v>
      </c>
      <c r="P108" s="64" t="str">
        <f t="shared" ca="1" si="14"/>
        <v>--- Select ---</v>
      </c>
      <c r="Q108" s="63" t="str">
        <f t="shared" si="15"/>
        <v>N</v>
      </c>
      <c r="R108" s="63" t="str">
        <f t="shared" si="16"/>
        <v>Y</v>
      </c>
      <c r="S108" s="63" t="str">
        <f t="shared" si="17"/>
        <v>Y</v>
      </c>
    </row>
    <row r="109" spans="1:19" x14ac:dyDescent="0.35">
      <c r="A109" s="63" t="s">
        <v>42</v>
      </c>
      <c r="B109" s="61" t="s">
        <v>328</v>
      </c>
      <c r="C109" s="63" t="s">
        <v>343</v>
      </c>
      <c r="D109" s="61" t="s">
        <v>344</v>
      </c>
      <c r="E109" s="63" t="s">
        <v>351</v>
      </c>
      <c r="F109" s="61" t="s">
        <v>352</v>
      </c>
      <c r="G109" s="61" t="str">
        <f t="shared" ca="1" si="9"/>
        <v>--- Select ---</v>
      </c>
      <c r="H109" s="62" t="s">
        <v>853</v>
      </c>
      <c r="I109" s="62" t="s">
        <v>852</v>
      </c>
      <c r="J109" s="62" t="s">
        <v>852</v>
      </c>
      <c r="L109" s="64" t="str">
        <f t="shared" si="12"/>
        <v>3.3.4</v>
      </c>
      <c r="M109" s="64" t="str">
        <f t="shared" si="10"/>
        <v>V3</v>
      </c>
      <c r="N109" s="64" t="str">
        <f t="shared" si="11"/>
        <v>V3.3</v>
      </c>
      <c r="O109" s="64" t="str">
        <f t="shared" si="13"/>
        <v>Verify that users are able to view and log out of any or all currently active sessions and devices.</v>
      </c>
      <c r="P109" s="64" t="str">
        <f t="shared" ca="1" si="14"/>
        <v>--- Select ---</v>
      </c>
      <c r="Q109" s="63" t="str">
        <f t="shared" si="15"/>
        <v>N</v>
      </c>
      <c r="R109" s="63" t="str">
        <f t="shared" si="16"/>
        <v>Y</v>
      </c>
      <c r="S109" s="63" t="str">
        <f t="shared" si="17"/>
        <v>Y</v>
      </c>
    </row>
    <row r="110" spans="1:19" x14ac:dyDescent="0.35">
      <c r="A110" s="63" t="s">
        <v>42</v>
      </c>
      <c r="B110" s="61" t="s">
        <v>328</v>
      </c>
      <c r="C110" s="63" t="s">
        <v>353</v>
      </c>
      <c r="D110" s="61" t="s">
        <v>354</v>
      </c>
      <c r="E110" s="63" t="s">
        <v>355</v>
      </c>
      <c r="F110" s="61" t="s">
        <v>356</v>
      </c>
      <c r="G110" s="61" t="str">
        <f t="shared" ca="1" si="9"/>
        <v>--- Select ---</v>
      </c>
      <c r="H110" s="62" t="s">
        <v>852</v>
      </c>
      <c r="I110" s="62" t="s">
        <v>852</v>
      </c>
      <c r="J110" s="62" t="s">
        <v>852</v>
      </c>
      <c r="L110" s="64" t="str">
        <f t="shared" si="12"/>
        <v>3.4.1</v>
      </c>
      <c r="M110" s="64" t="str">
        <f t="shared" si="10"/>
        <v>V3</v>
      </c>
      <c r="N110" s="64" t="str">
        <f t="shared" si="11"/>
        <v>V3.4</v>
      </c>
      <c r="O110" s="64" t="str">
        <f t="shared" si="13"/>
        <v>Verify that cookie-based session tokens have the 'Secure' attribute set. (C6)</v>
      </c>
      <c r="P110" s="64" t="str">
        <f t="shared" ca="1" si="14"/>
        <v>--- Select ---</v>
      </c>
      <c r="Q110" s="63" t="str">
        <f t="shared" si="15"/>
        <v>Y</v>
      </c>
      <c r="R110" s="63" t="str">
        <f t="shared" si="16"/>
        <v>Y</v>
      </c>
      <c r="S110" s="63" t="str">
        <f t="shared" si="17"/>
        <v>Y</v>
      </c>
    </row>
    <row r="111" spans="1:19" x14ac:dyDescent="0.35">
      <c r="A111" s="63" t="s">
        <v>42</v>
      </c>
      <c r="B111" s="61" t="s">
        <v>328</v>
      </c>
      <c r="C111" s="63" t="s">
        <v>353</v>
      </c>
      <c r="D111" s="61" t="s">
        <v>354</v>
      </c>
      <c r="E111" s="63" t="s">
        <v>358</v>
      </c>
      <c r="F111" s="61" t="s">
        <v>359</v>
      </c>
      <c r="G111" s="61" t="str">
        <f t="shared" ca="1" si="9"/>
        <v>--- Select ---</v>
      </c>
      <c r="H111" s="62" t="s">
        <v>852</v>
      </c>
      <c r="I111" s="62" t="s">
        <v>852</v>
      </c>
      <c r="J111" s="62" t="s">
        <v>852</v>
      </c>
      <c r="L111" s="64" t="str">
        <f t="shared" si="12"/>
        <v>3.4.2</v>
      </c>
      <c r="M111" s="64" t="str">
        <f t="shared" si="10"/>
        <v>V3</v>
      </c>
      <c r="N111" s="64" t="str">
        <f t="shared" si="11"/>
        <v>V3.4</v>
      </c>
      <c r="O111" s="64" t="str">
        <f t="shared" si="13"/>
        <v>Verify that cookie-based session tokens have the 'HttpOnly' attribute set. (C6)</v>
      </c>
      <c r="P111" s="64" t="str">
        <f t="shared" ca="1" si="14"/>
        <v>--- Select ---</v>
      </c>
      <c r="Q111" s="63" t="str">
        <f t="shared" si="15"/>
        <v>Y</v>
      </c>
      <c r="R111" s="63" t="str">
        <f t="shared" si="16"/>
        <v>Y</v>
      </c>
      <c r="S111" s="63" t="str">
        <f t="shared" si="17"/>
        <v>Y</v>
      </c>
    </row>
    <row r="112" spans="1:19" x14ac:dyDescent="0.35">
      <c r="A112" s="63" t="s">
        <v>42</v>
      </c>
      <c r="B112" s="61" t="s">
        <v>328</v>
      </c>
      <c r="C112" s="63" t="s">
        <v>353</v>
      </c>
      <c r="D112" s="61" t="s">
        <v>354</v>
      </c>
      <c r="E112" s="63" t="s">
        <v>360</v>
      </c>
      <c r="F112" s="61" t="s">
        <v>361</v>
      </c>
      <c r="G112" s="61" t="str">
        <f t="shared" ca="1" si="9"/>
        <v>--- Select ---</v>
      </c>
      <c r="H112" s="62" t="s">
        <v>852</v>
      </c>
      <c r="I112" s="62" t="s">
        <v>852</v>
      </c>
      <c r="J112" s="62" t="s">
        <v>852</v>
      </c>
      <c r="L112" s="64" t="str">
        <f t="shared" si="12"/>
        <v>3.4.3</v>
      </c>
      <c r="M112" s="64" t="str">
        <f t="shared" si="10"/>
        <v>V3</v>
      </c>
      <c r="N112" s="64" t="str">
        <f t="shared" si="11"/>
        <v>V3.4</v>
      </c>
      <c r="O112" s="64" t="str">
        <f t="shared" si="13"/>
        <v>Verify that cookie-based session tokens utilize the 'SameSite' attribute to limit exposure to cross-site request forgery attacks. (C6)</v>
      </c>
      <c r="P112" s="64" t="str">
        <f t="shared" ca="1" si="14"/>
        <v>--- Select ---</v>
      </c>
      <c r="Q112" s="63" t="str">
        <f t="shared" si="15"/>
        <v>Y</v>
      </c>
      <c r="R112" s="63" t="str">
        <f t="shared" si="16"/>
        <v>Y</v>
      </c>
      <c r="S112" s="63" t="str">
        <f t="shared" si="17"/>
        <v>Y</v>
      </c>
    </row>
    <row r="113" spans="1:19" x14ac:dyDescent="0.35">
      <c r="A113" s="63" t="s">
        <v>42</v>
      </c>
      <c r="B113" s="61" t="s">
        <v>328</v>
      </c>
      <c r="C113" s="63" t="s">
        <v>353</v>
      </c>
      <c r="D113" s="61" t="s">
        <v>354</v>
      </c>
      <c r="E113" s="63" t="s">
        <v>362</v>
      </c>
      <c r="F113" s="61" t="s">
        <v>363</v>
      </c>
      <c r="G113" s="61" t="str">
        <f t="shared" ca="1" si="9"/>
        <v>--- Select ---</v>
      </c>
      <c r="H113" s="62" t="s">
        <v>852</v>
      </c>
      <c r="I113" s="62" t="s">
        <v>852</v>
      </c>
      <c r="J113" s="62" t="s">
        <v>852</v>
      </c>
      <c r="L113" s="64" t="str">
        <f t="shared" si="12"/>
        <v>3.4.4</v>
      </c>
      <c r="M113" s="64" t="str">
        <f t="shared" si="10"/>
        <v>V3</v>
      </c>
      <c r="N113" s="64" t="str">
        <f t="shared" si="11"/>
        <v>V3.4</v>
      </c>
      <c r="O113" s="64" t="str">
        <f t="shared" si="13"/>
        <v>Verify that cookie-based session tokens use "__Host-" prefix (see references) to provide session cookie confidentiality.</v>
      </c>
      <c r="P113" s="64" t="str">
        <f t="shared" ca="1" si="14"/>
        <v>--- Select ---</v>
      </c>
      <c r="Q113" s="63" t="str">
        <f t="shared" si="15"/>
        <v>Y</v>
      </c>
      <c r="R113" s="63" t="str">
        <f t="shared" si="16"/>
        <v>Y</v>
      </c>
      <c r="S113" s="63" t="str">
        <f t="shared" si="17"/>
        <v>Y</v>
      </c>
    </row>
    <row r="114" spans="1:19" x14ac:dyDescent="0.35">
      <c r="A114" s="63" t="s">
        <v>42</v>
      </c>
      <c r="B114" s="61" t="s">
        <v>328</v>
      </c>
      <c r="C114" s="63" t="s">
        <v>353</v>
      </c>
      <c r="D114" s="61" t="s">
        <v>354</v>
      </c>
      <c r="E114" s="63" t="s">
        <v>364</v>
      </c>
      <c r="F114" s="61" t="s">
        <v>365</v>
      </c>
      <c r="G114" s="61" t="str">
        <f t="shared" ca="1" si="9"/>
        <v>--- Select ---</v>
      </c>
      <c r="H114" s="62" t="s">
        <v>852</v>
      </c>
      <c r="I114" s="62" t="s">
        <v>852</v>
      </c>
      <c r="J114" s="62" t="s">
        <v>852</v>
      </c>
      <c r="L114" s="64" t="str">
        <f t="shared" si="12"/>
        <v>3.4.5</v>
      </c>
      <c r="M114" s="64" t="str">
        <f t="shared" si="10"/>
        <v>V3</v>
      </c>
      <c r="N114" s="64" t="str">
        <f t="shared" si="11"/>
        <v>V3.4</v>
      </c>
      <c r="O114" s="64" t="str">
        <f t="shared" si="13"/>
        <v>Verify that if the application is published under a domain name with other applications that set or use session cookies that might override or disclose the session cookies, set the path attribute in cookie-based session tokens using the most precise path possible. (C6)</v>
      </c>
      <c r="P114" s="64" t="str">
        <f t="shared" ca="1" si="14"/>
        <v>--- Select ---</v>
      </c>
      <c r="Q114" s="63" t="str">
        <f t="shared" si="15"/>
        <v>Y</v>
      </c>
      <c r="R114" s="63" t="str">
        <f t="shared" si="16"/>
        <v>Y</v>
      </c>
      <c r="S114" s="63" t="str">
        <f t="shared" si="17"/>
        <v>Y</v>
      </c>
    </row>
    <row r="115" spans="1:19" x14ac:dyDescent="0.35">
      <c r="A115" s="63" t="s">
        <v>42</v>
      </c>
      <c r="B115" s="61" t="s">
        <v>328</v>
      </c>
      <c r="C115" s="63" t="s">
        <v>366</v>
      </c>
      <c r="D115" s="61" t="s">
        <v>367</v>
      </c>
      <c r="E115" s="63" t="s">
        <v>368</v>
      </c>
      <c r="F115" s="61" t="s">
        <v>369</v>
      </c>
      <c r="G115" s="61" t="str">
        <f t="shared" ca="1" si="9"/>
        <v>--- Select ---</v>
      </c>
      <c r="H115" s="62" t="s">
        <v>853</v>
      </c>
      <c r="I115" s="62" t="s">
        <v>852</v>
      </c>
      <c r="J115" s="62" t="s">
        <v>852</v>
      </c>
      <c r="L115" s="64" t="str">
        <f t="shared" si="12"/>
        <v>3.5.1</v>
      </c>
      <c r="M115" s="64" t="str">
        <f t="shared" si="10"/>
        <v>V3</v>
      </c>
      <c r="N115" s="64" t="str">
        <f t="shared" si="11"/>
        <v>V3.5</v>
      </c>
      <c r="O115" s="64" t="str">
        <f t="shared" si="13"/>
        <v>Verify the application does not treat OAuth and refresh tokens — on their own — as the presence of the subscriber and allows users to terminate trust relationships with linked applications.</v>
      </c>
      <c r="P115" s="64" t="str">
        <f t="shared" ca="1" si="14"/>
        <v>--- Select ---</v>
      </c>
      <c r="Q115" s="63" t="str">
        <f t="shared" si="15"/>
        <v>N</v>
      </c>
      <c r="R115" s="63" t="str">
        <f t="shared" si="16"/>
        <v>Y</v>
      </c>
      <c r="S115" s="63" t="str">
        <f t="shared" si="17"/>
        <v>Y</v>
      </c>
    </row>
    <row r="116" spans="1:19" x14ac:dyDescent="0.35">
      <c r="A116" s="63" t="s">
        <v>42</v>
      </c>
      <c r="B116" s="61" t="s">
        <v>328</v>
      </c>
      <c r="C116" s="63" t="s">
        <v>366</v>
      </c>
      <c r="D116" s="61" t="s">
        <v>367</v>
      </c>
      <c r="E116" s="63" t="s">
        <v>371</v>
      </c>
      <c r="F116" s="61" t="s">
        <v>372</v>
      </c>
      <c r="G116" s="61" t="str">
        <f t="shared" ca="1" si="9"/>
        <v>--- Select ---</v>
      </c>
      <c r="H116" s="62" t="s">
        <v>853</v>
      </c>
      <c r="I116" s="62" t="s">
        <v>852</v>
      </c>
      <c r="J116" s="62" t="s">
        <v>852</v>
      </c>
      <c r="L116" s="64" t="str">
        <f t="shared" si="12"/>
        <v>3.5.2</v>
      </c>
      <c r="M116" s="64" t="str">
        <f t="shared" si="10"/>
        <v>V3</v>
      </c>
      <c r="N116" s="64" t="str">
        <f t="shared" si="11"/>
        <v>V3.5</v>
      </c>
      <c r="O116" s="64" t="str">
        <f t="shared" si="13"/>
        <v>Verify the application uses session tokens rather than static API secrets and keys, except with legacy implementations.</v>
      </c>
      <c r="P116" s="64" t="str">
        <f t="shared" ca="1" si="14"/>
        <v>--- Select ---</v>
      </c>
      <c r="Q116" s="63" t="str">
        <f t="shared" si="15"/>
        <v>N</v>
      </c>
      <c r="R116" s="63" t="str">
        <f t="shared" si="16"/>
        <v>Y</v>
      </c>
      <c r="S116" s="63" t="str">
        <f t="shared" si="17"/>
        <v>Y</v>
      </c>
    </row>
    <row r="117" spans="1:19" x14ac:dyDescent="0.35">
      <c r="A117" s="63" t="s">
        <v>42</v>
      </c>
      <c r="B117" s="61" t="s">
        <v>328</v>
      </c>
      <c r="C117" s="63" t="s">
        <v>366</v>
      </c>
      <c r="D117" s="61" t="s">
        <v>367</v>
      </c>
      <c r="E117" s="63" t="s">
        <v>373</v>
      </c>
      <c r="F117" s="61" t="s">
        <v>374</v>
      </c>
      <c r="G117" s="61" t="str">
        <f t="shared" ca="1" si="9"/>
        <v>--- Select ---</v>
      </c>
      <c r="H117" s="62" t="s">
        <v>853</v>
      </c>
      <c r="I117" s="62" t="s">
        <v>852</v>
      </c>
      <c r="J117" s="62" t="s">
        <v>852</v>
      </c>
      <c r="L117" s="64" t="str">
        <f t="shared" si="12"/>
        <v>3.5.3</v>
      </c>
      <c r="M117" s="64" t="str">
        <f t="shared" si="10"/>
        <v>V3</v>
      </c>
      <c r="N117" s="64" t="str">
        <f t="shared" si="11"/>
        <v>V3.5</v>
      </c>
      <c r="O117" s="64" t="str">
        <f t="shared" si="13"/>
        <v>Verify that stateless session tokens use digital signatures, encryption, and other countermeasures to protect against tampering, enveloping, replay, null cipher, and key substitution attacks.</v>
      </c>
      <c r="P117" s="64" t="str">
        <f t="shared" ca="1" si="14"/>
        <v>--- Select ---</v>
      </c>
      <c r="Q117" s="63" t="str">
        <f t="shared" si="15"/>
        <v>N</v>
      </c>
      <c r="R117" s="63" t="str">
        <f t="shared" si="16"/>
        <v>Y</v>
      </c>
      <c r="S117" s="63" t="str">
        <f t="shared" si="17"/>
        <v>Y</v>
      </c>
    </row>
    <row r="118" spans="1:19" x14ac:dyDescent="0.35">
      <c r="A118" s="63" t="s">
        <v>42</v>
      </c>
      <c r="B118" s="61" t="s">
        <v>328</v>
      </c>
      <c r="C118" s="63" t="s">
        <v>375</v>
      </c>
      <c r="D118" s="61" t="s">
        <v>376</v>
      </c>
      <c r="E118" s="63" t="s">
        <v>377</v>
      </c>
      <c r="F118" s="61" t="s">
        <v>378</v>
      </c>
      <c r="G118" s="61" t="str">
        <f t="shared" ca="1" si="9"/>
        <v>--- Select ---</v>
      </c>
      <c r="H118" s="62" t="s">
        <v>853</v>
      </c>
      <c r="I118" s="62" t="s">
        <v>853</v>
      </c>
      <c r="J118" s="62" t="s">
        <v>852</v>
      </c>
      <c r="L118" s="64" t="str">
        <f t="shared" si="12"/>
        <v>3.6.1</v>
      </c>
      <c r="M118" s="64" t="str">
        <f t="shared" si="10"/>
        <v>V3</v>
      </c>
      <c r="N118" s="64" t="str">
        <f t="shared" si="11"/>
        <v>V3.6</v>
      </c>
      <c r="O118" s="64" t="str">
        <f t="shared" si="13"/>
        <v>Verify that relying parties specify the maximum authentication time to CSPs and that CSPs re-authenticate the subscriber if they haven't used a session within that period.</v>
      </c>
      <c r="P118" s="64" t="str">
        <f t="shared" ca="1" si="14"/>
        <v>--- Select ---</v>
      </c>
      <c r="Q118" s="63" t="str">
        <f t="shared" si="15"/>
        <v>N</v>
      </c>
      <c r="R118" s="63" t="str">
        <f t="shared" si="16"/>
        <v>N</v>
      </c>
      <c r="S118" s="63" t="str">
        <f t="shared" si="17"/>
        <v>Y</v>
      </c>
    </row>
    <row r="119" spans="1:19" x14ac:dyDescent="0.35">
      <c r="A119" s="63" t="s">
        <v>42</v>
      </c>
      <c r="B119" s="61" t="s">
        <v>328</v>
      </c>
      <c r="C119" s="63" t="s">
        <v>375</v>
      </c>
      <c r="D119" s="61" t="s">
        <v>376</v>
      </c>
      <c r="E119" s="63" t="s">
        <v>380</v>
      </c>
      <c r="F119" s="61" t="s">
        <v>381</v>
      </c>
      <c r="G119" s="61" t="str">
        <f t="shared" ca="1" si="9"/>
        <v>--- Select ---</v>
      </c>
      <c r="H119" s="62" t="s">
        <v>853</v>
      </c>
      <c r="I119" s="62" t="s">
        <v>853</v>
      </c>
      <c r="J119" s="62" t="s">
        <v>852</v>
      </c>
      <c r="L119" s="64" t="str">
        <f t="shared" si="12"/>
        <v>3.6.2</v>
      </c>
      <c r="M119" s="64" t="str">
        <f t="shared" si="10"/>
        <v>V3</v>
      </c>
      <c r="N119" s="64" t="str">
        <f t="shared" si="11"/>
        <v>V3.6</v>
      </c>
      <c r="O119" s="64" t="str">
        <f t="shared" si="13"/>
        <v>Verify that CSPs inform relying parties of the last authentication event, to allow RPs to determine if they need to re-authenticate the user.</v>
      </c>
      <c r="P119" s="64" t="str">
        <f t="shared" ca="1" si="14"/>
        <v>--- Select ---</v>
      </c>
      <c r="Q119" s="63" t="str">
        <f t="shared" si="15"/>
        <v>N</v>
      </c>
      <c r="R119" s="63" t="str">
        <f t="shared" si="16"/>
        <v>N</v>
      </c>
      <c r="S119" s="63" t="str">
        <f t="shared" si="17"/>
        <v>Y</v>
      </c>
    </row>
    <row r="120" spans="1:19" x14ac:dyDescent="0.35">
      <c r="A120" s="63" t="s">
        <v>42</v>
      </c>
      <c r="B120" s="61" t="s">
        <v>328</v>
      </c>
      <c r="C120" s="63" t="s">
        <v>382</v>
      </c>
      <c r="D120" s="61" t="s">
        <v>383</v>
      </c>
      <c r="E120" s="63" t="s">
        <v>384</v>
      </c>
      <c r="F120" s="61" t="s">
        <v>385</v>
      </c>
      <c r="G120" s="61" t="str">
        <f t="shared" ca="1" si="9"/>
        <v>--- Select ---</v>
      </c>
      <c r="H120" s="62" t="s">
        <v>852</v>
      </c>
      <c r="I120" s="62" t="s">
        <v>852</v>
      </c>
      <c r="J120" s="62" t="s">
        <v>852</v>
      </c>
      <c r="L120" s="64" t="str">
        <f t="shared" si="12"/>
        <v>3.7.1</v>
      </c>
      <c r="M120" s="64" t="str">
        <f t="shared" si="10"/>
        <v>V3</v>
      </c>
      <c r="N120" s="64" t="str">
        <f t="shared" si="11"/>
        <v>V3.7</v>
      </c>
      <c r="O120" s="64" t="str">
        <f t="shared" si="13"/>
        <v>Verify the application ensures a valid login session or requires re-authentication or secondary verification before allowing any sensitive transactions or account modifications.</v>
      </c>
      <c r="P120" s="64" t="str">
        <f t="shared" ca="1" si="14"/>
        <v>--- Select ---</v>
      </c>
      <c r="Q120" s="63" t="str">
        <f t="shared" si="15"/>
        <v>Y</v>
      </c>
      <c r="R120" s="63" t="str">
        <f t="shared" si="16"/>
        <v>Y</v>
      </c>
      <c r="S120" s="63" t="str">
        <f t="shared" si="17"/>
        <v>Y</v>
      </c>
    </row>
    <row r="121" spans="1:19" x14ac:dyDescent="0.35">
      <c r="A121" s="63" t="s">
        <v>43</v>
      </c>
      <c r="B121" s="61" t="s">
        <v>387</v>
      </c>
      <c r="C121" s="63" t="s">
        <v>388</v>
      </c>
      <c r="D121" s="61" t="s">
        <v>389</v>
      </c>
      <c r="E121" s="63" t="s">
        <v>390</v>
      </c>
      <c r="F121" s="61" t="s">
        <v>391</v>
      </c>
      <c r="G121" s="61" t="str">
        <f t="shared" ca="1" si="9"/>
        <v>--- Select ---</v>
      </c>
      <c r="H121" s="62" t="s">
        <v>852</v>
      </c>
      <c r="I121" s="62" t="s">
        <v>852</v>
      </c>
      <c r="J121" s="62" t="s">
        <v>852</v>
      </c>
      <c r="L121" s="64" t="str">
        <f t="shared" si="12"/>
        <v>4.1.1</v>
      </c>
      <c r="M121" s="64" t="str">
        <f t="shared" si="10"/>
        <v>V4</v>
      </c>
      <c r="N121" s="64" t="str">
        <f t="shared" si="11"/>
        <v>V4.1</v>
      </c>
      <c r="O121" s="64" t="str">
        <f t="shared" si="13"/>
        <v>Verify that the application enforces access control rules on a trusted service layer, especially if client-side access control is present and could be bypassed.</v>
      </c>
      <c r="P121" s="64" t="str">
        <f t="shared" ca="1" si="14"/>
        <v>--- Select ---</v>
      </c>
      <c r="Q121" s="63" t="str">
        <f t="shared" si="15"/>
        <v>Y</v>
      </c>
      <c r="R121" s="63" t="str">
        <f t="shared" si="16"/>
        <v>Y</v>
      </c>
      <c r="S121" s="63" t="str">
        <f t="shared" si="17"/>
        <v>Y</v>
      </c>
    </row>
    <row r="122" spans="1:19" x14ac:dyDescent="0.35">
      <c r="A122" s="63" t="s">
        <v>43</v>
      </c>
      <c r="B122" s="61" t="s">
        <v>387</v>
      </c>
      <c r="C122" s="63" t="s">
        <v>388</v>
      </c>
      <c r="D122" s="61" t="s">
        <v>389</v>
      </c>
      <c r="E122" s="63" t="s">
        <v>392</v>
      </c>
      <c r="F122" s="61" t="s">
        <v>13</v>
      </c>
      <c r="G122" s="61" t="str">
        <f t="shared" ca="1" si="9"/>
        <v>--- Select ---</v>
      </c>
      <c r="H122" s="62" t="s">
        <v>852</v>
      </c>
      <c r="I122" s="62" t="s">
        <v>852</v>
      </c>
      <c r="J122" s="62" t="s">
        <v>852</v>
      </c>
      <c r="L122" s="64" t="str">
        <f t="shared" si="12"/>
        <v>4.1.2</v>
      </c>
      <c r="M122" s="64" t="str">
        <f t="shared" si="10"/>
        <v>V4</v>
      </c>
      <c r="N122" s="64" t="str">
        <f t="shared" si="11"/>
        <v>V4.1</v>
      </c>
      <c r="O122" s="64" t="str">
        <f t="shared" si="13"/>
        <v>Verify that all user and data attributes and policy information used by access controls cannot be manipulated by end users unless specifically authorized.</v>
      </c>
      <c r="P122" s="64" t="str">
        <f t="shared" ca="1" si="14"/>
        <v>--- Select ---</v>
      </c>
      <c r="Q122" s="63" t="str">
        <f t="shared" si="15"/>
        <v>Y</v>
      </c>
      <c r="R122" s="63" t="str">
        <f t="shared" si="16"/>
        <v>Y</v>
      </c>
      <c r="S122" s="63" t="str">
        <f t="shared" si="17"/>
        <v>Y</v>
      </c>
    </row>
    <row r="123" spans="1:19" x14ac:dyDescent="0.35">
      <c r="A123" s="63" t="s">
        <v>43</v>
      </c>
      <c r="B123" s="61" t="s">
        <v>387</v>
      </c>
      <c r="C123" s="63" t="s">
        <v>388</v>
      </c>
      <c r="D123" s="61" t="s">
        <v>389</v>
      </c>
      <c r="E123" s="63" t="s">
        <v>393</v>
      </c>
      <c r="F123" s="61" t="s">
        <v>394</v>
      </c>
      <c r="G123" s="61" t="str">
        <f t="shared" ca="1" si="9"/>
        <v>--- Select ---</v>
      </c>
      <c r="H123" s="62" t="s">
        <v>852</v>
      </c>
      <c r="I123" s="62" t="s">
        <v>852</v>
      </c>
      <c r="J123" s="62" t="s">
        <v>852</v>
      </c>
      <c r="L123" s="64" t="str">
        <f t="shared" si="12"/>
        <v>4.1.3</v>
      </c>
      <c r="M123" s="64" t="str">
        <f t="shared" si="10"/>
        <v>V4</v>
      </c>
      <c r="N123" s="64" t="str">
        <f t="shared" si="11"/>
        <v>V4.1</v>
      </c>
      <c r="O123" s="64" t="str">
        <f t="shared" si="13"/>
        <v>Verify that the principle of least privilege exists - users should only be able to access functions, data files, URLs, controllers, services, and other resources, for which they possess specific authorization. This implies protection against spoofing and elevation of privilege. (C7)</v>
      </c>
      <c r="P123" s="64" t="str">
        <f t="shared" ca="1" si="14"/>
        <v>--- Select ---</v>
      </c>
      <c r="Q123" s="63" t="str">
        <f t="shared" si="15"/>
        <v>Y</v>
      </c>
      <c r="R123" s="63" t="str">
        <f t="shared" si="16"/>
        <v>Y</v>
      </c>
      <c r="S123" s="63" t="str">
        <f t="shared" si="17"/>
        <v>Y</v>
      </c>
    </row>
    <row r="124" spans="1:19" x14ac:dyDescent="0.35">
      <c r="A124" s="63" t="s">
        <v>43</v>
      </c>
      <c r="B124" s="61" t="s">
        <v>387</v>
      </c>
      <c r="C124" s="63" t="s">
        <v>388</v>
      </c>
      <c r="D124" s="61" t="s">
        <v>389</v>
      </c>
      <c r="E124" s="63" t="s">
        <v>395</v>
      </c>
      <c r="F124" s="61" t="s">
        <v>396</v>
      </c>
      <c r="G124" s="61" t="str">
        <f t="shared" ca="1" si="9"/>
        <v>--- Select ---</v>
      </c>
      <c r="H124" s="62" t="s">
        <v>852</v>
      </c>
      <c r="I124" s="62" t="s">
        <v>852</v>
      </c>
      <c r="J124" s="62" t="s">
        <v>852</v>
      </c>
      <c r="L124" s="64" t="str">
        <f t="shared" si="12"/>
        <v>4.1.4</v>
      </c>
      <c r="M124" s="64" t="str">
        <f t="shared" si="10"/>
        <v>V4</v>
      </c>
      <c r="N124" s="64" t="str">
        <f t="shared" si="11"/>
        <v>V4.1</v>
      </c>
      <c r="O124" s="64" t="str">
        <f t="shared" si="13"/>
        <v>Verify that the principle of deny by default exists whereby new users/roles start with minimal or no permissions and users/roles do not receive access to new features until access is explicitly assigned. (C7)</v>
      </c>
      <c r="P124" s="64" t="str">
        <f t="shared" ca="1" si="14"/>
        <v>--- Select ---</v>
      </c>
      <c r="Q124" s="63" t="str">
        <f t="shared" si="15"/>
        <v>Y</v>
      </c>
      <c r="R124" s="63" t="str">
        <f t="shared" si="16"/>
        <v>Y</v>
      </c>
      <c r="S124" s="63" t="str">
        <f t="shared" si="17"/>
        <v>Y</v>
      </c>
    </row>
    <row r="125" spans="1:19" x14ac:dyDescent="0.35">
      <c r="A125" s="63" t="s">
        <v>43</v>
      </c>
      <c r="B125" s="61" t="s">
        <v>387</v>
      </c>
      <c r="C125" s="63" t="s">
        <v>388</v>
      </c>
      <c r="D125" s="61" t="s">
        <v>389</v>
      </c>
      <c r="E125" s="63" t="s">
        <v>397</v>
      </c>
      <c r="F125" s="61" t="s">
        <v>398</v>
      </c>
      <c r="G125" s="61" t="str">
        <f t="shared" ca="1" si="9"/>
        <v>--- Select ---</v>
      </c>
      <c r="H125" s="62" t="s">
        <v>852</v>
      </c>
      <c r="I125" s="62" t="s">
        <v>852</v>
      </c>
      <c r="J125" s="62" t="s">
        <v>852</v>
      </c>
      <c r="L125" s="64" t="str">
        <f t="shared" si="12"/>
        <v>4.1.5</v>
      </c>
      <c r="M125" s="64" t="str">
        <f t="shared" si="10"/>
        <v>V4</v>
      </c>
      <c r="N125" s="64" t="str">
        <f t="shared" si="11"/>
        <v>V4.1</v>
      </c>
      <c r="O125" s="64" t="str">
        <f t="shared" si="13"/>
        <v>Verify that access controls fail securely including when an exception occurs. (C10)</v>
      </c>
      <c r="P125" s="64" t="str">
        <f t="shared" ca="1" si="14"/>
        <v>--- Select ---</v>
      </c>
      <c r="Q125" s="63" t="str">
        <f t="shared" si="15"/>
        <v>Y</v>
      </c>
      <c r="R125" s="63" t="str">
        <f t="shared" si="16"/>
        <v>Y</v>
      </c>
      <c r="S125" s="63" t="str">
        <f t="shared" si="17"/>
        <v>Y</v>
      </c>
    </row>
    <row r="126" spans="1:19" x14ac:dyDescent="0.35">
      <c r="A126" s="63" t="s">
        <v>43</v>
      </c>
      <c r="B126" s="61" t="s">
        <v>387</v>
      </c>
      <c r="C126" s="63" t="s">
        <v>399</v>
      </c>
      <c r="D126" s="61" t="s">
        <v>400</v>
      </c>
      <c r="E126" s="63" t="s">
        <v>401</v>
      </c>
      <c r="F126" s="61" t="s">
        <v>402</v>
      </c>
      <c r="G126" s="61" t="str">
        <f t="shared" ca="1" si="9"/>
        <v>--- Select ---</v>
      </c>
      <c r="H126" s="62" t="s">
        <v>852</v>
      </c>
      <c r="I126" s="62" t="s">
        <v>852</v>
      </c>
      <c r="J126" s="62" t="s">
        <v>852</v>
      </c>
      <c r="L126" s="64" t="str">
        <f t="shared" si="12"/>
        <v>4.2.1</v>
      </c>
      <c r="M126" s="64" t="str">
        <f t="shared" si="10"/>
        <v>V4</v>
      </c>
      <c r="N126" s="64" t="str">
        <f t="shared" si="11"/>
        <v>V4.2</v>
      </c>
      <c r="O126" s="64" t="str">
        <f t="shared" si="13"/>
        <v>Verify that sensitive data and APIs are protected against direct object attacks targeting creation, reading, updating and deletion of records, such as creating or updating someone else's record, viewing everyone's records, or deleting all records.</v>
      </c>
      <c r="P126" s="64" t="str">
        <f t="shared" ca="1" si="14"/>
        <v>--- Select ---</v>
      </c>
      <c r="Q126" s="63" t="str">
        <f t="shared" si="15"/>
        <v>Y</v>
      </c>
      <c r="R126" s="63" t="str">
        <f t="shared" si="16"/>
        <v>Y</v>
      </c>
      <c r="S126" s="63" t="str">
        <f t="shared" si="17"/>
        <v>Y</v>
      </c>
    </row>
    <row r="127" spans="1:19" x14ac:dyDescent="0.35">
      <c r="A127" s="63" t="s">
        <v>43</v>
      </c>
      <c r="B127" s="61" t="s">
        <v>387</v>
      </c>
      <c r="C127" s="63" t="s">
        <v>399</v>
      </c>
      <c r="D127" s="61" t="s">
        <v>400</v>
      </c>
      <c r="E127" s="63" t="s">
        <v>403</v>
      </c>
      <c r="F127" s="61" t="s">
        <v>404</v>
      </c>
      <c r="G127" s="61" t="str">
        <f t="shared" ca="1" si="9"/>
        <v>--- Select ---</v>
      </c>
      <c r="H127" s="62" t="s">
        <v>852</v>
      </c>
      <c r="I127" s="62" t="s">
        <v>852</v>
      </c>
      <c r="J127" s="62" t="s">
        <v>852</v>
      </c>
      <c r="L127" s="64" t="str">
        <f t="shared" si="12"/>
        <v>4.2.2</v>
      </c>
      <c r="M127" s="64" t="str">
        <f t="shared" si="10"/>
        <v>V4</v>
      </c>
      <c r="N127" s="64" t="str">
        <f t="shared" si="11"/>
        <v>V4.2</v>
      </c>
      <c r="O127" s="64" t="str">
        <f t="shared" si="13"/>
        <v>Verify that the application or framework enforces a strong anti-CSRF mechanism to protect authenticated functionality, and effective anti-automation or anti-CSRF protects unauthenticated functionality.</v>
      </c>
      <c r="P127" s="64" t="str">
        <f t="shared" ca="1" si="14"/>
        <v>--- Select ---</v>
      </c>
      <c r="Q127" s="63" t="str">
        <f t="shared" si="15"/>
        <v>Y</v>
      </c>
      <c r="R127" s="63" t="str">
        <f t="shared" si="16"/>
        <v>Y</v>
      </c>
      <c r="S127" s="63" t="str">
        <f t="shared" si="17"/>
        <v>Y</v>
      </c>
    </row>
    <row r="128" spans="1:19" x14ac:dyDescent="0.35">
      <c r="A128" s="63" t="s">
        <v>43</v>
      </c>
      <c r="B128" s="61" t="s">
        <v>387</v>
      </c>
      <c r="C128" s="63" t="s">
        <v>405</v>
      </c>
      <c r="D128" s="61" t="s">
        <v>406</v>
      </c>
      <c r="E128" s="63" t="s">
        <v>407</v>
      </c>
      <c r="F128" s="61" t="s">
        <v>408</v>
      </c>
      <c r="G128" s="61" t="str">
        <f t="shared" ca="1" si="9"/>
        <v>--- Select ---</v>
      </c>
      <c r="H128" s="62" t="s">
        <v>852</v>
      </c>
      <c r="I128" s="62" t="s">
        <v>852</v>
      </c>
      <c r="J128" s="62" t="s">
        <v>852</v>
      </c>
      <c r="L128" s="64" t="str">
        <f t="shared" si="12"/>
        <v>4.3.1</v>
      </c>
      <c r="M128" s="64" t="str">
        <f t="shared" si="10"/>
        <v>V4</v>
      </c>
      <c r="N128" s="64" t="str">
        <f t="shared" si="11"/>
        <v>V4.3</v>
      </c>
      <c r="O128" s="64" t="str">
        <f t="shared" si="13"/>
        <v>Verify administrative interfaces use appropriate multi-factor authentication to prevent unauthorized use.</v>
      </c>
      <c r="P128" s="64" t="str">
        <f t="shared" ca="1" si="14"/>
        <v>--- Select ---</v>
      </c>
      <c r="Q128" s="63" t="str">
        <f t="shared" si="15"/>
        <v>Y</v>
      </c>
      <c r="R128" s="63" t="str">
        <f t="shared" si="16"/>
        <v>Y</v>
      </c>
      <c r="S128" s="63" t="str">
        <f t="shared" si="17"/>
        <v>Y</v>
      </c>
    </row>
    <row r="129" spans="1:19" x14ac:dyDescent="0.35">
      <c r="A129" s="63" t="s">
        <v>43</v>
      </c>
      <c r="B129" s="61" t="s">
        <v>387</v>
      </c>
      <c r="C129" s="63" t="s">
        <v>405</v>
      </c>
      <c r="D129" s="61" t="s">
        <v>406</v>
      </c>
      <c r="E129" s="63" t="s">
        <v>409</v>
      </c>
      <c r="F129" s="61" t="s">
        <v>12</v>
      </c>
      <c r="G129" s="61" t="str">
        <f t="shared" ca="1" si="9"/>
        <v>--- Select ---</v>
      </c>
      <c r="H129" s="62" t="s">
        <v>852</v>
      </c>
      <c r="I129" s="62" t="s">
        <v>852</v>
      </c>
      <c r="J129" s="62" t="s">
        <v>852</v>
      </c>
      <c r="L129" s="64" t="str">
        <f t="shared" si="12"/>
        <v>4.3.2</v>
      </c>
      <c r="M129" s="64" t="str">
        <f t="shared" si="10"/>
        <v>V4</v>
      </c>
      <c r="N129" s="64" t="str">
        <f t="shared" si="11"/>
        <v>V4.3</v>
      </c>
      <c r="O129" s="64" t="str">
        <f t="shared" si="13"/>
        <v>Verify that directory browsing is disabled unless deliberately desired. Additionally, applications should not allow discovery or disclosure of file or directory metadata, such as Thumbs.db, .DS_Store, .git or .svn folders.</v>
      </c>
      <c r="P129" s="64" t="str">
        <f t="shared" ca="1" si="14"/>
        <v>--- Select ---</v>
      </c>
      <c r="Q129" s="63" t="str">
        <f t="shared" si="15"/>
        <v>Y</v>
      </c>
      <c r="R129" s="63" t="str">
        <f t="shared" si="16"/>
        <v>Y</v>
      </c>
      <c r="S129" s="63" t="str">
        <f t="shared" si="17"/>
        <v>Y</v>
      </c>
    </row>
    <row r="130" spans="1:19" x14ac:dyDescent="0.35">
      <c r="A130" s="63" t="s">
        <v>43</v>
      </c>
      <c r="B130" s="61" t="s">
        <v>387</v>
      </c>
      <c r="C130" s="63" t="s">
        <v>405</v>
      </c>
      <c r="D130" s="61" t="s">
        <v>406</v>
      </c>
      <c r="E130" s="63" t="s">
        <v>410</v>
      </c>
      <c r="F130" s="61" t="s">
        <v>14</v>
      </c>
      <c r="G130" s="61" t="str">
        <f t="shared" ref="G130:G193" ca="1" si="18">IF(AND(H130=YES, SELECTED_ASSESSMENT_LEVEL = LEVEL1),INDIRECT("zANS"&amp;E130, FALSE),IF(AND(I130=YES, SELECTED_ASSESSMENT_LEVEL = LEVEL2), INDIRECT("zANS"&amp;E130, FALSE), IF(AND(J130=YES, SELECTED_ASSESSMENT_LEVEL = LEVEL3), INDIRECT("zANS"&amp;E130, FALSE), "NA")))</f>
        <v>--- Select ---</v>
      </c>
      <c r="H130" s="62" t="s">
        <v>853</v>
      </c>
      <c r="I130" s="62" t="s">
        <v>852</v>
      </c>
      <c r="J130" s="62" t="s">
        <v>852</v>
      </c>
      <c r="L130" s="64" t="str">
        <f t="shared" si="12"/>
        <v>4.3.3</v>
      </c>
      <c r="M130" s="64" t="str">
        <f t="shared" ref="M130:M193" si="19">A130</f>
        <v>V4</v>
      </c>
      <c r="N130" s="64" t="str">
        <f t="shared" ref="N130:N193" si="20">C130</f>
        <v>V4.3</v>
      </c>
      <c r="O130" s="64" t="str">
        <f t="shared" si="13"/>
        <v>Verify the application has additional authorization (such as step up or adaptive authentication) for lower value systems, and / or segregation of duties for high value applications to enforce anti-fraud controls as per the risk of application and past fraud.</v>
      </c>
      <c r="P130" s="64" t="str">
        <f t="shared" ca="1" si="14"/>
        <v>--- Select ---</v>
      </c>
      <c r="Q130" s="63" t="str">
        <f t="shared" si="15"/>
        <v>N</v>
      </c>
      <c r="R130" s="63" t="str">
        <f t="shared" si="16"/>
        <v>Y</v>
      </c>
      <c r="S130" s="63" t="str">
        <f t="shared" si="17"/>
        <v>Y</v>
      </c>
    </row>
    <row r="131" spans="1:19" x14ac:dyDescent="0.35">
      <c r="A131" s="63" t="s">
        <v>44</v>
      </c>
      <c r="B131" s="61" t="s">
        <v>412</v>
      </c>
      <c r="C131" s="63" t="s">
        <v>413</v>
      </c>
      <c r="D131" s="61" t="s">
        <v>414</v>
      </c>
      <c r="E131" s="63" t="s">
        <v>415</v>
      </c>
      <c r="F131" s="61" t="s">
        <v>416</v>
      </c>
      <c r="G131" s="61" t="str">
        <f t="shared" ca="1" si="18"/>
        <v>--- Select ---</v>
      </c>
      <c r="H131" s="62" t="s">
        <v>852</v>
      </c>
      <c r="I131" s="62" t="s">
        <v>852</v>
      </c>
      <c r="J131" s="62" t="s">
        <v>852</v>
      </c>
      <c r="L131" s="64" t="str">
        <f t="shared" ref="L131:L194" si="21">E131</f>
        <v>5.1.1</v>
      </c>
      <c r="M131" s="64" t="str">
        <f t="shared" si="19"/>
        <v>V5</v>
      </c>
      <c r="N131" s="64" t="str">
        <f t="shared" si="20"/>
        <v>V5.1</v>
      </c>
      <c r="O131" s="64" t="str">
        <f t="shared" ref="O131:O194" si="22">F131</f>
        <v>Verify that the application has defenses against HTTP parameter pollution attacks, particularly if the application framework makes no distinction about the source of request parameters (GET, POST, cookies, headers, or environment variables).</v>
      </c>
      <c r="P131" s="64" t="str">
        <f t="shared" ref="P131:P194" ca="1" si="23">G131</f>
        <v>--- Select ---</v>
      </c>
      <c r="Q131" s="63" t="str">
        <f t="shared" ref="Q131:Q194" si="24">H131</f>
        <v>Y</v>
      </c>
      <c r="R131" s="63" t="str">
        <f t="shared" ref="R131:R194" si="25">I131</f>
        <v>Y</v>
      </c>
      <c r="S131" s="63" t="str">
        <f t="shared" ref="S131:S194" si="26">J131</f>
        <v>Y</v>
      </c>
    </row>
    <row r="132" spans="1:19" x14ac:dyDescent="0.35">
      <c r="A132" s="63" t="s">
        <v>44</v>
      </c>
      <c r="B132" s="61" t="s">
        <v>412</v>
      </c>
      <c r="C132" s="63" t="s">
        <v>413</v>
      </c>
      <c r="D132" s="61" t="s">
        <v>414</v>
      </c>
      <c r="E132" s="63" t="s">
        <v>417</v>
      </c>
      <c r="F132" s="61" t="s">
        <v>418</v>
      </c>
      <c r="G132" s="61" t="str">
        <f t="shared" ca="1" si="18"/>
        <v>--- Select ---</v>
      </c>
      <c r="H132" s="62" t="s">
        <v>852</v>
      </c>
      <c r="I132" s="62" t="s">
        <v>852</v>
      </c>
      <c r="J132" s="62" t="s">
        <v>852</v>
      </c>
      <c r="L132" s="64" t="str">
        <f t="shared" si="21"/>
        <v>5.1.2</v>
      </c>
      <c r="M132" s="64" t="str">
        <f t="shared" si="19"/>
        <v>V5</v>
      </c>
      <c r="N132" s="64" t="str">
        <f t="shared" si="20"/>
        <v>V5.1</v>
      </c>
      <c r="O132" s="64" t="str">
        <f t="shared" si="22"/>
        <v>Verify that frameworks protect against mass parameter assignment attacks, or that the application has countermeasures to protect against unsafe parameter assignment, such as marking fields private or similar. (C5)</v>
      </c>
      <c r="P132" s="64" t="str">
        <f t="shared" ca="1" si="23"/>
        <v>--- Select ---</v>
      </c>
      <c r="Q132" s="63" t="str">
        <f t="shared" si="24"/>
        <v>Y</v>
      </c>
      <c r="R132" s="63" t="str">
        <f t="shared" si="25"/>
        <v>Y</v>
      </c>
      <c r="S132" s="63" t="str">
        <f t="shared" si="26"/>
        <v>Y</v>
      </c>
    </row>
    <row r="133" spans="1:19" x14ac:dyDescent="0.35">
      <c r="A133" s="63" t="s">
        <v>44</v>
      </c>
      <c r="B133" s="61" t="s">
        <v>412</v>
      </c>
      <c r="C133" s="63" t="s">
        <v>413</v>
      </c>
      <c r="D133" s="61" t="s">
        <v>414</v>
      </c>
      <c r="E133" s="63" t="s">
        <v>419</v>
      </c>
      <c r="F133" s="61" t="s">
        <v>420</v>
      </c>
      <c r="G133" s="61" t="str">
        <f t="shared" ca="1" si="18"/>
        <v>--- Select ---</v>
      </c>
      <c r="H133" s="62" t="s">
        <v>852</v>
      </c>
      <c r="I133" s="62" t="s">
        <v>852</v>
      </c>
      <c r="J133" s="62" t="s">
        <v>852</v>
      </c>
      <c r="L133" s="64" t="str">
        <f t="shared" si="21"/>
        <v>5.1.3</v>
      </c>
      <c r="M133" s="64" t="str">
        <f t="shared" si="19"/>
        <v>V5</v>
      </c>
      <c r="N133" s="64" t="str">
        <f t="shared" si="20"/>
        <v>V5.1</v>
      </c>
      <c r="O133" s="64" t="str">
        <f t="shared" si="22"/>
        <v>Verify that all input (HTML form fields, REST requests, URL parameters, HTTP headers, cookies, batch files, RSS feeds, etc) is validated using positive validation (whitelisting). (C5)</v>
      </c>
      <c r="P133" s="64" t="str">
        <f t="shared" ca="1" si="23"/>
        <v>--- Select ---</v>
      </c>
      <c r="Q133" s="63" t="str">
        <f t="shared" si="24"/>
        <v>Y</v>
      </c>
      <c r="R133" s="63" t="str">
        <f t="shared" si="25"/>
        <v>Y</v>
      </c>
      <c r="S133" s="63" t="str">
        <f t="shared" si="26"/>
        <v>Y</v>
      </c>
    </row>
    <row r="134" spans="1:19" x14ac:dyDescent="0.35">
      <c r="A134" s="63" t="s">
        <v>44</v>
      </c>
      <c r="B134" s="61" t="s">
        <v>412</v>
      </c>
      <c r="C134" s="63" t="s">
        <v>413</v>
      </c>
      <c r="D134" s="61" t="s">
        <v>414</v>
      </c>
      <c r="E134" s="63" t="s">
        <v>421</v>
      </c>
      <c r="F134" s="61" t="s">
        <v>422</v>
      </c>
      <c r="G134" s="61" t="str">
        <f t="shared" ca="1" si="18"/>
        <v>--- Select ---</v>
      </c>
      <c r="H134" s="62" t="s">
        <v>852</v>
      </c>
      <c r="I134" s="62" t="s">
        <v>852</v>
      </c>
      <c r="J134" s="62" t="s">
        <v>852</v>
      </c>
      <c r="L134" s="64" t="str">
        <f t="shared" si="21"/>
        <v>5.1.4</v>
      </c>
      <c r="M134" s="64" t="str">
        <f t="shared" si="19"/>
        <v>V5</v>
      </c>
      <c r="N134" s="64" t="str">
        <f t="shared" si="20"/>
        <v>V5.1</v>
      </c>
      <c r="O134" s="64" t="str">
        <f t="shared" si="22"/>
        <v>Verify that structured data is strongly typed and validated against a defined schema including allowed characters, length and pattern (e.g. credit card numbers or telephone, or validating that two related fields are reasonable, such as checking that suburb and zip/postcode match). (C5)</v>
      </c>
      <c r="P134" s="64" t="str">
        <f t="shared" ca="1" si="23"/>
        <v>--- Select ---</v>
      </c>
      <c r="Q134" s="63" t="str">
        <f t="shared" si="24"/>
        <v>Y</v>
      </c>
      <c r="R134" s="63" t="str">
        <f t="shared" si="25"/>
        <v>Y</v>
      </c>
      <c r="S134" s="63" t="str">
        <f t="shared" si="26"/>
        <v>Y</v>
      </c>
    </row>
    <row r="135" spans="1:19" x14ac:dyDescent="0.35">
      <c r="A135" s="63" t="s">
        <v>44</v>
      </c>
      <c r="B135" s="61" t="s">
        <v>412</v>
      </c>
      <c r="C135" s="63" t="s">
        <v>413</v>
      </c>
      <c r="D135" s="61" t="s">
        <v>414</v>
      </c>
      <c r="E135" s="63" t="s">
        <v>423</v>
      </c>
      <c r="F135" s="61" t="s">
        <v>23</v>
      </c>
      <c r="G135" s="61" t="str">
        <f t="shared" ca="1" si="18"/>
        <v>--- Select ---</v>
      </c>
      <c r="H135" s="62" t="s">
        <v>852</v>
      </c>
      <c r="I135" s="62" t="s">
        <v>852</v>
      </c>
      <c r="J135" s="62" t="s">
        <v>852</v>
      </c>
      <c r="L135" s="64" t="str">
        <f t="shared" si="21"/>
        <v>5.1.5</v>
      </c>
      <c r="M135" s="64" t="str">
        <f t="shared" si="19"/>
        <v>V5</v>
      </c>
      <c r="N135" s="64" t="str">
        <f t="shared" si="20"/>
        <v>V5.1</v>
      </c>
      <c r="O135" s="64" t="str">
        <f t="shared" si="22"/>
        <v>Verify that URL redirects and forwards only allow whitelisted destinations, or show a warning when redirecting to potentially untrusted content.</v>
      </c>
      <c r="P135" s="64" t="str">
        <f t="shared" ca="1" si="23"/>
        <v>--- Select ---</v>
      </c>
      <c r="Q135" s="63" t="str">
        <f t="shared" si="24"/>
        <v>Y</v>
      </c>
      <c r="R135" s="63" t="str">
        <f t="shared" si="25"/>
        <v>Y</v>
      </c>
      <c r="S135" s="63" t="str">
        <f t="shared" si="26"/>
        <v>Y</v>
      </c>
    </row>
    <row r="136" spans="1:19" x14ac:dyDescent="0.35">
      <c r="A136" s="63" t="s">
        <v>44</v>
      </c>
      <c r="B136" s="61" t="s">
        <v>412</v>
      </c>
      <c r="C136" s="63" t="s">
        <v>809</v>
      </c>
      <c r="D136" s="61" t="s">
        <v>810</v>
      </c>
      <c r="E136" s="63" t="s">
        <v>304</v>
      </c>
      <c r="F136" s="61" t="s">
        <v>424</v>
      </c>
      <c r="G136" s="61" t="str">
        <f t="shared" ca="1" si="18"/>
        <v>--- Select ---</v>
      </c>
      <c r="H136" s="62" t="s">
        <v>852</v>
      </c>
      <c r="I136" s="62" t="s">
        <v>852</v>
      </c>
      <c r="J136" s="62" t="s">
        <v>852</v>
      </c>
      <c r="L136" s="64" t="str">
        <f t="shared" si="21"/>
        <v>5.2.1</v>
      </c>
      <c r="M136" s="64" t="str">
        <f t="shared" si="19"/>
        <v>V5</v>
      </c>
      <c r="N136" s="64" t="str">
        <f t="shared" si="20"/>
        <v>V5.2</v>
      </c>
      <c r="O136" s="64" t="str">
        <f t="shared" si="22"/>
        <v>Verify that all untrusted HTML input from WYSIWYG editors or similar is properly sanitized with an HTML sanitizer library or framework feature. (C5)</v>
      </c>
      <c r="P136" s="64" t="str">
        <f t="shared" ca="1" si="23"/>
        <v>--- Select ---</v>
      </c>
      <c r="Q136" s="63" t="str">
        <f t="shared" si="24"/>
        <v>Y</v>
      </c>
      <c r="R136" s="63" t="str">
        <f t="shared" si="25"/>
        <v>Y</v>
      </c>
      <c r="S136" s="63" t="str">
        <f t="shared" si="26"/>
        <v>Y</v>
      </c>
    </row>
    <row r="137" spans="1:19" x14ac:dyDescent="0.35">
      <c r="A137" s="63" t="s">
        <v>44</v>
      </c>
      <c r="B137" s="61" t="s">
        <v>412</v>
      </c>
      <c r="C137" s="63" t="s">
        <v>809</v>
      </c>
      <c r="D137" s="61" t="s">
        <v>810</v>
      </c>
      <c r="E137" s="63" t="s">
        <v>425</v>
      </c>
      <c r="F137" s="61" t="s">
        <v>426</v>
      </c>
      <c r="G137" s="61" t="str">
        <f t="shared" ca="1" si="18"/>
        <v>--- Select ---</v>
      </c>
      <c r="H137" s="62" t="s">
        <v>852</v>
      </c>
      <c r="I137" s="62" t="s">
        <v>852</v>
      </c>
      <c r="J137" s="62" t="s">
        <v>852</v>
      </c>
      <c r="L137" s="64" t="str">
        <f t="shared" si="21"/>
        <v>5.2.2</v>
      </c>
      <c r="M137" s="64" t="str">
        <f t="shared" si="19"/>
        <v>V5</v>
      </c>
      <c r="N137" s="64" t="str">
        <f t="shared" si="20"/>
        <v>V5.2</v>
      </c>
      <c r="O137" s="64" t="str">
        <f t="shared" si="22"/>
        <v>Verify that unstructured data is sanitized to enforce safety measures such as allowed characters and length.</v>
      </c>
      <c r="P137" s="64" t="str">
        <f t="shared" ca="1" si="23"/>
        <v>--- Select ---</v>
      </c>
      <c r="Q137" s="63" t="str">
        <f t="shared" si="24"/>
        <v>Y</v>
      </c>
      <c r="R137" s="63" t="str">
        <f t="shared" si="25"/>
        <v>Y</v>
      </c>
      <c r="S137" s="63" t="str">
        <f t="shared" si="26"/>
        <v>Y</v>
      </c>
    </row>
    <row r="138" spans="1:19" x14ac:dyDescent="0.35">
      <c r="A138" s="63" t="s">
        <v>44</v>
      </c>
      <c r="B138" s="61" t="s">
        <v>412</v>
      </c>
      <c r="C138" s="63" t="s">
        <v>809</v>
      </c>
      <c r="D138" s="61" t="s">
        <v>810</v>
      </c>
      <c r="E138" s="63" t="s">
        <v>307</v>
      </c>
      <c r="F138" s="61" t="s">
        <v>427</v>
      </c>
      <c r="G138" s="61" t="str">
        <f t="shared" ca="1" si="18"/>
        <v>--- Select ---</v>
      </c>
      <c r="H138" s="62" t="s">
        <v>852</v>
      </c>
      <c r="I138" s="62" t="s">
        <v>852</v>
      </c>
      <c r="J138" s="62" t="s">
        <v>852</v>
      </c>
      <c r="L138" s="64" t="str">
        <f t="shared" si="21"/>
        <v>5.2.3</v>
      </c>
      <c r="M138" s="64" t="str">
        <f t="shared" si="19"/>
        <v>V5</v>
      </c>
      <c r="N138" s="64" t="str">
        <f t="shared" si="20"/>
        <v>V5.2</v>
      </c>
      <c r="O138" s="64" t="str">
        <f t="shared" si="22"/>
        <v>Verify that the application sanitizes user input before passing to mail systems to protect against SMTP or IMAP injection.</v>
      </c>
      <c r="P138" s="64" t="str">
        <f t="shared" ca="1" si="23"/>
        <v>--- Select ---</v>
      </c>
      <c r="Q138" s="63" t="str">
        <f t="shared" si="24"/>
        <v>Y</v>
      </c>
      <c r="R138" s="63" t="str">
        <f t="shared" si="25"/>
        <v>Y</v>
      </c>
      <c r="S138" s="63" t="str">
        <f t="shared" si="26"/>
        <v>Y</v>
      </c>
    </row>
    <row r="139" spans="1:19" x14ac:dyDescent="0.35">
      <c r="A139" s="63" t="s">
        <v>44</v>
      </c>
      <c r="B139" s="61" t="s">
        <v>412</v>
      </c>
      <c r="C139" s="63" t="s">
        <v>809</v>
      </c>
      <c r="D139" s="61" t="s">
        <v>810</v>
      </c>
      <c r="E139" s="63" t="s">
        <v>428</v>
      </c>
      <c r="F139" s="61" t="s">
        <v>429</v>
      </c>
      <c r="G139" s="61" t="str">
        <f t="shared" ca="1" si="18"/>
        <v>--- Select ---</v>
      </c>
      <c r="H139" s="62" t="s">
        <v>852</v>
      </c>
      <c r="I139" s="62" t="s">
        <v>852</v>
      </c>
      <c r="J139" s="62" t="s">
        <v>852</v>
      </c>
      <c r="L139" s="64" t="str">
        <f t="shared" si="21"/>
        <v>5.2.4</v>
      </c>
      <c r="M139" s="64" t="str">
        <f t="shared" si="19"/>
        <v>V5</v>
      </c>
      <c r="N139" s="64" t="str">
        <f t="shared" si="20"/>
        <v>V5.2</v>
      </c>
      <c r="O139" s="64" t="str">
        <f t="shared" si="22"/>
        <v>Verify that the application avoids the use of eval() or other dynamic code execution features. Where there is no alternative, any user input being included must be sanitized or sandboxed before being executed.</v>
      </c>
      <c r="P139" s="64" t="str">
        <f t="shared" ca="1" si="23"/>
        <v>--- Select ---</v>
      </c>
      <c r="Q139" s="63" t="str">
        <f t="shared" si="24"/>
        <v>Y</v>
      </c>
      <c r="R139" s="63" t="str">
        <f t="shared" si="25"/>
        <v>Y</v>
      </c>
      <c r="S139" s="63" t="str">
        <f t="shared" si="26"/>
        <v>Y</v>
      </c>
    </row>
    <row r="140" spans="1:19" x14ac:dyDescent="0.35">
      <c r="A140" s="63" t="s">
        <v>44</v>
      </c>
      <c r="B140" s="61" t="s">
        <v>412</v>
      </c>
      <c r="C140" s="63" t="s">
        <v>809</v>
      </c>
      <c r="D140" s="61" t="s">
        <v>810</v>
      </c>
      <c r="E140" s="63" t="s">
        <v>214</v>
      </c>
      <c r="F140" s="61" t="s">
        <v>430</v>
      </c>
      <c r="G140" s="61" t="str">
        <f t="shared" ca="1" si="18"/>
        <v>--- Select ---</v>
      </c>
      <c r="H140" s="62" t="s">
        <v>852</v>
      </c>
      <c r="I140" s="62" t="s">
        <v>852</v>
      </c>
      <c r="J140" s="62" t="s">
        <v>852</v>
      </c>
      <c r="L140" s="64" t="str">
        <f t="shared" si="21"/>
        <v>5.2.5</v>
      </c>
      <c r="M140" s="64" t="str">
        <f t="shared" si="19"/>
        <v>V5</v>
      </c>
      <c r="N140" s="64" t="str">
        <f t="shared" si="20"/>
        <v>V5.2</v>
      </c>
      <c r="O140" s="64" t="str">
        <f t="shared" si="22"/>
        <v>Verify that the application protects against template injection attacks by ensuring that any user input being included is sanitized or sandboxed.</v>
      </c>
      <c r="P140" s="64" t="str">
        <f t="shared" ca="1" si="23"/>
        <v>--- Select ---</v>
      </c>
      <c r="Q140" s="63" t="str">
        <f t="shared" si="24"/>
        <v>Y</v>
      </c>
      <c r="R140" s="63" t="str">
        <f t="shared" si="25"/>
        <v>Y</v>
      </c>
      <c r="S140" s="63" t="str">
        <f t="shared" si="26"/>
        <v>Y</v>
      </c>
    </row>
    <row r="141" spans="1:19" x14ac:dyDescent="0.35">
      <c r="A141" s="63" t="s">
        <v>44</v>
      </c>
      <c r="B141" s="61" t="s">
        <v>412</v>
      </c>
      <c r="C141" s="63" t="s">
        <v>809</v>
      </c>
      <c r="D141" s="61" t="s">
        <v>810</v>
      </c>
      <c r="E141" s="63" t="s">
        <v>217</v>
      </c>
      <c r="F141" s="61" t="s">
        <v>431</v>
      </c>
      <c r="G141" s="61" t="str">
        <f t="shared" ca="1" si="18"/>
        <v>--- Select ---</v>
      </c>
      <c r="H141" s="62" t="s">
        <v>852</v>
      </c>
      <c r="I141" s="62" t="s">
        <v>852</v>
      </c>
      <c r="J141" s="62" t="s">
        <v>852</v>
      </c>
      <c r="L141" s="64" t="str">
        <f t="shared" si="21"/>
        <v>5.2.6</v>
      </c>
      <c r="M141" s="64" t="str">
        <f t="shared" si="19"/>
        <v>V5</v>
      </c>
      <c r="N141" s="64" t="str">
        <f t="shared" si="20"/>
        <v>V5.2</v>
      </c>
      <c r="O141" s="64" t="str">
        <f t="shared" si="22"/>
        <v>Verify that the application protects against SSRF attacks, by validating or sanitizing untrusted data or HTTP file metadata, such as filenames and URL input fields, use whitelisting of protocols, domains, paths and ports.</v>
      </c>
      <c r="P141" s="64" t="str">
        <f t="shared" ca="1" si="23"/>
        <v>--- Select ---</v>
      </c>
      <c r="Q141" s="63" t="str">
        <f t="shared" si="24"/>
        <v>Y</v>
      </c>
      <c r="R141" s="63" t="str">
        <f t="shared" si="25"/>
        <v>Y</v>
      </c>
      <c r="S141" s="63" t="str">
        <f t="shared" si="26"/>
        <v>Y</v>
      </c>
    </row>
    <row r="142" spans="1:19" x14ac:dyDescent="0.35">
      <c r="A142" s="63" t="s">
        <v>44</v>
      </c>
      <c r="B142" s="61" t="s">
        <v>412</v>
      </c>
      <c r="C142" s="63" t="s">
        <v>809</v>
      </c>
      <c r="D142" s="61" t="s">
        <v>810</v>
      </c>
      <c r="E142" s="63" t="s">
        <v>432</v>
      </c>
      <c r="F142" s="61" t="s">
        <v>433</v>
      </c>
      <c r="G142" s="61" t="str">
        <f t="shared" ca="1" si="18"/>
        <v>--- Select ---</v>
      </c>
      <c r="H142" s="62" t="s">
        <v>852</v>
      </c>
      <c r="I142" s="62" t="s">
        <v>852</v>
      </c>
      <c r="J142" s="62" t="s">
        <v>852</v>
      </c>
      <c r="L142" s="64" t="str">
        <f t="shared" si="21"/>
        <v>5.2.7</v>
      </c>
      <c r="M142" s="64" t="str">
        <f t="shared" si="19"/>
        <v>V5</v>
      </c>
      <c r="N142" s="64" t="str">
        <f t="shared" si="20"/>
        <v>V5.2</v>
      </c>
      <c r="O142" s="64" t="str">
        <f t="shared" si="22"/>
        <v>Verify that the application sanitizes, disables, or sandboxes user-supplied SVG scriptable content, especially as they relate to XSS resulting from inline scripts, and foreignObject.</v>
      </c>
      <c r="P142" s="64" t="str">
        <f t="shared" ca="1" si="23"/>
        <v>--- Select ---</v>
      </c>
      <c r="Q142" s="63" t="str">
        <f t="shared" si="24"/>
        <v>Y</v>
      </c>
      <c r="R142" s="63" t="str">
        <f t="shared" si="25"/>
        <v>Y</v>
      </c>
      <c r="S142" s="63" t="str">
        <f t="shared" si="26"/>
        <v>Y</v>
      </c>
    </row>
    <row r="143" spans="1:19" x14ac:dyDescent="0.35">
      <c r="A143" s="63" t="s">
        <v>44</v>
      </c>
      <c r="B143" s="61" t="s">
        <v>412</v>
      </c>
      <c r="C143" s="63" t="s">
        <v>809</v>
      </c>
      <c r="D143" s="61" t="s">
        <v>810</v>
      </c>
      <c r="E143" s="63" t="s">
        <v>220</v>
      </c>
      <c r="F143" s="61" t="s">
        <v>434</v>
      </c>
      <c r="G143" s="61" t="str">
        <f t="shared" ca="1" si="18"/>
        <v>--- Select ---</v>
      </c>
      <c r="H143" s="62" t="s">
        <v>852</v>
      </c>
      <c r="I143" s="62" t="s">
        <v>852</v>
      </c>
      <c r="J143" s="62" t="s">
        <v>852</v>
      </c>
      <c r="L143" s="64" t="str">
        <f t="shared" si="21"/>
        <v>5.2.8</v>
      </c>
      <c r="M143" s="64" t="str">
        <f t="shared" si="19"/>
        <v>V5</v>
      </c>
      <c r="N143" s="64" t="str">
        <f t="shared" si="20"/>
        <v>V5.2</v>
      </c>
      <c r="O143" s="64" t="str">
        <f t="shared" si="22"/>
        <v>Verify that the application sanitizes, disables, or sandboxes user-supplied scriptable or expression template language content, such as Markdown, CSS or XSL stylesheets, BBCode, or similar.</v>
      </c>
      <c r="P143" s="64" t="str">
        <f t="shared" ca="1" si="23"/>
        <v>--- Select ---</v>
      </c>
      <c r="Q143" s="63" t="str">
        <f t="shared" si="24"/>
        <v>Y</v>
      </c>
      <c r="R143" s="63" t="str">
        <f t="shared" si="25"/>
        <v>Y</v>
      </c>
      <c r="S143" s="63" t="str">
        <f t="shared" si="26"/>
        <v>Y</v>
      </c>
    </row>
    <row r="144" spans="1:19" x14ac:dyDescent="0.35">
      <c r="A144" s="63" t="s">
        <v>44</v>
      </c>
      <c r="B144" s="61" t="s">
        <v>412</v>
      </c>
      <c r="C144" s="63" t="s">
        <v>436</v>
      </c>
      <c r="D144" s="61" t="s">
        <v>435</v>
      </c>
      <c r="E144" s="63" t="s">
        <v>437</v>
      </c>
      <c r="F144" s="61" t="s">
        <v>438</v>
      </c>
      <c r="G144" s="61" t="str">
        <f t="shared" ca="1" si="18"/>
        <v>--- Select ---</v>
      </c>
      <c r="H144" s="62" t="s">
        <v>852</v>
      </c>
      <c r="I144" s="62" t="s">
        <v>852</v>
      </c>
      <c r="J144" s="62" t="s">
        <v>852</v>
      </c>
      <c r="L144" s="64" t="str">
        <f t="shared" si="21"/>
        <v>5.3.1</v>
      </c>
      <c r="M144" s="64" t="str">
        <f t="shared" si="19"/>
        <v>V5</v>
      </c>
      <c r="N144" s="64" t="str">
        <f t="shared" si="20"/>
        <v>V5.3</v>
      </c>
      <c r="O144" s="64" t="str">
        <f t="shared" si="22"/>
        <v>Verify that output encoding is relevant for the interpreter and context required. For example, use encoders specifically for HTML values, HTML attributes, JavaScript, URL Parameters, HTTP headers, SMTP, and others as the context requires, especially from untrusted inputs (e.g. names with Unicode or apostrophes, such as ねこ or O'Hara). (C4)</v>
      </c>
      <c r="P144" s="64" t="str">
        <f t="shared" ca="1" si="23"/>
        <v>--- Select ---</v>
      </c>
      <c r="Q144" s="63" t="str">
        <f t="shared" si="24"/>
        <v>Y</v>
      </c>
      <c r="R144" s="63" t="str">
        <f t="shared" si="25"/>
        <v>Y</v>
      </c>
      <c r="S144" s="63" t="str">
        <f t="shared" si="26"/>
        <v>Y</v>
      </c>
    </row>
    <row r="145" spans="1:19" x14ac:dyDescent="0.35">
      <c r="A145" s="63" t="s">
        <v>44</v>
      </c>
      <c r="B145" s="61" t="s">
        <v>412</v>
      </c>
      <c r="C145" s="63" t="s">
        <v>436</v>
      </c>
      <c r="D145" s="61" t="s">
        <v>435</v>
      </c>
      <c r="E145" s="63" t="s">
        <v>439</v>
      </c>
      <c r="F145" s="61" t="s">
        <v>440</v>
      </c>
      <c r="G145" s="61" t="str">
        <f t="shared" ca="1" si="18"/>
        <v>--- Select ---</v>
      </c>
      <c r="H145" s="62" t="s">
        <v>852</v>
      </c>
      <c r="I145" s="62" t="s">
        <v>852</v>
      </c>
      <c r="J145" s="62" t="s">
        <v>852</v>
      </c>
      <c r="L145" s="64" t="str">
        <f t="shared" si="21"/>
        <v>5.3.2</v>
      </c>
      <c r="M145" s="64" t="str">
        <f t="shared" si="19"/>
        <v>V5</v>
      </c>
      <c r="N145" s="64" t="str">
        <f t="shared" si="20"/>
        <v>V5.3</v>
      </c>
      <c r="O145" s="64" t="str">
        <f t="shared" si="22"/>
        <v>Verify that output encoding preserves the user's chosen character set and locale, such that any Unicode character point is valid and safely handled. (C4)</v>
      </c>
      <c r="P145" s="64" t="str">
        <f t="shared" ca="1" si="23"/>
        <v>--- Select ---</v>
      </c>
      <c r="Q145" s="63" t="str">
        <f t="shared" si="24"/>
        <v>Y</v>
      </c>
      <c r="R145" s="63" t="str">
        <f t="shared" si="25"/>
        <v>Y</v>
      </c>
      <c r="S145" s="63" t="str">
        <f t="shared" si="26"/>
        <v>Y</v>
      </c>
    </row>
    <row r="146" spans="1:19" x14ac:dyDescent="0.35">
      <c r="A146" s="63" t="s">
        <v>44</v>
      </c>
      <c r="B146" s="61" t="s">
        <v>412</v>
      </c>
      <c r="C146" s="63" t="s">
        <v>436</v>
      </c>
      <c r="D146" s="61" t="s">
        <v>435</v>
      </c>
      <c r="E146" s="63" t="s">
        <v>441</v>
      </c>
      <c r="F146" s="61" t="s">
        <v>442</v>
      </c>
      <c r="G146" s="61" t="str">
        <f t="shared" ca="1" si="18"/>
        <v>--- Select ---</v>
      </c>
      <c r="H146" s="62" t="s">
        <v>852</v>
      </c>
      <c r="I146" s="62" t="s">
        <v>852</v>
      </c>
      <c r="J146" s="62" t="s">
        <v>852</v>
      </c>
      <c r="L146" s="64" t="str">
        <f t="shared" si="21"/>
        <v>5.3.3</v>
      </c>
      <c r="M146" s="64" t="str">
        <f t="shared" si="19"/>
        <v>V5</v>
      </c>
      <c r="N146" s="64" t="str">
        <f t="shared" si="20"/>
        <v>V5.3</v>
      </c>
      <c r="O146" s="64" t="str">
        <f t="shared" si="22"/>
        <v>Verify that context-aware, preferably automated - or at worst, manual - output escaping protects against reflected, stored, and DOM based XSS. (C4)</v>
      </c>
      <c r="P146" s="64" t="str">
        <f t="shared" ca="1" si="23"/>
        <v>--- Select ---</v>
      </c>
      <c r="Q146" s="63" t="str">
        <f t="shared" si="24"/>
        <v>Y</v>
      </c>
      <c r="R146" s="63" t="str">
        <f t="shared" si="25"/>
        <v>Y</v>
      </c>
      <c r="S146" s="63" t="str">
        <f t="shared" si="26"/>
        <v>Y</v>
      </c>
    </row>
    <row r="147" spans="1:19" x14ac:dyDescent="0.35">
      <c r="A147" s="63" t="s">
        <v>44</v>
      </c>
      <c r="B147" s="61" t="s">
        <v>412</v>
      </c>
      <c r="C147" s="63" t="s">
        <v>436</v>
      </c>
      <c r="D147" s="61" t="s">
        <v>435</v>
      </c>
      <c r="E147" s="63" t="s">
        <v>443</v>
      </c>
      <c r="F147" s="61" t="s">
        <v>444</v>
      </c>
      <c r="G147" s="61" t="str">
        <f t="shared" ca="1" si="18"/>
        <v>--- Select ---</v>
      </c>
      <c r="H147" s="62" t="s">
        <v>852</v>
      </c>
      <c r="I147" s="62" t="s">
        <v>852</v>
      </c>
      <c r="J147" s="62" t="s">
        <v>852</v>
      </c>
      <c r="L147" s="64" t="str">
        <f t="shared" si="21"/>
        <v>5.3.4</v>
      </c>
      <c r="M147" s="64" t="str">
        <f t="shared" si="19"/>
        <v>V5</v>
      </c>
      <c r="N147" s="64" t="str">
        <f t="shared" si="20"/>
        <v>V5.3</v>
      </c>
      <c r="O147" s="64" t="str">
        <f t="shared" si="22"/>
        <v>Verify that data selection or database queries (e.g. SQL, HQL, ORM, NoSQL) use parameterized queries, ORMs, entity frameworks, or are otherwise protected from database injection attacks. (C3)</v>
      </c>
      <c r="P147" s="64" t="str">
        <f t="shared" ca="1" si="23"/>
        <v>--- Select ---</v>
      </c>
      <c r="Q147" s="63" t="str">
        <f t="shared" si="24"/>
        <v>Y</v>
      </c>
      <c r="R147" s="63" t="str">
        <f t="shared" si="25"/>
        <v>Y</v>
      </c>
      <c r="S147" s="63" t="str">
        <f t="shared" si="26"/>
        <v>Y</v>
      </c>
    </row>
    <row r="148" spans="1:19" x14ac:dyDescent="0.35">
      <c r="A148" s="63" t="s">
        <v>44</v>
      </c>
      <c r="B148" s="61" t="s">
        <v>412</v>
      </c>
      <c r="C148" s="63" t="s">
        <v>436</v>
      </c>
      <c r="D148" s="61" t="s">
        <v>435</v>
      </c>
      <c r="E148" s="63" t="s">
        <v>445</v>
      </c>
      <c r="F148" s="61" t="s">
        <v>446</v>
      </c>
      <c r="G148" s="61" t="str">
        <f t="shared" ca="1" si="18"/>
        <v>--- Select ---</v>
      </c>
      <c r="H148" s="62" t="s">
        <v>852</v>
      </c>
      <c r="I148" s="62" t="s">
        <v>852</v>
      </c>
      <c r="J148" s="62" t="s">
        <v>852</v>
      </c>
      <c r="L148" s="64" t="str">
        <f t="shared" si="21"/>
        <v>5.3.5</v>
      </c>
      <c r="M148" s="64" t="str">
        <f t="shared" si="19"/>
        <v>V5</v>
      </c>
      <c r="N148" s="64" t="str">
        <f t="shared" si="20"/>
        <v>V5.3</v>
      </c>
      <c r="O148" s="64" t="str">
        <f t="shared" si="22"/>
        <v>Verify that where parameterized or safer mechanisms are not present, context-specific output encoding is used to protect against injection attacks, such as the use of SQL escaping to protect against SQL injection. (C3, C4)</v>
      </c>
      <c r="P148" s="64" t="str">
        <f t="shared" ca="1" si="23"/>
        <v>--- Select ---</v>
      </c>
      <c r="Q148" s="63" t="str">
        <f t="shared" si="24"/>
        <v>Y</v>
      </c>
      <c r="R148" s="63" t="str">
        <f t="shared" si="25"/>
        <v>Y</v>
      </c>
      <c r="S148" s="63" t="str">
        <f t="shared" si="26"/>
        <v>Y</v>
      </c>
    </row>
    <row r="149" spans="1:19" x14ac:dyDescent="0.35">
      <c r="A149" s="63" t="s">
        <v>44</v>
      </c>
      <c r="B149" s="61" t="s">
        <v>412</v>
      </c>
      <c r="C149" s="63" t="s">
        <v>436</v>
      </c>
      <c r="D149" s="61" t="s">
        <v>435</v>
      </c>
      <c r="E149" s="63" t="s">
        <v>447</v>
      </c>
      <c r="F149" s="61" t="s">
        <v>448</v>
      </c>
      <c r="G149" s="61" t="str">
        <f t="shared" ca="1" si="18"/>
        <v>--- Select ---</v>
      </c>
      <c r="H149" s="62" t="s">
        <v>852</v>
      </c>
      <c r="I149" s="62" t="s">
        <v>852</v>
      </c>
      <c r="J149" s="62" t="s">
        <v>852</v>
      </c>
      <c r="L149" s="64" t="str">
        <f t="shared" si="21"/>
        <v>5.3.6</v>
      </c>
      <c r="M149" s="64" t="str">
        <f t="shared" si="19"/>
        <v>V5</v>
      </c>
      <c r="N149" s="64" t="str">
        <f t="shared" si="20"/>
        <v>V5.3</v>
      </c>
      <c r="O149" s="64" t="str">
        <f t="shared" si="22"/>
        <v>Verify that the application projects against JavaScript or JSON injection attacks, including for eval attacks, remote JavaScript includes, CSP bypasses, DOM XSS, and JavaScript expression evaluation. (C4)</v>
      </c>
      <c r="P149" s="64" t="str">
        <f t="shared" ca="1" si="23"/>
        <v>--- Select ---</v>
      </c>
      <c r="Q149" s="63" t="str">
        <f t="shared" si="24"/>
        <v>Y</v>
      </c>
      <c r="R149" s="63" t="str">
        <f t="shared" si="25"/>
        <v>Y</v>
      </c>
      <c r="S149" s="63" t="str">
        <f t="shared" si="26"/>
        <v>Y</v>
      </c>
    </row>
    <row r="150" spans="1:19" x14ac:dyDescent="0.35">
      <c r="A150" s="63" t="s">
        <v>44</v>
      </c>
      <c r="B150" s="61" t="s">
        <v>412</v>
      </c>
      <c r="C150" s="63" t="s">
        <v>436</v>
      </c>
      <c r="D150" s="61" t="s">
        <v>435</v>
      </c>
      <c r="E150" s="63" t="s">
        <v>449</v>
      </c>
      <c r="F150" s="61" t="s">
        <v>450</v>
      </c>
      <c r="G150" s="61" t="str">
        <f t="shared" ca="1" si="18"/>
        <v>--- Select ---</v>
      </c>
      <c r="H150" s="62" t="s">
        <v>852</v>
      </c>
      <c r="I150" s="62" t="s">
        <v>852</v>
      </c>
      <c r="J150" s="62" t="s">
        <v>852</v>
      </c>
      <c r="L150" s="64" t="str">
        <f t="shared" si="21"/>
        <v>5.3.7</v>
      </c>
      <c r="M150" s="64" t="str">
        <f t="shared" si="19"/>
        <v>V5</v>
      </c>
      <c r="N150" s="64" t="str">
        <f t="shared" si="20"/>
        <v>V5.3</v>
      </c>
      <c r="O150" s="64" t="str">
        <f t="shared" si="22"/>
        <v>Verify that the application protects against LDAP Injection vulnerabilities, or that specific security controls to prevent LDAP Injection have been implemented. (C4)</v>
      </c>
      <c r="P150" s="64" t="str">
        <f t="shared" ca="1" si="23"/>
        <v>--- Select ---</v>
      </c>
      <c r="Q150" s="63" t="str">
        <f t="shared" si="24"/>
        <v>Y</v>
      </c>
      <c r="R150" s="63" t="str">
        <f t="shared" si="25"/>
        <v>Y</v>
      </c>
      <c r="S150" s="63" t="str">
        <f t="shared" si="26"/>
        <v>Y</v>
      </c>
    </row>
    <row r="151" spans="1:19" x14ac:dyDescent="0.35">
      <c r="A151" s="63" t="s">
        <v>44</v>
      </c>
      <c r="B151" s="61" t="s">
        <v>412</v>
      </c>
      <c r="C151" s="63" t="s">
        <v>436</v>
      </c>
      <c r="D151" s="61" t="s">
        <v>435</v>
      </c>
      <c r="E151" s="63" t="s">
        <v>451</v>
      </c>
      <c r="F151" s="61" t="s">
        <v>452</v>
      </c>
      <c r="G151" s="61" t="str">
        <f t="shared" ca="1" si="18"/>
        <v>--- Select ---</v>
      </c>
      <c r="H151" s="62" t="s">
        <v>852</v>
      </c>
      <c r="I151" s="62" t="s">
        <v>852</v>
      </c>
      <c r="J151" s="62" t="s">
        <v>852</v>
      </c>
      <c r="L151" s="64" t="str">
        <f t="shared" si="21"/>
        <v>5.3.8</v>
      </c>
      <c r="M151" s="64" t="str">
        <f t="shared" si="19"/>
        <v>V5</v>
      </c>
      <c r="N151" s="64" t="str">
        <f t="shared" si="20"/>
        <v>V5.3</v>
      </c>
      <c r="O151" s="64" t="str">
        <f t="shared" si="22"/>
        <v>Verify that the application protects against OS command injection and that operating system calls use parameterized OS queries or use contextual command line output encoding. (C4)</v>
      </c>
      <c r="P151" s="64" t="str">
        <f t="shared" ca="1" si="23"/>
        <v>--- Select ---</v>
      </c>
      <c r="Q151" s="63" t="str">
        <f t="shared" si="24"/>
        <v>Y</v>
      </c>
      <c r="R151" s="63" t="str">
        <f t="shared" si="25"/>
        <v>Y</v>
      </c>
      <c r="S151" s="63" t="str">
        <f t="shared" si="26"/>
        <v>Y</v>
      </c>
    </row>
    <row r="152" spans="1:19" x14ac:dyDescent="0.35">
      <c r="A152" s="63" t="s">
        <v>44</v>
      </c>
      <c r="B152" s="61" t="s">
        <v>412</v>
      </c>
      <c r="C152" s="63" t="s">
        <v>436</v>
      </c>
      <c r="D152" s="61" t="s">
        <v>435</v>
      </c>
      <c r="E152" s="63" t="s">
        <v>453</v>
      </c>
      <c r="F152" s="61" t="s">
        <v>454</v>
      </c>
      <c r="G152" s="61" t="str">
        <f t="shared" ca="1" si="18"/>
        <v>--- Select ---</v>
      </c>
      <c r="H152" s="62" t="s">
        <v>852</v>
      </c>
      <c r="I152" s="62" t="s">
        <v>852</v>
      </c>
      <c r="J152" s="62" t="s">
        <v>852</v>
      </c>
      <c r="L152" s="64" t="str">
        <f t="shared" si="21"/>
        <v>5.3.9</v>
      </c>
      <c r="M152" s="64" t="str">
        <f t="shared" si="19"/>
        <v>V5</v>
      </c>
      <c r="N152" s="64" t="str">
        <f t="shared" si="20"/>
        <v>V5.3</v>
      </c>
      <c r="O152" s="64" t="str">
        <f t="shared" si="22"/>
        <v>Verify that the application protects against Local File Inclusion (LFI) or Remote File Inclusion (RFI) attacks.</v>
      </c>
      <c r="P152" s="64" t="str">
        <f t="shared" ca="1" si="23"/>
        <v>--- Select ---</v>
      </c>
      <c r="Q152" s="63" t="str">
        <f t="shared" si="24"/>
        <v>Y</v>
      </c>
      <c r="R152" s="63" t="str">
        <f t="shared" si="25"/>
        <v>Y</v>
      </c>
      <c r="S152" s="63" t="str">
        <f t="shared" si="26"/>
        <v>Y</v>
      </c>
    </row>
    <row r="153" spans="1:19" x14ac:dyDescent="0.35">
      <c r="A153" s="63" t="s">
        <v>44</v>
      </c>
      <c r="B153" s="61" t="s">
        <v>412</v>
      </c>
      <c r="C153" s="63" t="s">
        <v>436</v>
      </c>
      <c r="D153" s="61" t="s">
        <v>435</v>
      </c>
      <c r="E153" s="63" t="s">
        <v>455</v>
      </c>
      <c r="F153" s="61" t="s">
        <v>456</v>
      </c>
      <c r="G153" s="61" t="str">
        <f t="shared" ca="1" si="18"/>
        <v>--- Select ---</v>
      </c>
      <c r="H153" s="62" t="s">
        <v>852</v>
      </c>
      <c r="I153" s="62" t="s">
        <v>852</v>
      </c>
      <c r="J153" s="62" t="s">
        <v>852</v>
      </c>
      <c r="L153" s="64" t="str">
        <f t="shared" si="21"/>
        <v>5.3.10</v>
      </c>
      <c r="M153" s="64" t="str">
        <f t="shared" si="19"/>
        <v>V5</v>
      </c>
      <c r="N153" s="64" t="str">
        <f t="shared" si="20"/>
        <v>V5.3</v>
      </c>
      <c r="O153" s="64" t="str">
        <f t="shared" si="22"/>
        <v>Verify that the application protects against XPath injection or XML injection attacks. (C4)</v>
      </c>
      <c r="P153" s="64" t="str">
        <f t="shared" ca="1" si="23"/>
        <v>--- Select ---</v>
      </c>
      <c r="Q153" s="63" t="str">
        <f t="shared" si="24"/>
        <v>Y</v>
      </c>
      <c r="R153" s="63" t="str">
        <f t="shared" si="25"/>
        <v>Y</v>
      </c>
      <c r="S153" s="63" t="str">
        <f t="shared" si="26"/>
        <v>Y</v>
      </c>
    </row>
    <row r="154" spans="1:19" x14ac:dyDescent="0.35">
      <c r="A154" s="63" t="s">
        <v>44</v>
      </c>
      <c r="B154" s="61" t="s">
        <v>412</v>
      </c>
      <c r="C154" s="63" t="s">
        <v>457</v>
      </c>
      <c r="D154" s="61" t="s">
        <v>458</v>
      </c>
      <c r="E154" s="63" t="s">
        <v>459</v>
      </c>
      <c r="F154" s="61" t="s">
        <v>460</v>
      </c>
      <c r="G154" s="61" t="str">
        <f t="shared" ca="1" si="18"/>
        <v>--- Select ---</v>
      </c>
      <c r="H154" s="62" t="s">
        <v>853</v>
      </c>
      <c r="I154" s="62" t="s">
        <v>852</v>
      </c>
      <c r="J154" s="62" t="s">
        <v>852</v>
      </c>
      <c r="L154" s="64" t="str">
        <f t="shared" si="21"/>
        <v>5.4.1</v>
      </c>
      <c r="M154" s="64" t="str">
        <f t="shared" si="19"/>
        <v>V5</v>
      </c>
      <c r="N154" s="64" t="str">
        <f t="shared" si="20"/>
        <v>V5.4</v>
      </c>
      <c r="O154" s="64" t="str">
        <f t="shared" si="22"/>
        <v>Verify that the application uses memory-safe string, safer memory copy and pointer arithmetic to detect or prevent stack, buffer, or heap overflows.</v>
      </c>
      <c r="P154" s="64" t="str">
        <f t="shared" ca="1" si="23"/>
        <v>--- Select ---</v>
      </c>
      <c r="Q154" s="63" t="str">
        <f t="shared" si="24"/>
        <v>N</v>
      </c>
      <c r="R154" s="63" t="str">
        <f t="shared" si="25"/>
        <v>Y</v>
      </c>
      <c r="S154" s="63" t="str">
        <f t="shared" si="26"/>
        <v>Y</v>
      </c>
    </row>
    <row r="155" spans="1:19" x14ac:dyDescent="0.35">
      <c r="A155" s="63" t="s">
        <v>44</v>
      </c>
      <c r="B155" s="61" t="s">
        <v>412</v>
      </c>
      <c r="C155" s="63" t="s">
        <v>457</v>
      </c>
      <c r="D155" s="61" t="s">
        <v>458</v>
      </c>
      <c r="E155" s="63" t="s">
        <v>461</v>
      </c>
      <c r="F155" s="61" t="s">
        <v>462</v>
      </c>
      <c r="G155" s="61" t="str">
        <f t="shared" ca="1" si="18"/>
        <v>--- Select ---</v>
      </c>
      <c r="H155" s="62" t="s">
        <v>853</v>
      </c>
      <c r="I155" s="62" t="s">
        <v>852</v>
      </c>
      <c r="J155" s="62" t="s">
        <v>852</v>
      </c>
      <c r="L155" s="64" t="str">
        <f t="shared" si="21"/>
        <v>5.4.2</v>
      </c>
      <c r="M155" s="64" t="str">
        <f t="shared" si="19"/>
        <v>V5</v>
      </c>
      <c r="N155" s="64" t="str">
        <f t="shared" si="20"/>
        <v>V5.4</v>
      </c>
      <c r="O155" s="64" t="str">
        <f t="shared" si="22"/>
        <v>Verify that format strings do not take potentially hostile input, and are constant.</v>
      </c>
      <c r="P155" s="64" t="str">
        <f t="shared" ca="1" si="23"/>
        <v>--- Select ---</v>
      </c>
      <c r="Q155" s="63" t="str">
        <f t="shared" si="24"/>
        <v>N</v>
      </c>
      <c r="R155" s="63" t="str">
        <f t="shared" si="25"/>
        <v>Y</v>
      </c>
      <c r="S155" s="63" t="str">
        <f t="shared" si="26"/>
        <v>Y</v>
      </c>
    </row>
    <row r="156" spans="1:19" x14ac:dyDescent="0.35">
      <c r="A156" s="63" t="s">
        <v>44</v>
      </c>
      <c r="B156" s="61" t="s">
        <v>412</v>
      </c>
      <c r="C156" s="63" t="s">
        <v>457</v>
      </c>
      <c r="D156" s="61" t="s">
        <v>458</v>
      </c>
      <c r="E156" s="63" t="s">
        <v>463</v>
      </c>
      <c r="F156" s="61" t="s">
        <v>464</v>
      </c>
      <c r="G156" s="61" t="str">
        <f t="shared" ca="1" si="18"/>
        <v>--- Select ---</v>
      </c>
      <c r="H156" s="62" t="s">
        <v>853</v>
      </c>
      <c r="I156" s="62" t="s">
        <v>852</v>
      </c>
      <c r="J156" s="62" t="s">
        <v>852</v>
      </c>
      <c r="L156" s="64" t="str">
        <f t="shared" si="21"/>
        <v>5.4.3</v>
      </c>
      <c r="M156" s="64" t="str">
        <f t="shared" si="19"/>
        <v>V5</v>
      </c>
      <c r="N156" s="64" t="str">
        <f t="shared" si="20"/>
        <v>V5.4</v>
      </c>
      <c r="O156" s="64" t="str">
        <f t="shared" si="22"/>
        <v>Verify that sign, range, and input validation techniques are used to prevent integer overflows.</v>
      </c>
      <c r="P156" s="64" t="str">
        <f t="shared" ca="1" si="23"/>
        <v>--- Select ---</v>
      </c>
      <c r="Q156" s="63" t="str">
        <f t="shared" si="24"/>
        <v>N</v>
      </c>
      <c r="R156" s="63" t="str">
        <f t="shared" si="25"/>
        <v>Y</v>
      </c>
      <c r="S156" s="63" t="str">
        <f t="shared" si="26"/>
        <v>Y</v>
      </c>
    </row>
    <row r="157" spans="1:19" x14ac:dyDescent="0.35">
      <c r="A157" s="63" t="s">
        <v>44</v>
      </c>
      <c r="B157" s="61" t="s">
        <v>412</v>
      </c>
      <c r="C157" s="63" t="s">
        <v>465</v>
      </c>
      <c r="D157" s="61" t="s">
        <v>466</v>
      </c>
      <c r="E157" s="63" t="s">
        <v>467</v>
      </c>
      <c r="F157" s="61" t="s">
        <v>468</v>
      </c>
      <c r="G157" s="61" t="str">
        <f t="shared" ca="1" si="18"/>
        <v>--- Select ---</v>
      </c>
      <c r="H157" s="62" t="s">
        <v>852</v>
      </c>
      <c r="I157" s="62" t="s">
        <v>852</v>
      </c>
      <c r="J157" s="62" t="s">
        <v>852</v>
      </c>
      <c r="L157" s="64" t="str">
        <f t="shared" si="21"/>
        <v>5.5.1</v>
      </c>
      <c r="M157" s="64" t="str">
        <f t="shared" si="19"/>
        <v>V5</v>
      </c>
      <c r="N157" s="64" t="str">
        <f t="shared" si="20"/>
        <v>V5.5</v>
      </c>
      <c r="O157" s="64" t="str">
        <f t="shared" si="22"/>
        <v>Verify that serialized objects use integrity checks or are encrypted to prevent hostile object creation or data tampering. (C5)</v>
      </c>
      <c r="P157" s="64" t="str">
        <f t="shared" ca="1" si="23"/>
        <v>--- Select ---</v>
      </c>
      <c r="Q157" s="63" t="str">
        <f t="shared" si="24"/>
        <v>Y</v>
      </c>
      <c r="R157" s="63" t="str">
        <f t="shared" si="25"/>
        <v>Y</v>
      </c>
      <c r="S157" s="63" t="str">
        <f t="shared" si="26"/>
        <v>Y</v>
      </c>
    </row>
    <row r="158" spans="1:19" x14ac:dyDescent="0.35">
      <c r="A158" s="63" t="s">
        <v>44</v>
      </c>
      <c r="B158" s="61" t="s">
        <v>412</v>
      </c>
      <c r="C158" s="63" t="s">
        <v>465</v>
      </c>
      <c r="D158" s="61" t="s">
        <v>466</v>
      </c>
      <c r="E158" s="63" t="s">
        <v>469</v>
      </c>
      <c r="F158" s="61" t="s">
        <v>470</v>
      </c>
      <c r="G158" s="61" t="str">
        <f t="shared" ca="1" si="18"/>
        <v>--- Select ---</v>
      </c>
      <c r="H158" s="62" t="s">
        <v>852</v>
      </c>
      <c r="I158" s="62" t="s">
        <v>852</v>
      </c>
      <c r="J158" s="62" t="s">
        <v>852</v>
      </c>
      <c r="L158" s="64" t="str">
        <f t="shared" si="21"/>
        <v>5.5.2</v>
      </c>
      <c r="M158" s="64" t="str">
        <f t="shared" si="19"/>
        <v>V5</v>
      </c>
      <c r="N158" s="64" t="str">
        <f t="shared" si="20"/>
        <v>V5.5</v>
      </c>
      <c r="O158" s="64" t="str">
        <f t="shared" si="22"/>
        <v>Verify that the application correctly restricts XML parsers to only use the most restrictive configuration possible and to ensure that unsafe features such as resolving external entities are disabled to prevent XXE.</v>
      </c>
      <c r="P158" s="64" t="str">
        <f t="shared" ca="1" si="23"/>
        <v>--- Select ---</v>
      </c>
      <c r="Q158" s="63" t="str">
        <f t="shared" si="24"/>
        <v>Y</v>
      </c>
      <c r="R158" s="63" t="str">
        <f t="shared" si="25"/>
        <v>Y</v>
      </c>
      <c r="S158" s="63" t="str">
        <f t="shared" si="26"/>
        <v>Y</v>
      </c>
    </row>
    <row r="159" spans="1:19" x14ac:dyDescent="0.35">
      <c r="A159" s="63" t="s">
        <v>44</v>
      </c>
      <c r="B159" s="61" t="s">
        <v>412</v>
      </c>
      <c r="C159" s="63" t="s">
        <v>465</v>
      </c>
      <c r="D159" s="61" t="s">
        <v>466</v>
      </c>
      <c r="E159" s="63" t="s">
        <v>471</v>
      </c>
      <c r="F159" s="61" t="s">
        <v>472</v>
      </c>
      <c r="G159" s="61" t="str">
        <f t="shared" ca="1" si="18"/>
        <v>--- Select ---</v>
      </c>
      <c r="H159" s="62" t="s">
        <v>852</v>
      </c>
      <c r="I159" s="62" t="s">
        <v>852</v>
      </c>
      <c r="J159" s="62" t="s">
        <v>852</v>
      </c>
      <c r="L159" s="64" t="str">
        <f t="shared" si="21"/>
        <v>5.5.3</v>
      </c>
      <c r="M159" s="64" t="str">
        <f t="shared" si="19"/>
        <v>V5</v>
      </c>
      <c r="N159" s="64" t="str">
        <f t="shared" si="20"/>
        <v>V5.5</v>
      </c>
      <c r="O159" s="64" t="str">
        <f t="shared" si="22"/>
        <v>Verify that deserialization of untrusted data is avoided or is protected in both custom code and third-party libraries (such as JSON, XML and YAML parsers).</v>
      </c>
      <c r="P159" s="64" t="str">
        <f t="shared" ca="1" si="23"/>
        <v>--- Select ---</v>
      </c>
      <c r="Q159" s="63" t="str">
        <f t="shared" si="24"/>
        <v>Y</v>
      </c>
      <c r="R159" s="63" t="str">
        <f t="shared" si="25"/>
        <v>Y</v>
      </c>
      <c r="S159" s="63" t="str">
        <f t="shared" si="26"/>
        <v>Y</v>
      </c>
    </row>
    <row r="160" spans="1:19" x14ac:dyDescent="0.35">
      <c r="A160" s="63" t="s">
        <v>44</v>
      </c>
      <c r="B160" s="61" t="s">
        <v>412</v>
      </c>
      <c r="C160" s="63" t="s">
        <v>465</v>
      </c>
      <c r="D160" s="61" t="s">
        <v>466</v>
      </c>
      <c r="E160" s="63" t="s">
        <v>473</v>
      </c>
      <c r="F160" s="61" t="s">
        <v>474</v>
      </c>
      <c r="G160" s="61" t="str">
        <f t="shared" ca="1" si="18"/>
        <v>--- Select ---</v>
      </c>
      <c r="H160" s="62" t="s">
        <v>852</v>
      </c>
      <c r="I160" s="62" t="s">
        <v>852</v>
      </c>
      <c r="J160" s="62" t="s">
        <v>852</v>
      </c>
      <c r="L160" s="64" t="str">
        <f t="shared" si="21"/>
        <v>5.5.4</v>
      </c>
      <c r="M160" s="64" t="str">
        <f t="shared" si="19"/>
        <v>V5</v>
      </c>
      <c r="N160" s="64" t="str">
        <f t="shared" si="20"/>
        <v>V5.5</v>
      </c>
      <c r="O160" s="64" t="str">
        <f t="shared" si="22"/>
        <v>Verify that when parsing JSON in browsers or JavaScript-based backends, JSON.parse is used to parse the JSON document. Do not use eval() to parse JSON.</v>
      </c>
      <c r="P160" s="64" t="str">
        <f t="shared" ca="1" si="23"/>
        <v>--- Select ---</v>
      </c>
      <c r="Q160" s="63" t="str">
        <f t="shared" si="24"/>
        <v>Y</v>
      </c>
      <c r="R160" s="63" t="str">
        <f t="shared" si="25"/>
        <v>Y</v>
      </c>
      <c r="S160" s="63" t="str">
        <f t="shared" si="26"/>
        <v>Y</v>
      </c>
    </row>
    <row r="161" spans="1:19" x14ac:dyDescent="0.35">
      <c r="A161" s="63" t="s">
        <v>477</v>
      </c>
      <c r="B161" s="61" t="s">
        <v>476</v>
      </c>
      <c r="C161" s="63" t="s">
        <v>479</v>
      </c>
      <c r="D161" s="61" t="s">
        <v>480</v>
      </c>
      <c r="E161" s="63" t="s">
        <v>481</v>
      </c>
      <c r="F161" s="61" t="s">
        <v>482</v>
      </c>
      <c r="G161" s="61" t="str">
        <f t="shared" ca="1" si="18"/>
        <v>--- Select ---</v>
      </c>
      <c r="H161" s="62" t="s">
        <v>853</v>
      </c>
      <c r="I161" s="62" t="s">
        <v>852</v>
      </c>
      <c r="J161" s="62" t="s">
        <v>852</v>
      </c>
      <c r="L161" s="64" t="str">
        <f t="shared" si="21"/>
        <v>6.1.1</v>
      </c>
      <c r="M161" s="64" t="str">
        <f t="shared" si="19"/>
        <v>V6</v>
      </c>
      <c r="N161" s="64" t="str">
        <f t="shared" si="20"/>
        <v>V6.1</v>
      </c>
      <c r="O161" s="64" t="str">
        <f t="shared" si="22"/>
        <v>Verify that regulated private data is stored encrypted while at rest, such as personally identifiable information (PII), sensitive personal information, or data assessed likely to be subject to EU's GDPR.</v>
      </c>
      <c r="P161" s="64" t="str">
        <f t="shared" ca="1" si="23"/>
        <v>--- Select ---</v>
      </c>
      <c r="Q161" s="63" t="str">
        <f t="shared" si="24"/>
        <v>N</v>
      </c>
      <c r="R161" s="63" t="str">
        <f t="shared" si="25"/>
        <v>Y</v>
      </c>
      <c r="S161" s="63" t="str">
        <f t="shared" si="26"/>
        <v>Y</v>
      </c>
    </row>
    <row r="162" spans="1:19" x14ac:dyDescent="0.35">
      <c r="A162" s="63" t="s">
        <v>477</v>
      </c>
      <c r="B162" s="61" t="s">
        <v>476</v>
      </c>
      <c r="C162" s="63" t="s">
        <v>479</v>
      </c>
      <c r="D162" s="61" t="s">
        <v>480</v>
      </c>
      <c r="E162" s="63" t="s">
        <v>483</v>
      </c>
      <c r="F162" s="61" t="s">
        <v>484</v>
      </c>
      <c r="G162" s="61" t="str">
        <f t="shared" ca="1" si="18"/>
        <v>--- Select ---</v>
      </c>
      <c r="H162" s="62" t="s">
        <v>853</v>
      </c>
      <c r="I162" s="62" t="s">
        <v>852</v>
      </c>
      <c r="J162" s="62" t="s">
        <v>852</v>
      </c>
      <c r="L162" s="64" t="str">
        <f t="shared" si="21"/>
        <v>6.1.2</v>
      </c>
      <c r="M162" s="64" t="str">
        <f t="shared" si="19"/>
        <v>V6</v>
      </c>
      <c r="N162" s="64" t="str">
        <f t="shared" si="20"/>
        <v>V6.1</v>
      </c>
      <c r="O162" s="64" t="str">
        <f t="shared" si="22"/>
        <v>Verify that regulated health data is stored encrypted while at rest, such as medical records, medical device details, or de-anonymized research records.</v>
      </c>
      <c r="P162" s="64" t="str">
        <f t="shared" ca="1" si="23"/>
        <v>--- Select ---</v>
      </c>
      <c r="Q162" s="63" t="str">
        <f t="shared" si="24"/>
        <v>N</v>
      </c>
      <c r="R162" s="63" t="str">
        <f t="shared" si="25"/>
        <v>Y</v>
      </c>
      <c r="S162" s="63" t="str">
        <f t="shared" si="26"/>
        <v>Y</v>
      </c>
    </row>
    <row r="163" spans="1:19" x14ac:dyDescent="0.35">
      <c r="A163" s="63" t="s">
        <v>477</v>
      </c>
      <c r="B163" s="61" t="s">
        <v>476</v>
      </c>
      <c r="C163" s="63" t="s">
        <v>479</v>
      </c>
      <c r="D163" s="61" t="s">
        <v>480</v>
      </c>
      <c r="E163" s="63" t="s">
        <v>231</v>
      </c>
      <c r="F163" s="61" t="s">
        <v>485</v>
      </c>
      <c r="G163" s="61" t="str">
        <f t="shared" ca="1" si="18"/>
        <v>--- Select ---</v>
      </c>
      <c r="H163" s="62" t="s">
        <v>853</v>
      </c>
      <c r="I163" s="62" t="s">
        <v>852</v>
      </c>
      <c r="J163" s="62" t="s">
        <v>852</v>
      </c>
      <c r="L163" s="64" t="str">
        <f t="shared" si="21"/>
        <v>6.1.3</v>
      </c>
      <c r="M163" s="64" t="str">
        <f t="shared" si="19"/>
        <v>V6</v>
      </c>
      <c r="N163" s="64" t="str">
        <f t="shared" si="20"/>
        <v>V6.1</v>
      </c>
      <c r="O163" s="64" t="str">
        <f t="shared" si="22"/>
        <v>Verify that regulated financial data is stored encrypted while at rest, such as financial accounts, defaults or credit history, tax records, pay history, beneficiaries, or de-anonymized market or research records.</v>
      </c>
      <c r="P163" s="64" t="str">
        <f t="shared" ca="1" si="23"/>
        <v>--- Select ---</v>
      </c>
      <c r="Q163" s="63" t="str">
        <f t="shared" si="24"/>
        <v>N</v>
      </c>
      <c r="R163" s="63" t="str">
        <f t="shared" si="25"/>
        <v>Y</v>
      </c>
      <c r="S163" s="63" t="str">
        <f t="shared" si="26"/>
        <v>Y</v>
      </c>
    </row>
    <row r="164" spans="1:19" x14ac:dyDescent="0.35">
      <c r="A164" s="63" t="s">
        <v>477</v>
      </c>
      <c r="B164" s="61" t="s">
        <v>476</v>
      </c>
      <c r="C164" s="63" t="s">
        <v>486</v>
      </c>
      <c r="D164" s="61" t="s">
        <v>487</v>
      </c>
      <c r="E164" s="63" t="s">
        <v>488</v>
      </c>
      <c r="F164" s="61" t="s">
        <v>489</v>
      </c>
      <c r="G164" s="61" t="str">
        <f t="shared" ca="1" si="18"/>
        <v>--- Select ---</v>
      </c>
      <c r="H164" s="62" t="s">
        <v>852</v>
      </c>
      <c r="I164" s="62" t="s">
        <v>852</v>
      </c>
      <c r="J164" s="62" t="s">
        <v>852</v>
      </c>
      <c r="L164" s="64" t="str">
        <f t="shared" si="21"/>
        <v>6.2.1</v>
      </c>
      <c r="M164" s="64" t="str">
        <f t="shared" si="19"/>
        <v>V6</v>
      </c>
      <c r="N164" s="64" t="str">
        <f t="shared" si="20"/>
        <v>V6.2</v>
      </c>
      <c r="O164" s="64" t="str">
        <f t="shared" si="22"/>
        <v>Verify that all cryptographic modules fail securely, and errors are handled in a way that does not enable Padding Oracle attacks.</v>
      </c>
      <c r="P164" s="64" t="str">
        <f t="shared" ca="1" si="23"/>
        <v>--- Select ---</v>
      </c>
      <c r="Q164" s="63" t="str">
        <f t="shared" si="24"/>
        <v>Y</v>
      </c>
      <c r="R164" s="63" t="str">
        <f t="shared" si="25"/>
        <v>Y</v>
      </c>
      <c r="S164" s="63" t="str">
        <f t="shared" si="26"/>
        <v>Y</v>
      </c>
    </row>
    <row r="165" spans="1:19" x14ac:dyDescent="0.35">
      <c r="A165" s="63" t="s">
        <v>477</v>
      </c>
      <c r="B165" s="61" t="s">
        <v>476</v>
      </c>
      <c r="C165" s="63" t="s">
        <v>486</v>
      </c>
      <c r="D165" s="61" t="s">
        <v>487</v>
      </c>
      <c r="E165" s="63" t="s">
        <v>490</v>
      </c>
      <c r="F165" s="61" t="s">
        <v>491</v>
      </c>
      <c r="G165" s="61" t="str">
        <f t="shared" ca="1" si="18"/>
        <v>--- Select ---</v>
      </c>
      <c r="H165" s="62" t="s">
        <v>853</v>
      </c>
      <c r="I165" s="62" t="s">
        <v>852</v>
      </c>
      <c r="J165" s="62" t="s">
        <v>852</v>
      </c>
      <c r="L165" s="64" t="str">
        <f t="shared" si="21"/>
        <v>6.2.2</v>
      </c>
      <c r="M165" s="64" t="str">
        <f t="shared" si="19"/>
        <v>V6</v>
      </c>
      <c r="N165" s="64" t="str">
        <f t="shared" si="20"/>
        <v>V6.2</v>
      </c>
      <c r="O165" s="64" t="str">
        <f t="shared" si="22"/>
        <v>Verify that industry proven or government approved cryptographic algorithms, modes, and libraries are used, instead of custom coded cryptography. (C8)</v>
      </c>
      <c r="P165" s="64" t="str">
        <f t="shared" ca="1" si="23"/>
        <v>--- Select ---</v>
      </c>
      <c r="Q165" s="63" t="str">
        <f t="shared" si="24"/>
        <v>N</v>
      </c>
      <c r="R165" s="63" t="str">
        <f t="shared" si="25"/>
        <v>Y</v>
      </c>
      <c r="S165" s="63" t="str">
        <f t="shared" si="26"/>
        <v>Y</v>
      </c>
    </row>
    <row r="166" spans="1:19" x14ac:dyDescent="0.35">
      <c r="A166" s="63" t="s">
        <v>477</v>
      </c>
      <c r="B166" s="61" t="s">
        <v>476</v>
      </c>
      <c r="C166" s="63" t="s">
        <v>486</v>
      </c>
      <c r="D166" s="61" t="s">
        <v>487</v>
      </c>
      <c r="E166" s="63" t="s">
        <v>492</v>
      </c>
      <c r="F166" s="61" t="s">
        <v>493</v>
      </c>
      <c r="G166" s="61" t="str">
        <f t="shared" ca="1" si="18"/>
        <v>--- Select ---</v>
      </c>
      <c r="H166" s="62" t="s">
        <v>853</v>
      </c>
      <c r="I166" s="62" t="s">
        <v>852</v>
      </c>
      <c r="J166" s="62" t="s">
        <v>852</v>
      </c>
      <c r="L166" s="64" t="str">
        <f t="shared" si="21"/>
        <v>6.2.3</v>
      </c>
      <c r="M166" s="64" t="str">
        <f t="shared" si="19"/>
        <v>V6</v>
      </c>
      <c r="N166" s="64" t="str">
        <f t="shared" si="20"/>
        <v>V6.2</v>
      </c>
      <c r="O166" s="64" t="str">
        <f t="shared" si="22"/>
        <v>Verify that encryption initialization vector, cipher configuration, and block modes are configured securely using the latest advice.</v>
      </c>
      <c r="P166" s="64" t="str">
        <f t="shared" ca="1" si="23"/>
        <v>--- Select ---</v>
      </c>
      <c r="Q166" s="63" t="str">
        <f t="shared" si="24"/>
        <v>N</v>
      </c>
      <c r="R166" s="63" t="str">
        <f t="shared" si="25"/>
        <v>Y</v>
      </c>
      <c r="S166" s="63" t="str">
        <f t="shared" si="26"/>
        <v>Y</v>
      </c>
    </row>
    <row r="167" spans="1:19" x14ac:dyDescent="0.35">
      <c r="A167" s="63" t="s">
        <v>477</v>
      </c>
      <c r="B167" s="61" t="s">
        <v>476</v>
      </c>
      <c r="C167" s="63" t="s">
        <v>486</v>
      </c>
      <c r="D167" s="61" t="s">
        <v>487</v>
      </c>
      <c r="E167" s="63" t="s">
        <v>494</v>
      </c>
      <c r="F167" s="61" t="s">
        <v>495</v>
      </c>
      <c r="G167" s="61" t="str">
        <f t="shared" ca="1" si="18"/>
        <v>--- Select ---</v>
      </c>
      <c r="H167" s="62" t="s">
        <v>853</v>
      </c>
      <c r="I167" s="62" t="s">
        <v>852</v>
      </c>
      <c r="J167" s="62" t="s">
        <v>852</v>
      </c>
      <c r="L167" s="64" t="str">
        <f t="shared" si="21"/>
        <v>6.2.4</v>
      </c>
      <c r="M167" s="64" t="str">
        <f t="shared" si="19"/>
        <v>V6</v>
      </c>
      <c r="N167" s="64" t="str">
        <f t="shared" si="20"/>
        <v>V6.2</v>
      </c>
      <c r="O167" s="64" t="str">
        <f t="shared" si="22"/>
        <v>Verify that random number, encryption or hashing algorithms, key lengths, rounds, ciphers or modes, can be reconfigured, upgraded, or swapped at any time, to protect against cryptographic breaks. (C8)</v>
      </c>
      <c r="P167" s="64" t="str">
        <f t="shared" ca="1" si="23"/>
        <v>--- Select ---</v>
      </c>
      <c r="Q167" s="63" t="str">
        <f t="shared" si="24"/>
        <v>N</v>
      </c>
      <c r="R167" s="63" t="str">
        <f t="shared" si="25"/>
        <v>Y</v>
      </c>
      <c r="S167" s="63" t="str">
        <f t="shared" si="26"/>
        <v>Y</v>
      </c>
    </row>
    <row r="168" spans="1:19" x14ac:dyDescent="0.35">
      <c r="A168" s="63" t="s">
        <v>477</v>
      </c>
      <c r="B168" s="61" t="s">
        <v>476</v>
      </c>
      <c r="C168" s="63" t="s">
        <v>486</v>
      </c>
      <c r="D168" s="61" t="s">
        <v>487</v>
      </c>
      <c r="E168" s="63" t="s">
        <v>496</v>
      </c>
      <c r="F168" s="61" t="s">
        <v>497</v>
      </c>
      <c r="G168" s="61" t="str">
        <f t="shared" ca="1" si="18"/>
        <v>--- Select ---</v>
      </c>
      <c r="H168" s="62" t="s">
        <v>853</v>
      </c>
      <c r="I168" s="62" t="s">
        <v>852</v>
      </c>
      <c r="J168" s="62" t="s">
        <v>852</v>
      </c>
      <c r="L168" s="64" t="str">
        <f t="shared" si="21"/>
        <v>6.2.5</v>
      </c>
      <c r="M168" s="64" t="str">
        <f t="shared" si="19"/>
        <v>V6</v>
      </c>
      <c r="N168" s="64" t="str">
        <f t="shared" si="20"/>
        <v>V6.2</v>
      </c>
      <c r="O168" s="64" t="str">
        <f t="shared" si="22"/>
        <v>Verify that known insecure block modes (i.e. ECB, etc.), padding modes (i.e. PKCS#1 v1.5, etc.), ciphers with small block sizes (i.e. Triple-DES, Blowfish, etc.), and weak hashing algorithms (i.e. MD5, SHA1, etc.) are not used unless required for backwards compatibility.</v>
      </c>
      <c r="P168" s="64" t="str">
        <f t="shared" ca="1" si="23"/>
        <v>--- Select ---</v>
      </c>
      <c r="Q168" s="63" t="str">
        <f t="shared" si="24"/>
        <v>N</v>
      </c>
      <c r="R168" s="63" t="str">
        <f t="shared" si="25"/>
        <v>Y</v>
      </c>
      <c r="S168" s="63" t="str">
        <f t="shared" si="26"/>
        <v>Y</v>
      </c>
    </row>
    <row r="169" spans="1:19" x14ac:dyDescent="0.35">
      <c r="A169" s="63" t="s">
        <v>477</v>
      </c>
      <c r="B169" s="61" t="s">
        <v>476</v>
      </c>
      <c r="C169" s="63" t="s">
        <v>486</v>
      </c>
      <c r="D169" s="61" t="s">
        <v>487</v>
      </c>
      <c r="E169" s="63" t="s">
        <v>498</v>
      </c>
      <c r="F169" s="61" t="s">
        <v>499</v>
      </c>
      <c r="G169" s="61" t="str">
        <f t="shared" ca="1" si="18"/>
        <v>--- Select ---</v>
      </c>
      <c r="H169" s="62" t="s">
        <v>853</v>
      </c>
      <c r="I169" s="62" t="s">
        <v>852</v>
      </c>
      <c r="J169" s="62" t="s">
        <v>852</v>
      </c>
      <c r="L169" s="64" t="str">
        <f t="shared" si="21"/>
        <v>6.2.6</v>
      </c>
      <c r="M169" s="64" t="str">
        <f t="shared" si="19"/>
        <v>V6</v>
      </c>
      <c r="N169" s="64" t="str">
        <f t="shared" si="20"/>
        <v>V6.2</v>
      </c>
      <c r="O169" s="64" t="str">
        <f t="shared" si="22"/>
        <v>Verify that nonces, initialization vectors, and other single use numbers must not be used more than once with a given encryption key. The method of generation must be appropriate for the algorithm being used.</v>
      </c>
      <c r="P169" s="64" t="str">
        <f t="shared" ca="1" si="23"/>
        <v>--- Select ---</v>
      </c>
      <c r="Q169" s="63" t="str">
        <f t="shared" si="24"/>
        <v>N</v>
      </c>
      <c r="R169" s="63" t="str">
        <f t="shared" si="25"/>
        <v>Y</v>
      </c>
      <c r="S169" s="63" t="str">
        <f t="shared" si="26"/>
        <v>Y</v>
      </c>
    </row>
    <row r="170" spans="1:19" x14ac:dyDescent="0.35">
      <c r="A170" s="63" t="s">
        <v>477</v>
      </c>
      <c r="B170" s="61" t="s">
        <v>476</v>
      </c>
      <c r="C170" s="63" t="s">
        <v>486</v>
      </c>
      <c r="D170" s="61" t="s">
        <v>487</v>
      </c>
      <c r="E170" s="63" t="s">
        <v>500</v>
      </c>
      <c r="F170" s="61" t="s">
        <v>501</v>
      </c>
      <c r="G170" s="61" t="str">
        <f t="shared" ca="1" si="18"/>
        <v>--- Select ---</v>
      </c>
      <c r="H170" s="62" t="s">
        <v>853</v>
      </c>
      <c r="I170" s="62" t="s">
        <v>853</v>
      </c>
      <c r="J170" s="62" t="s">
        <v>852</v>
      </c>
      <c r="L170" s="64" t="str">
        <f t="shared" si="21"/>
        <v>6.2.7</v>
      </c>
      <c r="M170" s="64" t="str">
        <f t="shared" si="19"/>
        <v>V6</v>
      </c>
      <c r="N170" s="64" t="str">
        <f t="shared" si="20"/>
        <v>V6.2</v>
      </c>
      <c r="O170" s="64" t="str">
        <f t="shared" si="22"/>
        <v>Verify that encrypted data is authenticated via signatures, authenticated cipher modes, or HMAC to ensure that ciphertext is not altered by an unauthorized party.</v>
      </c>
      <c r="P170" s="64" t="str">
        <f t="shared" ca="1" si="23"/>
        <v>--- Select ---</v>
      </c>
      <c r="Q170" s="63" t="str">
        <f t="shared" si="24"/>
        <v>N</v>
      </c>
      <c r="R170" s="63" t="str">
        <f t="shared" si="25"/>
        <v>N</v>
      </c>
      <c r="S170" s="63" t="str">
        <f t="shared" si="26"/>
        <v>Y</v>
      </c>
    </row>
    <row r="171" spans="1:19" x14ac:dyDescent="0.35">
      <c r="A171" s="63" t="s">
        <v>477</v>
      </c>
      <c r="B171" s="61" t="s">
        <v>476</v>
      </c>
      <c r="C171" s="63" t="s">
        <v>486</v>
      </c>
      <c r="D171" s="61" t="s">
        <v>487</v>
      </c>
      <c r="E171" s="63" t="s">
        <v>502</v>
      </c>
      <c r="F171" s="61" t="s">
        <v>503</v>
      </c>
      <c r="G171" s="61" t="str">
        <f t="shared" ca="1" si="18"/>
        <v>--- Select ---</v>
      </c>
      <c r="H171" s="62" t="s">
        <v>853</v>
      </c>
      <c r="I171" s="62" t="s">
        <v>853</v>
      </c>
      <c r="J171" s="62" t="s">
        <v>852</v>
      </c>
      <c r="L171" s="64" t="str">
        <f t="shared" si="21"/>
        <v>6.2.8</v>
      </c>
      <c r="M171" s="64" t="str">
        <f t="shared" si="19"/>
        <v>V6</v>
      </c>
      <c r="N171" s="64" t="str">
        <f t="shared" si="20"/>
        <v>V6.2</v>
      </c>
      <c r="O171" s="64" t="str">
        <f t="shared" si="22"/>
        <v>Verify that all cryptographic operations are constant-time, with no 'short-circuit' operations in comparisons, calculations, or returns, to avoid leaking information.</v>
      </c>
      <c r="P171" s="64" t="str">
        <f t="shared" ca="1" si="23"/>
        <v>--- Select ---</v>
      </c>
      <c r="Q171" s="63" t="str">
        <f t="shared" si="24"/>
        <v>N</v>
      </c>
      <c r="R171" s="63" t="str">
        <f t="shared" si="25"/>
        <v>N</v>
      </c>
      <c r="S171" s="63" t="str">
        <f t="shared" si="26"/>
        <v>Y</v>
      </c>
    </row>
    <row r="172" spans="1:19" x14ac:dyDescent="0.35">
      <c r="A172" s="63" t="s">
        <v>477</v>
      </c>
      <c r="B172" s="61" t="s">
        <v>476</v>
      </c>
      <c r="C172" s="63" t="s">
        <v>504</v>
      </c>
      <c r="D172" s="61" t="s">
        <v>505</v>
      </c>
      <c r="E172" s="63" t="s">
        <v>506</v>
      </c>
      <c r="F172" s="61" t="s">
        <v>507</v>
      </c>
      <c r="G172" s="61" t="str">
        <f t="shared" ca="1" si="18"/>
        <v>--- Select ---</v>
      </c>
      <c r="H172" s="62" t="s">
        <v>853</v>
      </c>
      <c r="I172" s="62" t="s">
        <v>852</v>
      </c>
      <c r="J172" s="62" t="s">
        <v>852</v>
      </c>
      <c r="L172" s="64" t="str">
        <f t="shared" si="21"/>
        <v>6.3.1</v>
      </c>
      <c r="M172" s="64" t="str">
        <f t="shared" si="19"/>
        <v>V6</v>
      </c>
      <c r="N172" s="64" t="str">
        <f t="shared" si="20"/>
        <v>V6.3</v>
      </c>
      <c r="O172" s="64" t="str">
        <f t="shared" si="22"/>
        <v>Verify that all random numbers, random file names, random GUIDs, and random strings are generated using the cryptographic module's approved cryptographically secure random number generator when these random values are intended to be not guessable by an attacker.</v>
      </c>
      <c r="P172" s="64" t="str">
        <f t="shared" ca="1" si="23"/>
        <v>--- Select ---</v>
      </c>
      <c r="Q172" s="63" t="str">
        <f t="shared" si="24"/>
        <v>N</v>
      </c>
      <c r="R172" s="63" t="str">
        <f t="shared" si="25"/>
        <v>Y</v>
      </c>
      <c r="S172" s="63" t="str">
        <f t="shared" si="26"/>
        <v>Y</v>
      </c>
    </row>
    <row r="173" spans="1:19" x14ac:dyDescent="0.35">
      <c r="A173" s="63" t="s">
        <v>477</v>
      </c>
      <c r="B173" s="61" t="s">
        <v>476</v>
      </c>
      <c r="C173" s="63" t="s">
        <v>504</v>
      </c>
      <c r="D173" s="61" t="s">
        <v>505</v>
      </c>
      <c r="E173" s="63" t="s">
        <v>508</v>
      </c>
      <c r="F173" s="61" t="s">
        <v>509</v>
      </c>
      <c r="G173" s="61" t="str">
        <f t="shared" ca="1" si="18"/>
        <v>--- Select ---</v>
      </c>
      <c r="H173" s="62" t="s">
        <v>853</v>
      </c>
      <c r="I173" s="62" t="s">
        <v>852</v>
      </c>
      <c r="J173" s="62" t="s">
        <v>852</v>
      </c>
      <c r="L173" s="64" t="str">
        <f t="shared" si="21"/>
        <v>6.3.2</v>
      </c>
      <c r="M173" s="64" t="str">
        <f t="shared" si="19"/>
        <v>V6</v>
      </c>
      <c r="N173" s="64" t="str">
        <f t="shared" si="20"/>
        <v>V6.3</v>
      </c>
      <c r="O173" s="64" t="str">
        <f t="shared" si="22"/>
        <v>Verify that random GUIDs are created using the GUID v4 algorithm, and a cryptographically-secure pseudo-random number generator (CSPRNG). GUIDs created using other pseudo-random number generators may be predictable.</v>
      </c>
      <c r="P173" s="64" t="str">
        <f t="shared" ca="1" si="23"/>
        <v>--- Select ---</v>
      </c>
      <c r="Q173" s="63" t="str">
        <f t="shared" si="24"/>
        <v>N</v>
      </c>
      <c r="R173" s="63" t="str">
        <f t="shared" si="25"/>
        <v>Y</v>
      </c>
      <c r="S173" s="63" t="str">
        <f t="shared" si="26"/>
        <v>Y</v>
      </c>
    </row>
    <row r="174" spans="1:19" x14ac:dyDescent="0.35">
      <c r="A174" s="63" t="s">
        <v>477</v>
      </c>
      <c r="B174" s="61" t="s">
        <v>476</v>
      </c>
      <c r="C174" s="63" t="s">
        <v>504</v>
      </c>
      <c r="D174" s="61" t="s">
        <v>505</v>
      </c>
      <c r="E174" s="63" t="s">
        <v>510</v>
      </c>
      <c r="F174" s="61" t="s">
        <v>15</v>
      </c>
      <c r="G174" s="61" t="str">
        <f t="shared" ca="1" si="18"/>
        <v>--- Select ---</v>
      </c>
      <c r="H174" s="62" t="s">
        <v>853</v>
      </c>
      <c r="I174" s="62" t="s">
        <v>853</v>
      </c>
      <c r="J174" s="62" t="s">
        <v>852</v>
      </c>
      <c r="L174" s="64" t="str">
        <f t="shared" si="21"/>
        <v>6.3.3</v>
      </c>
      <c r="M174" s="64" t="str">
        <f t="shared" si="19"/>
        <v>V6</v>
      </c>
      <c r="N174" s="64" t="str">
        <f t="shared" si="20"/>
        <v>V6.3</v>
      </c>
      <c r="O174" s="64" t="str">
        <f t="shared" si="22"/>
        <v>Verify that random numbers are created with proper entropy even when the application is under heavy load, or that the application degrades gracefully in such circumstances.</v>
      </c>
      <c r="P174" s="64" t="str">
        <f t="shared" ca="1" si="23"/>
        <v>--- Select ---</v>
      </c>
      <c r="Q174" s="63" t="str">
        <f t="shared" si="24"/>
        <v>N</v>
      </c>
      <c r="R174" s="63" t="str">
        <f t="shared" si="25"/>
        <v>N</v>
      </c>
      <c r="S174" s="63" t="str">
        <f t="shared" si="26"/>
        <v>Y</v>
      </c>
    </row>
    <row r="175" spans="1:19" x14ac:dyDescent="0.35">
      <c r="A175" s="63" t="s">
        <v>477</v>
      </c>
      <c r="B175" s="61" t="s">
        <v>476</v>
      </c>
      <c r="C175" s="63" t="s">
        <v>511</v>
      </c>
      <c r="D175" s="61" t="s">
        <v>512</v>
      </c>
      <c r="E175" s="63" t="s">
        <v>513</v>
      </c>
      <c r="F175" s="61" t="s">
        <v>514</v>
      </c>
      <c r="G175" s="61" t="str">
        <f t="shared" ca="1" si="18"/>
        <v>--- Select ---</v>
      </c>
      <c r="H175" s="62" t="s">
        <v>853</v>
      </c>
      <c r="I175" s="62" t="s">
        <v>852</v>
      </c>
      <c r="J175" s="62" t="s">
        <v>852</v>
      </c>
      <c r="L175" s="64" t="str">
        <f t="shared" si="21"/>
        <v>6.4.1</v>
      </c>
      <c r="M175" s="64" t="str">
        <f t="shared" si="19"/>
        <v>V6</v>
      </c>
      <c r="N175" s="64" t="str">
        <f t="shared" si="20"/>
        <v>V6.4</v>
      </c>
      <c r="O175" s="64" t="str">
        <f t="shared" si="22"/>
        <v>Verify that a secrets management solution such as a key vault is used to securely create, store, control access to and destroy secrets. (C8)</v>
      </c>
      <c r="P175" s="64" t="str">
        <f t="shared" ca="1" si="23"/>
        <v>--- Select ---</v>
      </c>
      <c r="Q175" s="63" t="str">
        <f t="shared" si="24"/>
        <v>N</v>
      </c>
      <c r="R175" s="63" t="str">
        <f t="shared" si="25"/>
        <v>Y</v>
      </c>
      <c r="S175" s="63" t="str">
        <f t="shared" si="26"/>
        <v>Y</v>
      </c>
    </row>
    <row r="176" spans="1:19" x14ac:dyDescent="0.35">
      <c r="A176" s="63" t="s">
        <v>477</v>
      </c>
      <c r="B176" s="61" t="s">
        <v>476</v>
      </c>
      <c r="C176" s="63" t="s">
        <v>511</v>
      </c>
      <c r="D176" s="61" t="s">
        <v>512</v>
      </c>
      <c r="E176" s="63" t="s">
        <v>515</v>
      </c>
      <c r="F176" s="61" t="s">
        <v>516</v>
      </c>
      <c r="G176" s="61" t="str">
        <f t="shared" ca="1" si="18"/>
        <v>--- Select ---</v>
      </c>
      <c r="H176" s="62" t="s">
        <v>853</v>
      </c>
      <c r="I176" s="62" t="s">
        <v>852</v>
      </c>
      <c r="J176" s="62" t="s">
        <v>852</v>
      </c>
      <c r="L176" s="64" t="str">
        <f t="shared" si="21"/>
        <v>6.4.2</v>
      </c>
      <c r="M176" s="64" t="str">
        <f t="shared" si="19"/>
        <v>V6</v>
      </c>
      <c r="N176" s="64" t="str">
        <f t="shared" si="20"/>
        <v>V6.4</v>
      </c>
      <c r="O176" s="64" t="str">
        <f t="shared" si="22"/>
        <v>Verify that key material is not exposed to the application but instead uses an isolated security module like a vault for cryptographic operations. (C8)</v>
      </c>
      <c r="P176" s="64" t="str">
        <f t="shared" ca="1" si="23"/>
        <v>--- Select ---</v>
      </c>
      <c r="Q176" s="63" t="str">
        <f t="shared" si="24"/>
        <v>N</v>
      </c>
      <c r="R176" s="63" t="str">
        <f t="shared" si="25"/>
        <v>Y</v>
      </c>
      <c r="S176" s="63" t="str">
        <f t="shared" si="26"/>
        <v>Y</v>
      </c>
    </row>
    <row r="177" spans="1:19" x14ac:dyDescent="0.35">
      <c r="A177" s="63" t="s">
        <v>45</v>
      </c>
      <c r="B177" s="61" t="s">
        <v>518</v>
      </c>
      <c r="C177" s="63" t="s">
        <v>519</v>
      </c>
      <c r="D177" s="61" t="s">
        <v>520</v>
      </c>
      <c r="E177" s="63" t="s">
        <v>357</v>
      </c>
      <c r="F177" s="61" t="s">
        <v>521</v>
      </c>
      <c r="G177" s="61" t="str">
        <f t="shared" ca="1" si="18"/>
        <v>--- Select ---</v>
      </c>
      <c r="H177" s="62" t="s">
        <v>852</v>
      </c>
      <c r="I177" s="62" t="s">
        <v>852</v>
      </c>
      <c r="J177" s="62" t="s">
        <v>852</v>
      </c>
      <c r="L177" s="64" t="str">
        <f t="shared" si="21"/>
        <v>7.1.1</v>
      </c>
      <c r="M177" s="64" t="str">
        <f t="shared" si="19"/>
        <v>V7</v>
      </c>
      <c r="N177" s="64" t="str">
        <f t="shared" si="20"/>
        <v>V7.1</v>
      </c>
      <c r="O177" s="64" t="str">
        <f t="shared" si="22"/>
        <v>Verify that the application does not log credentials or payment details. Session tokens should only be stored in logs in an irreversible, hashed form. (C9, C10)</v>
      </c>
      <c r="P177" s="64" t="str">
        <f t="shared" ca="1" si="23"/>
        <v>--- Select ---</v>
      </c>
      <c r="Q177" s="63" t="str">
        <f t="shared" si="24"/>
        <v>Y</v>
      </c>
      <c r="R177" s="63" t="str">
        <f t="shared" si="25"/>
        <v>Y</v>
      </c>
      <c r="S177" s="63" t="str">
        <f t="shared" si="26"/>
        <v>Y</v>
      </c>
    </row>
    <row r="178" spans="1:19" x14ac:dyDescent="0.35">
      <c r="A178" s="63" t="s">
        <v>45</v>
      </c>
      <c r="B178" s="61" t="s">
        <v>518</v>
      </c>
      <c r="C178" s="63" t="s">
        <v>519</v>
      </c>
      <c r="D178" s="61" t="s">
        <v>520</v>
      </c>
      <c r="E178" s="63" t="s">
        <v>370</v>
      </c>
      <c r="F178" s="61" t="s">
        <v>522</v>
      </c>
      <c r="G178" s="61" t="str">
        <f t="shared" ca="1" si="18"/>
        <v>--- Select ---</v>
      </c>
      <c r="H178" s="62" t="s">
        <v>852</v>
      </c>
      <c r="I178" s="62" t="s">
        <v>852</v>
      </c>
      <c r="J178" s="62" t="s">
        <v>852</v>
      </c>
      <c r="L178" s="64" t="str">
        <f t="shared" si="21"/>
        <v>7.1.2</v>
      </c>
      <c r="M178" s="64" t="str">
        <f t="shared" si="19"/>
        <v>V7</v>
      </c>
      <c r="N178" s="64" t="str">
        <f t="shared" si="20"/>
        <v>V7.1</v>
      </c>
      <c r="O178" s="64" t="str">
        <f t="shared" si="22"/>
        <v>Verify that the application does not log other sensitive data as defined under local privacy laws or relevant security policy. (C9)</v>
      </c>
      <c r="P178" s="64" t="str">
        <f t="shared" ca="1" si="23"/>
        <v>--- Select ---</v>
      </c>
      <c r="Q178" s="63" t="str">
        <f t="shared" si="24"/>
        <v>Y</v>
      </c>
      <c r="R178" s="63" t="str">
        <f t="shared" si="25"/>
        <v>Y</v>
      </c>
      <c r="S178" s="63" t="str">
        <f t="shared" si="26"/>
        <v>Y</v>
      </c>
    </row>
    <row r="179" spans="1:19" x14ac:dyDescent="0.35">
      <c r="A179" s="63" t="s">
        <v>45</v>
      </c>
      <c r="B179" s="61" t="s">
        <v>518</v>
      </c>
      <c r="C179" s="63" t="s">
        <v>519</v>
      </c>
      <c r="D179" s="61" t="s">
        <v>520</v>
      </c>
      <c r="E179" s="63" t="s">
        <v>523</v>
      </c>
      <c r="F179" s="61" t="s">
        <v>524</v>
      </c>
      <c r="G179" s="61" t="str">
        <f t="shared" ca="1" si="18"/>
        <v>--- Select ---</v>
      </c>
      <c r="H179" s="62" t="s">
        <v>853</v>
      </c>
      <c r="I179" s="62" t="s">
        <v>852</v>
      </c>
      <c r="J179" s="62" t="s">
        <v>852</v>
      </c>
      <c r="L179" s="64" t="str">
        <f t="shared" si="21"/>
        <v>7.1.3</v>
      </c>
      <c r="M179" s="64" t="str">
        <f t="shared" si="19"/>
        <v>V7</v>
      </c>
      <c r="N179" s="64" t="str">
        <f t="shared" si="20"/>
        <v>V7.1</v>
      </c>
      <c r="O179" s="64" t="str">
        <f t="shared" si="22"/>
        <v>Verify that the application logs security relevant events including successful and failed authentication events, access control failures, deserialization failures and input validation failures. (C5, C7)</v>
      </c>
      <c r="P179" s="64" t="str">
        <f t="shared" ca="1" si="23"/>
        <v>--- Select ---</v>
      </c>
      <c r="Q179" s="63" t="str">
        <f t="shared" si="24"/>
        <v>N</v>
      </c>
      <c r="R179" s="63" t="str">
        <f t="shared" si="25"/>
        <v>Y</v>
      </c>
      <c r="S179" s="63" t="str">
        <f t="shared" si="26"/>
        <v>Y</v>
      </c>
    </row>
    <row r="180" spans="1:19" x14ac:dyDescent="0.35">
      <c r="A180" s="63" t="s">
        <v>45</v>
      </c>
      <c r="B180" s="61" t="s">
        <v>518</v>
      </c>
      <c r="C180" s="63" t="s">
        <v>519</v>
      </c>
      <c r="D180" s="61" t="s">
        <v>520</v>
      </c>
      <c r="E180" s="63" t="s">
        <v>525</v>
      </c>
      <c r="F180" s="61" t="s">
        <v>526</v>
      </c>
      <c r="G180" s="61" t="str">
        <f t="shared" ca="1" si="18"/>
        <v>--- Select ---</v>
      </c>
      <c r="H180" s="62" t="s">
        <v>853</v>
      </c>
      <c r="I180" s="62" t="s">
        <v>852</v>
      </c>
      <c r="J180" s="62" t="s">
        <v>852</v>
      </c>
      <c r="L180" s="64" t="str">
        <f t="shared" si="21"/>
        <v>7.1.4</v>
      </c>
      <c r="M180" s="64" t="str">
        <f t="shared" si="19"/>
        <v>V7</v>
      </c>
      <c r="N180" s="64" t="str">
        <f t="shared" si="20"/>
        <v>V7.1</v>
      </c>
      <c r="O180" s="64" t="str">
        <f t="shared" si="22"/>
        <v>Verify that each log event includes necessary information that would allow for a detailed investigation of the timeline when an event happens. (C9)</v>
      </c>
      <c r="P180" s="64" t="str">
        <f t="shared" ca="1" si="23"/>
        <v>--- Select ---</v>
      </c>
      <c r="Q180" s="63" t="str">
        <f t="shared" si="24"/>
        <v>N</v>
      </c>
      <c r="R180" s="63" t="str">
        <f t="shared" si="25"/>
        <v>Y</v>
      </c>
      <c r="S180" s="63" t="str">
        <f t="shared" si="26"/>
        <v>Y</v>
      </c>
    </row>
    <row r="181" spans="1:19" x14ac:dyDescent="0.35">
      <c r="A181" s="63" t="s">
        <v>45</v>
      </c>
      <c r="B181" s="61" t="s">
        <v>518</v>
      </c>
      <c r="C181" s="63" t="s">
        <v>527</v>
      </c>
      <c r="D181" s="61" t="s">
        <v>528</v>
      </c>
      <c r="E181" s="63" t="s">
        <v>379</v>
      </c>
      <c r="F181" s="61" t="s">
        <v>529</v>
      </c>
      <c r="G181" s="61" t="str">
        <f t="shared" ca="1" si="18"/>
        <v>--- Select ---</v>
      </c>
      <c r="H181" s="62" t="s">
        <v>853</v>
      </c>
      <c r="I181" s="62" t="s">
        <v>852</v>
      </c>
      <c r="J181" s="62" t="s">
        <v>852</v>
      </c>
      <c r="L181" s="64" t="str">
        <f t="shared" si="21"/>
        <v>7.2.1</v>
      </c>
      <c r="M181" s="64" t="str">
        <f t="shared" si="19"/>
        <v>V7</v>
      </c>
      <c r="N181" s="64" t="str">
        <f t="shared" si="20"/>
        <v>V7.2</v>
      </c>
      <c r="O181" s="64" t="str">
        <f t="shared" si="22"/>
        <v>Verify that all authentication decisions are logged, without storing sensitive session identifiers or passwords. This should include requests with relevant metadata needed for security investigations.</v>
      </c>
      <c r="P181" s="64" t="str">
        <f t="shared" ca="1" si="23"/>
        <v>--- Select ---</v>
      </c>
      <c r="Q181" s="63" t="str">
        <f t="shared" si="24"/>
        <v>N</v>
      </c>
      <c r="R181" s="63" t="str">
        <f t="shared" si="25"/>
        <v>Y</v>
      </c>
      <c r="S181" s="63" t="str">
        <f t="shared" si="26"/>
        <v>Y</v>
      </c>
    </row>
    <row r="182" spans="1:19" x14ac:dyDescent="0.35">
      <c r="A182" s="63" t="s">
        <v>45</v>
      </c>
      <c r="B182" s="61" t="s">
        <v>518</v>
      </c>
      <c r="C182" s="63" t="s">
        <v>527</v>
      </c>
      <c r="D182" s="61" t="s">
        <v>528</v>
      </c>
      <c r="E182" s="63" t="s">
        <v>530</v>
      </c>
      <c r="F182" s="61" t="s">
        <v>531</v>
      </c>
      <c r="G182" s="61" t="str">
        <f t="shared" ca="1" si="18"/>
        <v>--- Select ---</v>
      </c>
      <c r="H182" s="62" t="s">
        <v>853</v>
      </c>
      <c r="I182" s="62" t="s">
        <v>852</v>
      </c>
      <c r="J182" s="62" t="s">
        <v>852</v>
      </c>
      <c r="L182" s="64" t="str">
        <f t="shared" si="21"/>
        <v>7.2.2</v>
      </c>
      <c r="M182" s="64" t="str">
        <f t="shared" si="19"/>
        <v>V7</v>
      </c>
      <c r="N182" s="64" t="str">
        <f t="shared" si="20"/>
        <v>V7.2</v>
      </c>
      <c r="O182" s="64" t="str">
        <f t="shared" si="22"/>
        <v>Verify that all access control decisions can be logged and all failed decisions are logged. This should include requests with relevant metadata needed for security investigations.</v>
      </c>
      <c r="P182" s="64" t="str">
        <f t="shared" ca="1" si="23"/>
        <v>--- Select ---</v>
      </c>
      <c r="Q182" s="63" t="str">
        <f t="shared" si="24"/>
        <v>N</v>
      </c>
      <c r="R182" s="63" t="str">
        <f t="shared" si="25"/>
        <v>Y</v>
      </c>
      <c r="S182" s="63" t="str">
        <f t="shared" si="26"/>
        <v>Y</v>
      </c>
    </row>
    <row r="183" spans="1:19" x14ac:dyDescent="0.35">
      <c r="A183" s="63" t="s">
        <v>45</v>
      </c>
      <c r="B183" s="61" t="s">
        <v>518</v>
      </c>
      <c r="C183" s="63" t="s">
        <v>532</v>
      </c>
      <c r="D183" s="61" t="s">
        <v>533</v>
      </c>
      <c r="E183" s="63" t="s">
        <v>534</v>
      </c>
      <c r="F183" s="61" t="s">
        <v>535</v>
      </c>
      <c r="G183" s="61" t="str">
        <f t="shared" ca="1" si="18"/>
        <v>--- Select ---</v>
      </c>
      <c r="H183" s="62" t="s">
        <v>853</v>
      </c>
      <c r="I183" s="62" t="s">
        <v>852</v>
      </c>
      <c r="J183" s="62" t="s">
        <v>852</v>
      </c>
      <c r="L183" s="64" t="str">
        <f t="shared" si="21"/>
        <v>7.3.1</v>
      </c>
      <c r="M183" s="64" t="str">
        <f t="shared" si="19"/>
        <v>V7</v>
      </c>
      <c r="N183" s="64" t="str">
        <f t="shared" si="20"/>
        <v>V7.3</v>
      </c>
      <c r="O183" s="64" t="str">
        <f t="shared" si="22"/>
        <v>Verify that the application appropriately encodes user-supplied data to prevent log injection. (C9)</v>
      </c>
      <c r="P183" s="64" t="str">
        <f t="shared" ca="1" si="23"/>
        <v>--- Select ---</v>
      </c>
      <c r="Q183" s="63" t="str">
        <f t="shared" si="24"/>
        <v>N</v>
      </c>
      <c r="R183" s="63" t="str">
        <f t="shared" si="25"/>
        <v>Y</v>
      </c>
      <c r="S183" s="63" t="str">
        <f t="shared" si="26"/>
        <v>Y</v>
      </c>
    </row>
    <row r="184" spans="1:19" x14ac:dyDescent="0.35">
      <c r="A184" s="63" t="s">
        <v>45</v>
      </c>
      <c r="B184" s="61" t="s">
        <v>518</v>
      </c>
      <c r="C184" s="63" t="s">
        <v>532</v>
      </c>
      <c r="D184" s="61" t="s">
        <v>533</v>
      </c>
      <c r="E184" s="63" t="s">
        <v>536</v>
      </c>
      <c r="F184" s="61" t="s">
        <v>537</v>
      </c>
      <c r="G184" s="61" t="str">
        <f t="shared" ca="1" si="18"/>
        <v>--- Select ---</v>
      </c>
      <c r="H184" s="62" t="s">
        <v>853</v>
      </c>
      <c r="I184" s="62" t="s">
        <v>852</v>
      </c>
      <c r="J184" s="62" t="s">
        <v>852</v>
      </c>
      <c r="L184" s="64" t="str">
        <f t="shared" si="21"/>
        <v>7.3.2</v>
      </c>
      <c r="M184" s="64" t="str">
        <f t="shared" si="19"/>
        <v>V7</v>
      </c>
      <c r="N184" s="64" t="str">
        <f t="shared" si="20"/>
        <v>V7.3</v>
      </c>
      <c r="O184" s="64" t="str">
        <f t="shared" si="22"/>
        <v>Verify that all events are protected from injection when viewed in log viewing software. (C9)</v>
      </c>
      <c r="P184" s="64" t="str">
        <f t="shared" ca="1" si="23"/>
        <v>--- Select ---</v>
      </c>
      <c r="Q184" s="63" t="str">
        <f t="shared" si="24"/>
        <v>N</v>
      </c>
      <c r="R184" s="63" t="str">
        <f t="shared" si="25"/>
        <v>Y</v>
      </c>
      <c r="S184" s="63" t="str">
        <f t="shared" si="26"/>
        <v>Y</v>
      </c>
    </row>
    <row r="185" spans="1:19" x14ac:dyDescent="0.35">
      <c r="A185" s="63" t="s">
        <v>45</v>
      </c>
      <c r="B185" s="61" t="s">
        <v>518</v>
      </c>
      <c r="C185" s="63" t="s">
        <v>532</v>
      </c>
      <c r="D185" s="61" t="s">
        <v>533</v>
      </c>
      <c r="E185" s="63" t="s">
        <v>538</v>
      </c>
      <c r="F185" s="61" t="s">
        <v>539</v>
      </c>
      <c r="G185" s="61" t="str">
        <f t="shared" ca="1" si="18"/>
        <v>--- Select ---</v>
      </c>
      <c r="H185" s="62" t="s">
        <v>853</v>
      </c>
      <c r="I185" s="62" t="s">
        <v>852</v>
      </c>
      <c r="J185" s="62" t="s">
        <v>852</v>
      </c>
      <c r="L185" s="64" t="str">
        <f t="shared" si="21"/>
        <v>7.3.3</v>
      </c>
      <c r="M185" s="64" t="str">
        <f t="shared" si="19"/>
        <v>V7</v>
      </c>
      <c r="N185" s="64" t="str">
        <f t="shared" si="20"/>
        <v>V7.3</v>
      </c>
      <c r="O185" s="64" t="str">
        <f t="shared" si="22"/>
        <v>Verify that security logs are protected from unauthorized access and modification. (C9)</v>
      </c>
      <c r="P185" s="64" t="str">
        <f t="shared" ca="1" si="23"/>
        <v>--- Select ---</v>
      </c>
      <c r="Q185" s="63" t="str">
        <f t="shared" si="24"/>
        <v>N</v>
      </c>
      <c r="R185" s="63" t="str">
        <f t="shared" si="25"/>
        <v>Y</v>
      </c>
      <c r="S185" s="63" t="str">
        <f t="shared" si="26"/>
        <v>Y</v>
      </c>
    </row>
    <row r="186" spans="1:19" x14ac:dyDescent="0.35">
      <c r="A186" s="63" t="s">
        <v>45</v>
      </c>
      <c r="B186" s="61" t="s">
        <v>518</v>
      </c>
      <c r="C186" s="63" t="s">
        <v>532</v>
      </c>
      <c r="D186" s="61" t="s">
        <v>533</v>
      </c>
      <c r="E186" s="63" t="s">
        <v>540</v>
      </c>
      <c r="F186" s="61" t="s">
        <v>541</v>
      </c>
      <c r="G186" s="61" t="str">
        <f t="shared" ca="1" si="18"/>
        <v>--- Select ---</v>
      </c>
      <c r="H186" s="62" t="s">
        <v>853</v>
      </c>
      <c r="I186" s="62" t="s">
        <v>852</v>
      </c>
      <c r="J186" s="62" t="s">
        <v>852</v>
      </c>
      <c r="L186" s="64" t="str">
        <f t="shared" si="21"/>
        <v>7.3.4</v>
      </c>
      <c r="M186" s="64" t="str">
        <f t="shared" si="19"/>
        <v>V7</v>
      </c>
      <c r="N186" s="64" t="str">
        <f t="shared" si="20"/>
        <v>V7.3</v>
      </c>
      <c r="O186" s="64" t="str">
        <f t="shared" si="22"/>
        <v>Verify that time sources are synchronized to the correct time and time zone. Strongly consider logging only in UTC if systems are global to assist with post-incident forensic analysis. (C9)</v>
      </c>
      <c r="P186" s="64" t="str">
        <f t="shared" ca="1" si="23"/>
        <v>--- Select ---</v>
      </c>
      <c r="Q186" s="63" t="str">
        <f t="shared" si="24"/>
        <v>N</v>
      </c>
      <c r="R186" s="63" t="str">
        <f t="shared" si="25"/>
        <v>Y</v>
      </c>
      <c r="S186" s="63" t="str">
        <f t="shared" si="26"/>
        <v>Y</v>
      </c>
    </row>
    <row r="187" spans="1:19" x14ac:dyDescent="0.35">
      <c r="A187" s="63" t="s">
        <v>45</v>
      </c>
      <c r="B187" s="61" t="s">
        <v>518</v>
      </c>
      <c r="C187" s="63" t="s">
        <v>542</v>
      </c>
      <c r="D187" s="61" t="s">
        <v>543</v>
      </c>
      <c r="E187" s="63" t="s">
        <v>544</v>
      </c>
      <c r="F187" s="61" t="s">
        <v>545</v>
      </c>
      <c r="G187" s="61" t="str">
        <f t="shared" ca="1" si="18"/>
        <v>--- Select ---</v>
      </c>
      <c r="H187" s="62" t="s">
        <v>852</v>
      </c>
      <c r="I187" s="62" t="s">
        <v>852</v>
      </c>
      <c r="J187" s="62" t="s">
        <v>852</v>
      </c>
      <c r="L187" s="64" t="str">
        <f t="shared" si="21"/>
        <v>7.4.1</v>
      </c>
      <c r="M187" s="64" t="str">
        <f t="shared" si="19"/>
        <v>V7</v>
      </c>
      <c r="N187" s="64" t="str">
        <f t="shared" si="20"/>
        <v>V7.4</v>
      </c>
      <c r="O187" s="64" t="str">
        <f t="shared" si="22"/>
        <v>Verify that a generic message is shown when an unexpected or security sensitive error occurs, potentially with a unique ID which support personnel can use to investigate. (C10)</v>
      </c>
      <c r="P187" s="64" t="str">
        <f t="shared" ca="1" si="23"/>
        <v>--- Select ---</v>
      </c>
      <c r="Q187" s="63" t="str">
        <f t="shared" si="24"/>
        <v>Y</v>
      </c>
      <c r="R187" s="63" t="str">
        <f t="shared" si="25"/>
        <v>Y</v>
      </c>
      <c r="S187" s="63" t="str">
        <f t="shared" si="26"/>
        <v>Y</v>
      </c>
    </row>
    <row r="188" spans="1:19" x14ac:dyDescent="0.35">
      <c r="A188" s="63" t="s">
        <v>45</v>
      </c>
      <c r="B188" s="61" t="s">
        <v>518</v>
      </c>
      <c r="C188" s="63" t="s">
        <v>542</v>
      </c>
      <c r="D188" s="61" t="s">
        <v>543</v>
      </c>
      <c r="E188" s="63" t="s">
        <v>546</v>
      </c>
      <c r="F188" s="61" t="s">
        <v>547</v>
      </c>
      <c r="G188" s="61" t="str">
        <f t="shared" ca="1" si="18"/>
        <v>--- Select ---</v>
      </c>
      <c r="H188" s="62" t="s">
        <v>853</v>
      </c>
      <c r="I188" s="62" t="s">
        <v>852</v>
      </c>
      <c r="J188" s="62" t="s">
        <v>852</v>
      </c>
      <c r="L188" s="64" t="str">
        <f t="shared" si="21"/>
        <v>7.4.2</v>
      </c>
      <c r="M188" s="64" t="str">
        <f t="shared" si="19"/>
        <v>V7</v>
      </c>
      <c r="N188" s="64" t="str">
        <f t="shared" si="20"/>
        <v>V7.4</v>
      </c>
      <c r="O188" s="64" t="str">
        <f t="shared" si="22"/>
        <v>Verify that exception handling (or a functional equivalent) is used across the codebase to account for expected and unexpected error conditions. (C10)</v>
      </c>
      <c r="P188" s="64" t="str">
        <f t="shared" ca="1" si="23"/>
        <v>--- Select ---</v>
      </c>
      <c r="Q188" s="63" t="str">
        <f t="shared" si="24"/>
        <v>N</v>
      </c>
      <c r="R188" s="63" t="str">
        <f t="shared" si="25"/>
        <v>Y</v>
      </c>
      <c r="S188" s="63" t="str">
        <f t="shared" si="26"/>
        <v>Y</v>
      </c>
    </row>
    <row r="189" spans="1:19" x14ac:dyDescent="0.35">
      <c r="A189" s="63" t="s">
        <v>45</v>
      </c>
      <c r="B189" s="61" t="s">
        <v>518</v>
      </c>
      <c r="C189" s="63" t="s">
        <v>542</v>
      </c>
      <c r="D189" s="61" t="s">
        <v>543</v>
      </c>
      <c r="E189" s="63" t="s">
        <v>548</v>
      </c>
      <c r="F189" s="61" t="s">
        <v>549</v>
      </c>
      <c r="G189" s="61" t="str">
        <f t="shared" ca="1" si="18"/>
        <v>--- Select ---</v>
      </c>
      <c r="H189" s="62" t="s">
        <v>853</v>
      </c>
      <c r="I189" s="62" t="s">
        <v>852</v>
      </c>
      <c r="J189" s="62" t="s">
        <v>852</v>
      </c>
      <c r="L189" s="64" t="str">
        <f t="shared" si="21"/>
        <v>7.4.3</v>
      </c>
      <c r="M189" s="64" t="str">
        <f t="shared" si="19"/>
        <v>V7</v>
      </c>
      <c r="N189" s="64" t="str">
        <f t="shared" si="20"/>
        <v>V7.4</v>
      </c>
      <c r="O189" s="64" t="str">
        <f t="shared" si="22"/>
        <v>Verify that a "last resort" error handler is defined which will catch all unhandled exceptions. (C10)</v>
      </c>
      <c r="P189" s="64" t="str">
        <f t="shared" ca="1" si="23"/>
        <v>--- Select ---</v>
      </c>
      <c r="Q189" s="63" t="str">
        <f t="shared" si="24"/>
        <v>N</v>
      </c>
      <c r="R189" s="63" t="str">
        <f t="shared" si="25"/>
        <v>Y</v>
      </c>
      <c r="S189" s="63" t="str">
        <f t="shared" si="26"/>
        <v>Y</v>
      </c>
    </row>
    <row r="190" spans="1:19" x14ac:dyDescent="0.35">
      <c r="A190" s="63" t="s">
        <v>46</v>
      </c>
      <c r="B190" s="61" t="s">
        <v>551</v>
      </c>
      <c r="C190" s="63" t="s">
        <v>552</v>
      </c>
      <c r="D190" s="61" t="s">
        <v>553</v>
      </c>
      <c r="E190" s="63" t="s">
        <v>554</v>
      </c>
      <c r="F190" s="61" t="s">
        <v>555</v>
      </c>
      <c r="G190" s="61" t="str">
        <f t="shared" ca="1" si="18"/>
        <v>--- Select ---</v>
      </c>
      <c r="H190" s="62" t="s">
        <v>853</v>
      </c>
      <c r="I190" s="62" t="s">
        <v>852</v>
      </c>
      <c r="J190" s="62" t="s">
        <v>852</v>
      </c>
      <c r="L190" s="64" t="str">
        <f t="shared" si="21"/>
        <v>8.1.1</v>
      </c>
      <c r="M190" s="64" t="str">
        <f t="shared" si="19"/>
        <v>V8</v>
      </c>
      <c r="N190" s="64" t="str">
        <f t="shared" si="20"/>
        <v>V8.1</v>
      </c>
      <c r="O190" s="64" t="str">
        <f t="shared" si="22"/>
        <v>Verify the application protects sensitive data from being cached in server components such as load balancers and application caches.</v>
      </c>
      <c r="P190" s="64" t="str">
        <f t="shared" ca="1" si="23"/>
        <v>--- Select ---</v>
      </c>
      <c r="Q190" s="63" t="str">
        <f t="shared" si="24"/>
        <v>N</v>
      </c>
      <c r="R190" s="63" t="str">
        <f t="shared" si="25"/>
        <v>Y</v>
      </c>
      <c r="S190" s="63" t="str">
        <f t="shared" si="26"/>
        <v>Y</v>
      </c>
    </row>
    <row r="191" spans="1:19" x14ac:dyDescent="0.35">
      <c r="A191" s="63" t="s">
        <v>46</v>
      </c>
      <c r="B191" s="61" t="s">
        <v>551</v>
      </c>
      <c r="C191" s="63" t="s">
        <v>552</v>
      </c>
      <c r="D191" s="61" t="s">
        <v>553</v>
      </c>
      <c r="E191" s="63" t="s">
        <v>556</v>
      </c>
      <c r="F191" s="61" t="s">
        <v>557</v>
      </c>
      <c r="G191" s="61" t="str">
        <f t="shared" ca="1" si="18"/>
        <v>--- Select ---</v>
      </c>
      <c r="H191" s="62" t="s">
        <v>853</v>
      </c>
      <c r="I191" s="62" t="s">
        <v>852</v>
      </c>
      <c r="J191" s="62" t="s">
        <v>852</v>
      </c>
      <c r="L191" s="64" t="str">
        <f t="shared" si="21"/>
        <v>8.1.2</v>
      </c>
      <c r="M191" s="64" t="str">
        <f t="shared" si="19"/>
        <v>V8</v>
      </c>
      <c r="N191" s="64" t="str">
        <f t="shared" si="20"/>
        <v>V8.1</v>
      </c>
      <c r="O191" s="64" t="str">
        <f t="shared" si="22"/>
        <v>Verify that all cached or temporary copies of sensitive data stored on the server are protected from unauthorized access or purged/invalidated after the authorized user accesses the sensitive data.</v>
      </c>
      <c r="P191" s="64" t="str">
        <f t="shared" ca="1" si="23"/>
        <v>--- Select ---</v>
      </c>
      <c r="Q191" s="63" t="str">
        <f t="shared" si="24"/>
        <v>N</v>
      </c>
      <c r="R191" s="63" t="str">
        <f t="shared" si="25"/>
        <v>Y</v>
      </c>
      <c r="S191" s="63" t="str">
        <f t="shared" si="26"/>
        <v>Y</v>
      </c>
    </row>
    <row r="192" spans="1:19" x14ac:dyDescent="0.35">
      <c r="A192" s="63" t="s">
        <v>46</v>
      </c>
      <c r="B192" s="61" t="s">
        <v>551</v>
      </c>
      <c r="C192" s="63" t="s">
        <v>552</v>
      </c>
      <c r="D192" s="61" t="s">
        <v>553</v>
      </c>
      <c r="E192" s="63" t="s">
        <v>558</v>
      </c>
      <c r="F192" s="61" t="s">
        <v>16</v>
      </c>
      <c r="G192" s="61" t="str">
        <f t="shared" ca="1" si="18"/>
        <v>--- Select ---</v>
      </c>
      <c r="H192" s="62" t="s">
        <v>853</v>
      </c>
      <c r="I192" s="62" t="s">
        <v>852</v>
      </c>
      <c r="J192" s="62" t="s">
        <v>852</v>
      </c>
      <c r="L192" s="64" t="str">
        <f t="shared" si="21"/>
        <v>8.1.3</v>
      </c>
      <c r="M192" s="64" t="str">
        <f t="shared" si="19"/>
        <v>V8</v>
      </c>
      <c r="N192" s="64" t="str">
        <f t="shared" si="20"/>
        <v>V8.1</v>
      </c>
      <c r="O192" s="64" t="str">
        <f t="shared" si="22"/>
        <v>Verify the application minimizes the number of parameters in a request, such as hidden fields, Ajax variables, cookies and header values.</v>
      </c>
      <c r="P192" s="64" t="str">
        <f t="shared" ca="1" si="23"/>
        <v>--- Select ---</v>
      </c>
      <c r="Q192" s="63" t="str">
        <f t="shared" si="24"/>
        <v>N</v>
      </c>
      <c r="R192" s="63" t="str">
        <f t="shared" si="25"/>
        <v>Y</v>
      </c>
      <c r="S192" s="63" t="str">
        <f t="shared" si="26"/>
        <v>Y</v>
      </c>
    </row>
    <row r="193" spans="1:19" x14ac:dyDescent="0.35">
      <c r="A193" s="63" t="s">
        <v>46</v>
      </c>
      <c r="B193" s="61" t="s">
        <v>551</v>
      </c>
      <c r="C193" s="63" t="s">
        <v>552</v>
      </c>
      <c r="D193" s="61" t="s">
        <v>553</v>
      </c>
      <c r="E193" s="63" t="s">
        <v>559</v>
      </c>
      <c r="F193" s="61" t="s">
        <v>560</v>
      </c>
      <c r="G193" s="61" t="str">
        <f t="shared" ca="1" si="18"/>
        <v>--- Select ---</v>
      </c>
      <c r="H193" s="62" t="s">
        <v>853</v>
      </c>
      <c r="I193" s="62" t="s">
        <v>852</v>
      </c>
      <c r="J193" s="62" t="s">
        <v>852</v>
      </c>
      <c r="L193" s="64" t="str">
        <f t="shared" si="21"/>
        <v>8.1.4</v>
      </c>
      <c r="M193" s="64" t="str">
        <f t="shared" si="19"/>
        <v>V8</v>
      </c>
      <c r="N193" s="64" t="str">
        <f t="shared" si="20"/>
        <v>V8.1</v>
      </c>
      <c r="O193" s="64" t="str">
        <f t="shared" si="22"/>
        <v>Verify the application can detect and alert on abnormal numbers of requests, such as by IP, user, total per hour or day, or whatever makes sense for the application.</v>
      </c>
      <c r="P193" s="64" t="str">
        <f t="shared" ca="1" si="23"/>
        <v>--- Select ---</v>
      </c>
      <c r="Q193" s="63" t="str">
        <f t="shared" si="24"/>
        <v>N</v>
      </c>
      <c r="R193" s="63" t="str">
        <f t="shared" si="25"/>
        <v>Y</v>
      </c>
      <c r="S193" s="63" t="str">
        <f t="shared" si="26"/>
        <v>Y</v>
      </c>
    </row>
    <row r="194" spans="1:19" x14ac:dyDescent="0.35">
      <c r="A194" s="63" t="s">
        <v>46</v>
      </c>
      <c r="B194" s="61" t="s">
        <v>551</v>
      </c>
      <c r="C194" s="63" t="s">
        <v>552</v>
      </c>
      <c r="D194" s="61" t="s">
        <v>553</v>
      </c>
      <c r="E194" s="63" t="s">
        <v>561</v>
      </c>
      <c r="F194" s="61" t="s">
        <v>562</v>
      </c>
      <c r="G194" s="61" t="str">
        <f t="shared" ref="G194:G257" ca="1" si="27">IF(AND(H194=YES, SELECTED_ASSESSMENT_LEVEL = LEVEL1),INDIRECT("zANS"&amp;E194, FALSE),IF(AND(I194=YES, SELECTED_ASSESSMENT_LEVEL = LEVEL2), INDIRECT("zANS"&amp;E194, FALSE), IF(AND(J194=YES, SELECTED_ASSESSMENT_LEVEL = LEVEL3), INDIRECT("zANS"&amp;E194, FALSE), "NA")))</f>
        <v>--- Select ---</v>
      </c>
      <c r="H194" s="62" t="s">
        <v>853</v>
      </c>
      <c r="I194" s="62" t="s">
        <v>853</v>
      </c>
      <c r="J194" s="62" t="s">
        <v>852</v>
      </c>
      <c r="L194" s="64" t="str">
        <f t="shared" si="21"/>
        <v>8.1.5</v>
      </c>
      <c r="M194" s="64" t="str">
        <f t="shared" ref="M194:M257" si="28">A194</f>
        <v>V8</v>
      </c>
      <c r="N194" s="64" t="str">
        <f t="shared" ref="N194:N257" si="29">C194</f>
        <v>V8.1</v>
      </c>
      <c r="O194" s="64" t="str">
        <f t="shared" si="22"/>
        <v>Verify that regular backups of important data are performed and that test restoration of data is performed.</v>
      </c>
      <c r="P194" s="64" t="str">
        <f t="shared" ca="1" si="23"/>
        <v>--- Select ---</v>
      </c>
      <c r="Q194" s="63" t="str">
        <f t="shared" si="24"/>
        <v>N</v>
      </c>
      <c r="R194" s="63" t="str">
        <f t="shared" si="25"/>
        <v>N</v>
      </c>
      <c r="S194" s="63" t="str">
        <f t="shared" si="26"/>
        <v>Y</v>
      </c>
    </row>
    <row r="195" spans="1:19" x14ac:dyDescent="0.35">
      <c r="A195" s="63" t="s">
        <v>46</v>
      </c>
      <c r="B195" s="61" t="s">
        <v>551</v>
      </c>
      <c r="C195" s="63" t="s">
        <v>552</v>
      </c>
      <c r="D195" s="61" t="s">
        <v>553</v>
      </c>
      <c r="E195" s="63" t="s">
        <v>563</v>
      </c>
      <c r="F195" s="61" t="s">
        <v>564</v>
      </c>
      <c r="G195" s="61" t="str">
        <f t="shared" ca="1" si="27"/>
        <v>--- Select ---</v>
      </c>
      <c r="H195" s="62" t="s">
        <v>853</v>
      </c>
      <c r="I195" s="62" t="s">
        <v>853</v>
      </c>
      <c r="J195" s="62" t="s">
        <v>852</v>
      </c>
      <c r="L195" s="64" t="str">
        <f t="shared" ref="L195:L258" si="30">E195</f>
        <v>8.1.6</v>
      </c>
      <c r="M195" s="64" t="str">
        <f t="shared" si="28"/>
        <v>V8</v>
      </c>
      <c r="N195" s="64" t="str">
        <f t="shared" si="29"/>
        <v>V8.1</v>
      </c>
      <c r="O195" s="64" t="str">
        <f t="shared" ref="O195:O258" si="31">F195</f>
        <v>Verify that backups are stored securely to prevent data from being stolen or corrupted.</v>
      </c>
      <c r="P195" s="64" t="str">
        <f t="shared" ref="P195:P258" ca="1" si="32">G195</f>
        <v>--- Select ---</v>
      </c>
      <c r="Q195" s="63" t="str">
        <f t="shared" ref="Q195:Q258" si="33">H195</f>
        <v>N</v>
      </c>
      <c r="R195" s="63" t="str">
        <f t="shared" ref="R195:R258" si="34">I195</f>
        <v>N</v>
      </c>
      <c r="S195" s="63" t="str">
        <f t="shared" ref="S195:S258" si="35">J195</f>
        <v>Y</v>
      </c>
    </row>
    <row r="196" spans="1:19" x14ac:dyDescent="0.35">
      <c r="A196" s="63" t="s">
        <v>46</v>
      </c>
      <c r="B196" s="61" t="s">
        <v>551</v>
      </c>
      <c r="C196" s="63" t="s">
        <v>565</v>
      </c>
      <c r="D196" s="61" t="s">
        <v>566</v>
      </c>
      <c r="E196" s="63" t="s">
        <v>567</v>
      </c>
      <c r="F196" s="61" t="s">
        <v>568</v>
      </c>
      <c r="G196" s="61" t="str">
        <f t="shared" ca="1" si="27"/>
        <v>--- Select ---</v>
      </c>
      <c r="H196" s="62" t="s">
        <v>852</v>
      </c>
      <c r="I196" s="62" t="s">
        <v>852</v>
      </c>
      <c r="J196" s="62" t="s">
        <v>852</v>
      </c>
      <c r="L196" s="64" t="str">
        <f t="shared" si="30"/>
        <v>8.2.1</v>
      </c>
      <c r="M196" s="64" t="str">
        <f t="shared" si="28"/>
        <v>V8</v>
      </c>
      <c r="N196" s="64" t="str">
        <f t="shared" si="29"/>
        <v>V8.2</v>
      </c>
      <c r="O196" s="64" t="str">
        <f t="shared" si="31"/>
        <v>Verify the application sets sufficient anti-caching headers so that sensitive data is not cached in modern browsers.</v>
      </c>
      <c r="P196" s="64" t="str">
        <f t="shared" ca="1" si="32"/>
        <v>--- Select ---</v>
      </c>
      <c r="Q196" s="63" t="str">
        <f t="shared" si="33"/>
        <v>Y</v>
      </c>
      <c r="R196" s="63" t="str">
        <f t="shared" si="34"/>
        <v>Y</v>
      </c>
      <c r="S196" s="63" t="str">
        <f t="shared" si="35"/>
        <v>Y</v>
      </c>
    </row>
    <row r="197" spans="1:19" x14ac:dyDescent="0.35">
      <c r="A197" s="63" t="s">
        <v>46</v>
      </c>
      <c r="B197" s="61" t="s">
        <v>551</v>
      </c>
      <c r="C197" s="63" t="s">
        <v>565</v>
      </c>
      <c r="D197" s="61" t="s">
        <v>566</v>
      </c>
      <c r="E197" s="63" t="s">
        <v>569</v>
      </c>
      <c r="F197" s="61" t="s">
        <v>17</v>
      </c>
      <c r="G197" s="61" t="str">
        <f t="shared" ca="1" si="27"/>
        <v>--- Select ---</v>
      </c>
      <c r="H197" s="62" t="s">
        <v>852</v>
      </c>
      <c r="I197" s="62" t="s">
        <v>852</v>
      </c>
      <c r="J197" s="62" t="s">
        <v>852</v>
      </c>
      <c r="L197" s="64" t="str">
        <f t="shared" si="30"/>
        <v>8.2.2</v>
      </c>
      <c r="M197" s="64" t="str">
        <f t="shared" si="28"/>
        <v>V8</v>
      </c>
      <c r="N197" s="64" t="str">
        <f t="shared" si="29"/>
        <v>V8.2</v>
      </c>
      <c r="O197" s="64" t="str">
        <f t="shared" si="31"/>
        <v>Verify that data stored in client side storage (such as HTML5 local storage, session storage, IndexedDB, regular cookies or Flash cookies) does not contain sensitive data or PII.</v>
      </c>
      <c r="P197" s="64" t="str">
        <f t="shared" ca="1" si="32"/>
        <v>--- Select ---</v>
      </c>
      <c r="Q197" s="63" t="str">
        <f t="shared" si="33"/>
        <v>Y</v>
      </c>
      <c r="R197" s="63" t="str">
        <f t="shared" si="34"/>
        <v>Y</v>
      </c>
      <c r="S197" s="63" t="str">
        <f t="shared" si="35"/>
        <v>Y</v>
      </c>
    </row>
    <row r="198" spans="1:19" x14ac:dyDescent="0.35">
      <c r="A198" s="63" t="s">
        <v>46</v>
      </c>
      <c r="B198" s="61" t="s">
        <v>551</v>
      </c>
      <c r="C198" s="63" t="s">
        <v>565</v>
      </c>
      <c r="D198" s="61" t="s">
        <v>566</v>
      </c>
      <c r="E198" s="63" t="s">
        <v>570</v>
      </c>
      <c r="F198" s="61" t="s">
        <v>571</v>
      </c>
      <c r="G198" s="61" t="str">
        <f t="shared" ca="1" si="27"/>
        <v>--- Select ---</v>
      </c>
      <c r="H198" s="62" t="s">
        <v>852</v>
      </c>
      <c r="I198" s="62" t="s">
        <v>852</v>
      </c>
      <c r="J198" s="62" t="s">
        <v>852</v>
      </c>
      <c r="L198" s="64" t="str">
        <f t="shared" si="30"/>
        <v>8.2.3</v>
      </c>
      <c r="M198" s="64" t="str">
        <f t="shared" si="28"/>
        <v>V8</v>
      </c>
      <c r="N198" s="64" t="str">
        <f t="shared" si="29"/>
        <v>V8.2</v>
      </c>
      <c r="O198" s="64" t="str">
        <f t="shared" si="31"/>
        <v>Verify that authenticated data is cleared from client storage, such as the browser DOM, after the client or session is terminated.</v>
      </c>
      <c r="P198" s="64" t="str">
        <f t="shared" ca="1" si="32"/>
        <v>--- Select ---</v>
      </c>
      <c r="Q198" s="63" t="str">
        <f t="shared" si="33"/>
        <v>Y</v>
      </c>
      <c r="R198" s="63" t="str">
        <f t="shared" si="34"/>
        <v>Y</v>
      </c>
      <c r="S198" s="63" t="str">
        <f t="shared" si="35"/>
        <v>Y</v>
      </c>
    </row>
    <row r="199" spans="1:19" x14ac:dyDescent="0.35">
      <c r="A199" s="63" t="s">
        <v>46</v>
      </c>
      <c r="B199" s="61" t="s">
        <v>551</v>
      </c>
      <c r="C199" s="63" t="s">
        <v>572</v>
      </c>
      <c r="D199" s="61" t="s">
        <v>573</v>
      </c>
      <c r="E199" s="63" t="s">
        <v>574</v>
      </c>
      <c r="F199" s="61" t="s">
        <v>575</v>
      </c>
      <c r="G199" s="61" t="str">
        <f t="shared" ca="1" si="27"/>
        <v>--- Select ---</v>
      </c>
      <c r="H199" s="62" t="s">
        <v>852</v>
      </c>
      <c r="I199" s="62" t="s">
        <v>852</v>
      </c>
      <c r="J199" s="62" t="s">
        <v>852</v>
      </c>
      <c r="L199" s="64" t="str">
        <f t="shared" si="30"/>
        <v>8.3.1</v>
      </c>
      <c r="M199" s="64" t="str">
        <f t="shared" si="28"/>
        <v>V8</v>
      </c>
      <c r="N199" s="64" t="str">
        <f t="shared" si="29"/>
        <v>V8.3</v>
      </c>
      <c r="O199" s="64" t="str">
        <f t="shared" si="31"/>
        <v>Verify that sensitive data is sent to the server in the HTTP message body or headers, and that query string parameters from any HTTP verb do not contain sensitive data.</v>
      </c>
      <c r="P199" s="64" t="str">
        <f t="shared" ca="1" si="32"/>
        <v>--- Select ---</v>
      </c>
      <c r="Q199" s="63" t="str">
        <f t="shared" si="33"/>
        <v>Y</v>
      </c>
      <c r="R199" s="63" t="str">
        <f t="shared" si="34"/>
        <v>Y</v>
      </c>
      <c r="S199" s="63" t="str">
        <f t="shared" si="35"/>
        <v>Y</v>
      </c>
    </row>
    <row r="200" spans="1:19" x14ac:dyDescent="0.35">
      <c r="A200" s="63" t="s">
        <v>46</v>
      </c>
      <c r="B200" s="61" t="s">
        <v>551</v>
      </c>
      <c r="C200" s="63" t="s">
        <v>572</v>
      </c>
      <c r="D200" s="61" t="s">
        <v>573</v>
      </c>
      <c r="E200" s="63" t="s">
        <v>576</v>
      </c>
      <c r="F200" s="61" t="s">
        <v>577</v>
      </c>
      <c r="G200" s="61" t="str">
        <f t="shared" ca="1" si="27"/>
        <v>--- Select ---</v>
      </c>
      <c r="H200" s="62" t="s">
        <v>852</v>
      </c>
      <c r="I200" s="62" t="s">
        <v>852</v>
      </c>
      <c r="J200" s="62" t="s">
        <v>852</v>
      </c>
      <c r="L200" s="64" t="str">
        <f t="shared" si="30"/>
        <v>8.3.2</v>
      </c>
      <c r="M200" s="64" t="str">
        <f t="shared" si="28"/>
        <v>V8</v>
      </c>
      <c r="N200" s="64" t="str">
        <f t="shared" si="29"/>
        <v>V8.3</v>
      </c>
      <c r="O200" s="64" t="str">
        <f t="shared" si="31"/>
        <v>Verify that users have a method to remove or export their data on demand.</v>
      </c>
      <c r="P200" s="64" t="str">
        <f t="shared" ca="1" si="32"/>
        <v>--- Select ---</v>
      </c>
      <c r="Q200" s="63" t="str">
        <f t="shared" si="33"/>
        <v>Y</v>
      </c>
      <c r="R200" s="63" t="str">
        <f t="shared" si="34"/>
        <v>Y</v>
      </c>
      <c r="S200" s="63" t="str">
        <f t="shared" si="35"/>
        <v>Y</v>
      </c>
    </row>
    <row r="201" spans="1:19" x14ac:dyDescent="0.35">
      <c r="A201" s="63" t="s">
        <v>46</v>
      </c>
      <c r="B201" s="61" t="s">
        <v>551</v>
      </c>
      <c r="C201" s="63" t="s">
        <v>572</v>
      </c>
      <c r="D201" s="61" t="s">
        <v>573</v>
      </c>
      <c r="E201" s="63" t="s">
        <v>578</v>
      </c>
      <c r="F201" s="61" t="s">
        <v>579</v>
      </c>
      <c r="G201" s="61" t="str">
        <f t="shared" ca="1" si="27"/>
        <v>--- Select ---</v>
      </c>
      <c r="H201" s="62" t="s">
        <v>852</v>
      </c>
      <c r="I201" s="62" t="s">
        <v>852</v>
      </c>
      <c r="J201" s="62" t="s">
        <v>852</v>
      </c>
      <c r="L201" s="64" t="str">
        <f t="shared" si="30"/>
        <v>8.3.3</v>
      </c>
      <c r="M201" s="64" t="str">
        <f t="shared" si="28"/>
        <v>V8</v>
      </c>
      <c r="N201" s="64" t="str">
        <f t="shared" si="29"/>
        <v>V8.3</v>
      </c>
      <c r="O201" s="64" t="str">
        <f t="shared" si="31"/>
        <v>Verify that users are provided clear language regarding collection and use of supplied personal information and that users have provided opt-in consent for the use of that data before it is used in any way.</v>
      </c>
      <c r="P201" s="64" t="str">
        <f t="shared" ca="1" si="32"/>
        <v>--- Select ---</v>
      </c>
      <c r="Q201" s="63" t="str">
        <f t="shared" si="33"/>
        <v>Y</v>
      </c>
      <c r="R201" s="63" t="str">
        <f t="shared" si="34"/>
        <v>Y</v>
      </c>
      <c r="S201" s="63" t="str">
        <f t="shared" si="35"/>
        <v>Y</v>
      </c>
    </row>
    <row r="202" spans="1:19" x14ac:dyDescent="0.35">
      <c r="A202" s="63" t="s">
        <v>46</v>
      </c>
      <c r="B202" s="61" t="s">
        <v>551</v>
      </c>
      <c r="C202" s="63" t="s">
        <v>572</v>
      </c>
      <c r="D202" s="61" t="s">
        <v>573</v>
      </c>
      <c r="E202" s="63" t="s">
        <v>580</v>
      </c>
      <c r="F202" s="61" t="s">
        <v>581</v>
      </c>
      <c r="G202" s="61" t="str">
        <f t="shared" ca="1" si="27"/>
        <v>--- Select ---</v>
      </c>
      <c r="H202" s="62" t="s">
        <v>852</v>
      </c>
      <c r="I202" s="62" t="s">
        <v>852</v>
      </c>
      <c r="J202" s="62" t="s">
        <v>852</v>
      </c>
      <c r="L202" s="64" t="str">
        <f t="shared" si="30"/>
        <v>8.3.4</v>
      </c>
      <c r="M202" s="64" t="str">
        <f t="shared" si="28"/>
        <v>V8</v>
      </c>
      <c r="N202" s="64" t="str">
        <f t="shared" si="29"/>
        <v>V8.3</v>
      </c>
      <c r="O202" s="64" t="str">
        <f t="shared" si="31"/>
        <v>Verify that all sensitive data created and processed by the application has been identified, and ensure that a policy is in place on how to deal with sensitive data. (C8)</v>
      </c>
      <c r="P202" s="64" t="str">
        <f t="shared" ca="1" si="32"/>
        <v>--- Select ---</v>
      </c>
      <c r="Q202" s="63" t="str">
        <f t="shared" si="33"/>
        <v>Y</v>
      </c>
      <c r="R202" s="63" t="str">
        <f t="shared" si="34"/>
        <v>Y</v>
      </c>
      <c r="S202" s="63" t="str">
        <f t="shared" si="35"/>
        <v>Y</v>
      </c>
    </row>
    <row r="203" spans="1:19" x14ac:dyDescent="0.35">
      <c r="A203" s="63" t="s">
        <v>46</v>
      </c>
      <c r="B203" s="61" t="s">
        <v>551</v>
      </c>
      <c r="C203" s="63" t="s">
        <v>572</v>
      </c>
      <c r="D203" s="61" t="s">
        <v>573</v>
      </c>
      <c r="E203" s="63" t="s">
        <v>582</v>
      </c>
      <c r="F203" s="61" t="s">
        <v>583</v>
      </c>
      <c r="G203" s="61" t="str">
        <f t="shared" ca="1" si="27"/>
        <v>--- Select ---</v>
      </c>
      <c r="H203" s="62" t="s">
        <v>853</v>
      </c>
      <c r="I203" s="62" t="s">
        <v>852</v>
      </c>
      <c r="J203" s="62" t="s">
        <v>852</v>
      </c>
      <c r="L203" s="64" t="str">
        <f t="shared" si="30"/>
        <v>8.3.5</v>
      </c>
      <c r="M203" s="64" t="str">
        <f t="shared" si="28"/>
        <v>V8</v>
      </c>
      <c r="N203" s="64" t="str">
        <f t="shared" si="29"/>
        <v>V8.3</v>
      </c>
      <c r="O203" s="64" t="str">
        <f t="shared" si="31"/>
        <v>Verify accessing sensitive data is audited (without logging the sensitive data itself), if the data is collected under relevant data protection directives or where logging of access is required.</v>
      </c>
      <c r="P203" s="64" t="str">
        <f t="shared" ca="1" si="32"/>
        <v>--- Select ---</v>
      </c>
      <c r="Q203" s="63" t="str">
        <f t="shared" si="33"/>
        <v>N</v>
      </c>
      <c r="R203" s="63" t="str">
        <f t="shared" si="34"/>
        <v>Y</v>
      </c>
      <c r="S203" s="63" t="str">
        <f t="shared" si="35"/>
        <v>Y</v>
      </c>
    </row>
    <row r="204" spans="1:19" x14ac:dyDescent="0.35">
      <c r="A204" s="63" t="s">
        <v>46</v>
      </c>
      <c r="B204" s="61" t="s">
        <v>551</v>
      </c>
      <c r="C204" s="63" t="s">
        <v>572</v>
      </c>
      <c r="D204" s="61" t="s">
        <v>573</v>
      </c>
      <c r="E204" s="63" t="s">
        <v>584</v>
      </c>
      <c r="F204" s="61" t="s">
        <v>585</v>
      </c>
      <c r="G204" s="61" t="str">
        <f t="shared" ca="1" si="27"/>
        <v>--- Select ---</v>
      </c>
      <c r="H204" s="62" t="s">
        <v>853</v>
      </c>
      <c r="I204" s="62" t="s">
        <v>852</v>
      </c>
      <c r="J204" s="62" t="s">
        <v>852</v>
      </c>
      <c r="L204" s="64" t="str">
        <f t="shared" si="30"/>
        <v>8.3.6</v>
      </c>
      <c r="M204" s="64" t="str">
        <f t="shared" si="28"/>
        <v>V8</v>
      </c>
      <c r="N204" s="64" t="str">
        <f t="shared" si="29"/>
        <v>V8.3</v>
      </c>
      <c r="O204" s="64" t="str">
        <f t="shared" si="31"/>
        <v>Verify that sensitive information contained in memory is overwritten as soon as it is no longer required to mitigate memory dumping attacks, using zeroes or random data.</v>
      </c>
      <c r="P204" s="64" t="str">
        <f t="shared" ca="1" si="32"/>
        <v>--- Select ---</v>
      </c>
      <c r="Q204" s="63" t="str">
        <f t="shared" si="33"/>
        <v>N</v>
      </c>
      <c r="R204" s="63" t="str">
        <f t="shared" si="34"/>
        <v>Y</v>
      </c>
      <c r="S204" s="63" t="str">
        <f t="shared" si="35"/>
        <v>Y</v>
      </c>
    </row>
    <row r="205" spans="1:19" x14ac:dyDescent="0.35">
      <c r="A205" s="63" t="s">
        <v>46</v>
      </c>
      <c r="B205" s="61" t="s">
        <v>551</v>
      </c>
      <c r="C205" s="63" t="s">
        <v>572</v>
      </c>
      <c r="D205" s="61" t="s">
        <v>573</v>
      </c>
      <c r="E205" s="63" t="s">
        <v>586</v>
      </c>
      <c r="F205" s="61" t="s">
        <v>587</v>
      </c>
      <c r="G205" s="61" t="str">
        <f t="shared" ca="1" si="27"/>
        <v>--- Select ---</v>
      </c>
      <c r="H205" s="62" t="s">
        <v>853</v>
      </c>
      <c r="I205" s="62" t="s">
        <v>852</v>
      </c>
      <c r="J205" s="62" t="s">
        <v>852</v>
      </c>
      <c r="L205" s="64" t="str">
        <f t="shared" si="30"/>
        <v>8.3.7</v>
      </c>
      <c r="M205" s="64" t="str">
        <f t="shared" si="28"/>
        <v>V8</v>
      </c>
      <c r="N205" s="64" t="str">
        <f t="shared" si="29"/>
        <v>V8.3</v>
      </c>
      <c r="O205" s="64" t="str">
        <f t="shared" si="31"/>
        <v>Verify that sensitive or private information that is required to be encrypted, is encrypted using approved algorithms that provide both confidentiality and integrity. (C8)</v>
      </c>
      <c r="P205" s="64" t="str">
        <f t="shared" ca="1" si="32"/>
        <v>--- Select ---</v>
      </c>
      <c r="Q205" s="63" t="str">
        <f t="shared" si="33"/>
        <v>N</v>
      </c>
      <c r="R205" s="63" t="str">
        <f t="shared" si="34"/>
        <v>Y</v>
      </c>
      <c r="S205" s="63" t="str">
        <f t="shared" si="35"/>
        <v>Y</v>
      </c>
    </row>
    <row r="206" spans="1:19" x14ac:dyDescent="0.35">
      <c r="A206" s="63" t="s">
        <v>46</v>
      </c>
      <c r="B206" s="61" t="s">
        <v>551</v>
      </c>
      <c r="C206" s="63" t="s">
        <v>572</v>
      </c>
      <c r="D206" s="61" t="s">
        <v>573</v>
      </c>
      <c r="E206" s="63" t="s">
        <v>588</v>
      </c>
      <c r="F206" s="61" t="s">
        <v>589</v>
      </c>
      <c r="G206" s="61" t="str">
        <f t="shared" ca="1" si="27"/>
        <v>--- Select ---</v>
      </c>
      <c r="H206" s="62" t="s">
        <v>853</v>
      </c>
      <c r="I206" s="62" t="s">
        <v>852</v>
      </c>
      <c r="J206" s="62" t="s">
        <v>852</v>
      </c>
      <c r="L206" s="64" t="str">
        <f t="shared" si="30"/>
        <v>8.3.8</v>
      </c>
      <c r="M206" s="64" t="str">
        <f t="shared" si="28"/>
        <v>V8</v>
      </c>
      <c r="N206" s="64" t="str">
        <f t="shared" si="29"/>
        <v>V8.3</v>
      </c>
      <c r="O206" s="64" t="str">
        <f t="shared" si="31"/>
        <v>Verify that sensitive personal information is subject to data retention classification, such that old or out of date data is deleted automatically, on a schedule, or as the situation requires.</v>
      </c>
      <c r="P206" s="64" t="str">
        <f t="shared" ca="1" si="32"/>
        <v>--- Select ---</v>
      </c>
      <c r="Q206" s="63" t="str">
        <f t="shared" si="33"/>
        <v>N</v>
      </c>
      <c r="R206" s="63" t="str">
        <f t="shared" si="34"/>
        <v>Y</v>
      </c>
      <c r="S206" s="63" t="str">
        <f t="shared" si="35"/>
        <v>Y</v>
      </c>
    </row>
    <row r="207" spans="1:19" x14ac:dyDescent="0.35">
      <c r="A207" s="63" t="s">
        <v>47</v>
      </c>
      <c r="B207" s="61" t="s">
        <v>591</v>
      </c>
      <c r="C207" s="63" t="s">
        <v>592</v>
      </c>
      <c r="D207" s="61" t="s">
        <v>593</v>
      </c>
      <c r="E207" s="63" t="s">
        <v>594</v>
      </c>
      <c r="F207" s="61" t="s">
        <v>595</v>
      </c>
      <c r="G207" s="61" t="str">
        <f t="shared" ca="1" si="27"/>
        <v>--- Select ---</v>
      </c>
      <c r="H207" s="62" t="s">
        <v>852</v>
      </c>
      <c r="I207" s="62" t="s">
        <v>852</v>
      </c>
      <c r="J207" s="62" t="s">
        <v>852</v>
      </c>
      <c r="L207" s="64" t="str">
        <f t="shared" si="30"/>
        <v>9.1.1</v>
      </c>
      <c r="M207" s="64" t="str">
        <f t="shared" si="28"/>
        <v>V9</v>
      </c>
      <c r="N207" s="64" t="str">
        <f t="shared" si="29"/>
        <v>V9.1</v>
      </c>
      <c r="O207" s="64" t="str">
        <f t="shared" si="31"/>
        <v>Verify that secured TLS is used for all client connectivity, and does not fall back to insecure or unencrypted protocols. (C8)</v>
      </c>
      <c r="P207" s="64" t="str">
        <f t="shared" ca="1" si="32"/>
        <v>--- Select ---</v>
      </c>
      <c r="Q207" s="63" t="str">
        <f t="shared" si="33"/>
        <v>Y</v>
      </c>
      <c r="R207" s="63" t="str">
        <f t="shared" si="34"/>
        <v>Y</v>
      </c>
      <c r="S207" s="63" t="str">
        <f t="shared" si="35"/>
        <v>Y</v>
      </c>
    </row>
    <row r="208" spans="1:19" x14ac:dyDescent="0.35">
      <c r="A208" s="63" t="s">
        <v>47</v>
      </c>
      <c r="B208" s="61" t="s">
        <v>591</v>
      </c>
      <c r="C208" s="63" t="s">
        <v>592</v>
      </c>
      <c r="D208" s="61" t="s">
        <v>593</v>
      </c>
      <c r="E208" s="63" t="s">
        <v>596</v>
      </c>
      <c r="F208" s="61" t="s">
        <v>597</v>
      </c>
      <c r="G208" s="61" t="str">
        <f t="shared" ca="1" si="27"/>
        <v>--- Select ---</v>
      </c>
      <c r="H208" s="62" t="s">
        <v>852</v>
      </c>
      <c r="I208" s="62" t="s">
        <v>852</v>
      </c>
      <c r="J208" s="62" t="s">
        <v>852</v>
      </c>
      <c r="L208" s="64" t="str">
        <f t="shared" si="30"/>
        <v>9.1.2</v>
      </c>
      <c r="M208" s="64" t="str">
        <f t="shared" si="28"/>
        <v>V9</v>
      </c>
      <c r="N208" s="64" t="str">
        <f t="shared" si="29"/>
        <v>V9.1</v>
      </c>
      <c r="O208" s="64" t="str">
        <f t="shared" si="31"/>
        <v>Verify using online or up to date TLS testing tools that only strong algorithms, ciphers, and protocols are enabled, with the strongest algorithms and ciphers set as preferred.</v>
      </c>
      <c r="P208" s="64" t="str">
        <f t="shared" ca="1" si="32"/>
        <v>--- Select ---</v>
      </c>
      <c r="Q208" s="63" t="str">
        <f t="shared" si="33"/>
        <v>Y</v>
      </c>
      <c r="R208" s="63" t="str">
        <f t="shared" si="34"/>
        <v>Y</v>
      </c>
      <c r="S208" s="63" t="str">
        <f t="shared" si="35"/>
        <v>Y</v>
      </c>
    </row>
    <row r="209" spans="1:19" x14ac:dyDescent="0.35">
      <c r="A209" s="63" t="s">
        <v>47</v>
      </c>
      <c r="B209" s="61" t="s">
        <v>591</v>
      </c>
      <c r="C209" s="63" t="s">
        <v>592</v>
      </c>
      <c r="D209" s="61" t="s">
        <v>593</v>
      </c>
      <c r="E209" s="63" t="s">
        <v>598</v>
      </c>
      <c r="F209" s="61" t="s">
        <v>599</v>
      </c>
      <c r="G209" s="61" t="str">
        <f t="shared" ca="1" si="27"/>
        <v>--- Select ---</v>
      </c>
      <c r="H209" s="62" t="s">
        <v>852</v>
      </c>
      <c r="I209" s="62" t="s">
        <v>852</v>
      </c>
      <c r="J209" s="62" t="s">
        <v>852</v>
      </c>
      <c r="L209" s="64" t="str">
        <f t="shared" si="30"/>
        <v>9.1.3</v>
      </c>
      <c r="M209" s="64" t="str">
        <f t="shared" si="28"/>
        <v>V9</v>
      </c>
      <c r="N209" s="64" t="str">
        <f t="shared" si="29"/>
        <v>V9.1</v>
      </c>
      <c r="O209" s="64" t="str">
        <f t="shared" si="31"/>
        <v>Verify that old versions of SSL and TLS protocols, algorithms, ciphers, and configuration are disabled, such as SSLv2, SSLv3, or TLS 1.0 and TLS 1.1. The latest version of TLS should be the preferred cipher suite.</v>
      </c>
      <c r="P209" s="64" t="str">
        <f t="shared" ca="1" si="32"/>
        <v>--- Select ---</v>
      </c>
      <c r="Q209" s="63" t="str">
        <f t="shared" si="33"/>
        <v>Y</v>
      </c>
      <c r="R209" s="63" t="str">
        <f t="shared" si="34"/>
        <v>Y</v>
      </c>
      <c r="S209" s="63" t="str">
        <f t="shared" si="35"/>
        <v>Y</v>
      </c>
    </row>
    <row r="210" spans="1:19" x14ac:dyDescent="0.35">
      <c r="A210" s="63" t="s">
        <v>47</v>
      </c>
      <c r="B210" s="61" t="s">
        <v>591</v>
      </c>
      <c r="C210" s="63" t="s">
        <v>600</v>
      </c>
      <c r="D210" s="61" t="s">
        <v>601</v>
      </c>
      <c r="E210" s="63" t="s">
        <v>602</v>
      </c>
      <c r="F210" s="61" t="s">
        <v>603</v>
      </c>
      <c r="G210" s="61" t="str">
        <f t="shared" ca="1" si="27"/>
        <v>--- Select ---</v>
      </c>
      <c r="H210" s="62" t="s">
        <v>853</v>
      </c>
      <c r="I210" s="62" t="s">
        <v>852</v>
      </c>
      <c r="J210" s="62" t="s">
        <v>852</v>
      </c>
      <c r="L210" s="64" t="str">
        <f t="shared" si="30"/>
        <v>9.2.1</v>
      </c>
      <c r="M210" s="64" t="str">
        <f t="shared" si="28"/>
        <v>V9</v>
      </c>
      <c r="N210" s="64" t="str">
        <f t="shared" si="29"/>
        <v>V9.2</v>
      </c>
      <c r="O210" s="64" t="str">
        <f t="shared" si="31"/>
        <v>Verify that connections to and from the server use trusted TLS certificates. Where internally generated or self-signed certificates are used, the server must be configured to only trust specific internal CAs and specific self-signed certificates. All others should be rejected.</v>
      </c>
      <c r="P210" s="64" t="str">
        <f t="shared" ca="1" si="32"/>
        <v>--- Select ---</v>
      </c>
      <c r="Q210" s="63" t="str">
        <f t="shared" si="33"/>
        <v>N</v>
      </c>
      <c r="R210" s="63" t="str">
        <f t="shared" si="34"/>
        <v>Y</v>
      </c>
      <c r="S210" s="63" t="str">
        <f t="shared" si="35"/>
        <v>Y</v>
      </c>
    </row>
    <row r="211" spans="1:19" x14ac:dyDescent="0.35">
      <c r="A211" s="63" t="s">
        <v>47</v>
      </c>
      <c r="B211" s="61" t="s">
        <v>591</v>
      </c>
      <c r="C211" s="63" t="s">
        <v>600</v>
      </c>
      <c r="D211" s="61" t="s">
        <v>601</v>
      </c>
      <c r="E211" s="63" t="s">
        <v>604</v>
      </c>
      <c r="F211" s="61" t="s">
        <v>605</v>
      </c>
      <c r="G211" s="61" t="str">
        <f t="shared" ca="1" si="27"/>
        <v>--- Select ---</v>
      </c>
      <c r="H211" s="62" t="s">
        <v>853</v>
      </c>
      <c r="I211" s="62" t="s">
        <v>852</v>
      </c>
      <c r="J211" s="62" t="s">
        <v>852</v>
      </c>
      <c r="L211" s="64" t="str">
        <f t="shared" si="30"/>
        <v>9.2.2</v>
      </c>
      <c r="M211" s="64" t="str">
        <f t="shared" si="28"/>
        <v>V9</v>
      </c>
      <c r="N211" s="64" t="str">
        <f t="shared" si="29"/>
        <v>V9.2</v>
      </c>
      <c r="O211" s="64" t="str">
        <f t="shared" si="31"/>
        <v>Verify that encrypted communications such as TLS is used for all inbound and outbound connections, including for management ports, monitoring, authentication, API, or web service calls, database, cloud, serverless, mainframe, external, and partner connections. The server must not fall back to insecure or unencrypted protocols.</v>
      </c>
      <c r="P211" s="64" t="str">
        <f t="shared" ca="1" si="32"/>
        <v>--- Select ---</v>
      </c>
      <c r="Q211" s="63" t="str">
        <f t="shared" si="33"/>
        <v>N</v>
      </c>
      <c r="R211" s="63" t="str">
        <f t="shared" si="34"/>
        <v>Y</v>
      </c>
      <c r="S211" s="63" t="str">
        <f t="shared" si="35"/>
        <v>Y</v>
      </c>
    </row>
    <row r="212" spans="1:19" x14ac:dyDescent="0.35">
      <c r="A212" s="63" t="s">
        <v>47</v>
      </c>
      <c r="B212" s="61" t="s">
        <v>591</v>
      </c>
      <c r="C212" s="63" t="s">
        <v>600</v>
      </c>
      <c r="D212" s="61" t="s">
        <v>601</v>
      </c>
      <c r="E212" s="63" t="s">
        <v>606</v>
      </c>
      <c r="F212" s="61" t="s">
        <v>607</v>
      </c>
      <c r="G212" s="61" t="str">
        <f t="shared" ca="1" si="27"/>
        <v>--- Select ---</v>
      </c>
      <c r="H212" s="62" t="s">
        <v>853</v>
      </c>
      <c r="I212" s="62" t="s">
        <v>852</v>
      </c>
      <c r="J212" s="62" t="s">
        <v>852</v>
      </c>
      <c r="L212" s="64" t="str">
        <f t="shared" si="30"/>
        <v>9.2.3</v>
      </c>
      <c r="M212" s="64" t="str">
        <f t="shared" si="28"/>
        <v>V9</v>
      </c>
      <c r="N212" s="64" t="str">
        <f t="shared" si="29"/>
        <v>V9.2</v>
      </c>
      <c r="O212" s="64" t="str">
        <f t="shared" si="31"/>
        <v>Verify that all encrypted connections to external systems that involve sensitive information or functions are authenticated.</v>
      </c>
      <c r="P212" s="64" t="str">
        <f t="shared" ca="1" si="32"/>
        <v>--- Select ---</v>
      </c>
      <c r="Q212" s="63" t="str">
        <f t="shared" si="33"/>
        <v>N</v>
      </c>
      <c r="R212" s="63" t="str">
        <f t="shared" si="34"/>
        <v>Y</v>
      </c>
      <c r="S212" s="63" t="str">
        <f t="shared" si="35"/>
        <v>Y</v>
      </c>
    </row>
    <row r="213" spans="1:19" x14ac:dyDescent="0.35">
      <c r="A213" s="63" t="s">
        <v>47</v>
      </c>
      <c r="B213" s="61" t="s">
        <v>591</v>
      </c>
      <c r="C213" s="63" t="s">
        <v>600</v>
      </c>
      <c r="D213" s="61" t="s">
        <v>601</v>
      </c>
      <c r="E213" s="63" t="s">
        <v>608</v>
      </c>
      <c r="F213" s="61" t="s">
        <v>19</v>
      </c>
      <c r="G213" s="61" t="str">
        <f t="shared" ca="1" si="27"/>
        <v>--- Select ---</v>
      </c>
      <c r="H213" s="62" t="s">
        <v>853</v>
      </c>
      <c r="I213" s="62" t="s">
        <v>852</v>
      </c>
      <c r="J213" s="62" t="s">
        <v>852</v>
      </c>
      <c r="L213" s="64" t="str">
        <f t="shared" si="30"/>
        <v>9.2.4</v>
      </c>
      <c r="M213" s="64" t="str">
        <f t="shared" si="28"/>
        <v>V9</v>
      </c>
      <c r="N213" s="64" t="str">
        <f t="shared" si="29"/>
        <v>V9.2</v>
      </c>
      <c r="O213" s="64" t="str">
        <f t="shared" si="31"/>
        <v>Verify that proper certification revocation, such as Online Certificate Status Protocol (OCSP) Stapling, is enabled and configured.</v>
      </c>
      <c r="P213" s="64" t="str">
        <f t="shared" ca="1" si="32"/>
        <v>--- Select ---</v>
      </c>
      <c r="Q213" s="63" t="str">
        <f t="shared" si="33"/>
        <v>N</v>
      </c>
      <c r="R213" s="63" t="str">
        <f t="shared" si="34"/>
        <v>Y</v>
      </c>
      <c r="S213" s="63" t="str">
        <f t="shared" si="35"/>
        <v>Y</v>
      </c>
    </row>
    <row r="214" spans="1:19" x14ac:dyDescent="0.35">
      <c r="A214" s="63" t="s">
        <v>47</v>
      </c>
      <c r="B214" s="61" t="s">
        <v>591</v>
      </c>
      <c r="C214" s="63" t="s">
        <v>600</v>
      </c>
      <c r="D214" s="61" t="s">
        <v>601</v>
      </c>
      <c r="E214" s="63" t="s">
        <v>609</v>
      </c>
      <c r="F214" s="61" t="s">
        <v>18</v>
      </c>
      <c r="G214" s="61" t="str">
        <f t="shared" ca="1" si="27"/>
        <v>--- Select ---</v>
      </c>
      <c r="H214" s="62" t="s">
        <v>853</v>
      </c>
      <c r="I214" s="62" t="s">
        <v>853</v>
      </c>
      <c r="J214" s="62" t="s">
        <v>852</v>
      </c>
      <c r="L214" s="64" t="str">
        <f t="shared" si="30"/>
        <v>9.2.5</v>
      </c>
      <c r="M214" s="64" t="str">
        <f t="shared" si="28"/>
        <v>V9</v>
      </c>
      <c r="N214" s="64" t="str">
        <f t="shared" si="29"/>
        <v>V9.2</v>
      </c>
      <c r="O214" s="64" t="str">
        <f t="shared" si="31"/>
        <v>Verify that backend TLS connection failures are logged.</v>
      </c>
      <c r="P214" s="64" t="str">
        <f t="shared" ca="1" si="32"/>
        <v>--- Select ---</v>
      </c>
      <c r="Q214" s="63" t="str">
        <f t="shared" si="33"/>
        <v>N</v>
      </c>
      <c r="R214" s="63" t="str">
        <f t="shared" si="34"/>
        <v>N</v>
      </c>
      <c r="S214" s="63" t="str">
        <f t="shared" si="35"/>
        <v>Y</v>
      </c>
    </row>
    <row r="215" spans="1:19" x14ac:dyDescent="0.35">
      <c r="A215" s="63" t="s">
        <v>48</v>
      </c>
      <c r="B215" s="61" t="s">
        <v>611</v>
      </c>
      <c r="C215" s="63" t="s">
        <v>615</v>
      </c>
      <c r="D215" s="61" t="s">
        <v>614</v>
      </c>
      <c r="E215" s="63" t="s">
        <v>612</v>
      </c>
      <c r="F215" s="61" t="s">
        <v>613</v>
      </c>
      <c r="G215" s="61" t="str">
        <f t="shared" ca="1" si="27"/>
        <v>--- Select ---</v>
      </c>
      <c r="H215" s="62" t="s">
        <v>853</v>
      </c>
      <c r="I215" s="62" t="s">
        <v>853</v>
      </c>
      <c r="J215" s="62" t="s">
        <v>852</v>
      </c>
      <c r="L215" s="64" t="str">
        <f t="shared" si="30"/>
        <v>10.1.1</v>
      </c>
      <c r="M215" s="64" t="str">
        <f t="shared" si="28"/>
        <v>V10</v>
      </c>
      <c r="N215" s="64" t="str">
        <f t="shared" si="29"/>
        <v>V10.1</v>
      </c>
      <c r="O215" s="64" t="str">
        <f t="shared" si="31"/>
        <v>Verify that a code analysis tool is in use that can detect potentially malicious code, such as time functions, unsafe file operations and network connections.</v>
      </c>
      <c r="P215" s="64" t="str">
        <f t="shared" ca="1" si="32"/>
        <v>--- Select ---</v>
      </c>
      <c r="Q215" s="63" t="str">
        <f t="shared" si="33"/>
        <v>N</v>
      </c>
      <c r="R215" s="63" t="str">
        <f t="shared" si="34"/>
        <v>N</v>
      </c>
      <c r="S215" s="63" t="str">
        <f t="shared" si="35"/>
        <v>Y</v>
      </c>
    </row>
    <row r="216" spans="1:19" x14ac:dyDescent="0.35">
      <c r="A216" s="63" t="s">
        <v>48</v>
      </c>
      <c r="B216" s="61" t="s">
        <v>611</v>
      </c>
      <c r="C216" s="63" t="s">
        <v>616</v>
      </c>
      <c r="D216" s="61" t="s">
        <v>617</v>
      </c>
      <c r="E216" s="63" t="s">
        <v>618</v>
      </c>
      <c r="F216" s="61" t="s">
        <v>619</v>
      </c>
      <c r="G216" s="61" t="str">
        <f t="shared" ca="1" si="27"/>
        <v>--- Select ---</v>
      </c>
      <c r="H216" s="62" t="s">
        <v>853</v>
      </c>
      <c r="I216" s="62" t="s">
        <v>852</v>
      </c>
      <c r="J216" s="62" t="s">
        <v>852</v>
      </c>
      <c r="L216" s="64" t="str">
        <f t="shared" si="30"/>
        <v>10.2.1</v>
      </c>
      <c r="M216" s="64" t="str">
        <f t="shared" si="28"/>
        <v>V10</v>
      </c>
      <c r="N216" s="64" t="str">
        <f t="shared" si="29"/>
        <v>V10.2</v>
      </c>
      <c r="O216" s="64" t="str">
        <f t="shared" si="31"/>
        <v>Verify that the application source code and third party libraries do not contain unauthorized phone home or data collection capabilities. Where such functionality exists, obtain the user's permission for it to operate before collecting any data.</v>
      </c>
      <c r="P216" s="64" t="str">
        <f t="shared" ca="1" si="32"/>
        <v>--- Select ---</v>
      </c>
      <c r="Q216" s="63" t="str">
        <f t="shared" si="33"/>
        <v>N</v>
      </c>
      <c r="R216" s="63" t="str">
        <f t="shared" si="34"/>
        <v>Y</v>
      </c>
      <c r="S216" s="63" t="str">
        <f t="shared" si="35"/>
        <v>Y</v>
      </c>
    </row>
    <row r="217" spans="1:19" x14ac:dyDescent="0.35">
      <c r="A217" s="63" t="s">
        <v>48</v>
      </c>
      <c r="B217" s="61" t="s">
        <v>611</v>
      </c>
      <c r="C217" s="63" t="s">
        <v>616</v>
      </c>
      <c r="D217" s="61" t="s">
        <v>617</v>
      </c>
      <c r="E217" s="63" t="s">
        <v>620</v>
      </c>
      <c r="F217" s="61" t="s">
        <v>621</v>
      </c>
      <c r="G217" s="61" t="str">
        <f t="shared" ca="1" si="27"/>
        <v>--- Select ---</v>
      </c>
      <c r="H217" s="62" t="s">
        <v>853</v>
      </c>
      <c r="I217" s="62" t="s">
        <v>852</v>
      </c>
      <c r="J217" s="62" t="s">
        <v>852</v>
      </c>
      <c r="L217" s="64" t="str">
        <f t="shared" si="30"/>
        <v>10.2.2</v>
      </c>
      <c r="M217" s="64" t="str">
        <f t="shared" si="28"/>
        <v>V10</v>
      </c>
      <c r="N217" s="64" t="str">
        <f t="shared" si="29"/>
        <v>V10.2</v>
      </c>
      <c r="O217" s="64" t="str">
        <f t="shared" si="31"/>
        <v>Verify that the application does not ask for unnecessary or excessive permissions to privacy related features or sensors, such as contacts, cameras, microphones, or location.</v>
      </c>
      <c r="P217" s="64" t="str">
        <f t="shared" ca="1" si="32"/>
        <v>--- Select ---</v>
      </c>
      <c r="Q217" s="63" t="str">
        <f t="shared" si="33"/>
        <v>N</v>
      </c>
      <c r="R217" s="63" t="str">
        <f t="shared" si="34"/>
        <v>Y</v>
      </c>
      <c r="S217" s="63" t="str">
        <f t="shared" si="35"/>
        <v>Y</v>
      </c>
    </row>
    <row r="218" spans="1:19" x14ac:dyDescent="0.35">
      <c r="A218" s="63" t="s">
        <v>48</v>
      </c>
      <c r="B218" s="61" t="s">
        <v>611</v>
      </c>
      <c r="C218" s="63" t="s">
        <v>616</v>
      </c>
      <c r="D218" s="61" t="s">
        <v>617</v>
      </c>
      <c r="E218" s="63" t="s">
        <v>622</v>
      </c>
      <c r="F218" s="61" t="s">
        <v>623</v>
      </c>
      <c r="G218" s="61" t="str">
        <f t="shared" ca="1" si="27"/>
        <v>--- Select ---</v>
      </c>
      <c r="H218" s="62" t="s">
        <v>853</v>
      </c>
      <c r="I218" s="62" t="s">
        <v>853</v>
      </c>
      <c r="J218" s="62" t="s">
        <v>852</v>
      </c>
      <c r="L218" s="64" t="str">
        <f t="shared" si="30"/>
        <v>10.2.3</v>
      </c>
      <c r="M218" s="64" t="str">
        <f t="shared" si="28"/>
        <v>V10</v>
      </c>
      <c r="N218" s="64" t="str">
        <f t="shared" si="29"/>
        <v>V10.2</v>
      </c>
      <c r="O218" s="64" t="str">
        <f t="shared" si="31"/>
        <v>Verify that the application source code and third party libraries do not contain back doors, such as hard-coded or additional undocumented accounts or keys, code obfuscation, undocumented binary blobs, rootkits, or anti-debugging, insecure debugging features, or otherwise out of date, insecure, or hidden functionality that could be used maliciously if discovered.</v>
      </c>
      <c r="P218" s="64" t="str">
        <f t="shared" ca="1" si="32"/>
        <v>--- Select ---</v>
      </c>
      <c r="Q218" s="63" t="str">
        <f t="shared" si="33"/>
        <v>N</v>
      </c>
      <c r="R218" s="63" t="str">
        <f t="shared" si="34"/>
        <v>N</v>
      </c>
      <c r="S218" s="63" t="str">
        <f t="shared" si="35"/>
        <v>Y</v>
      </c>
    </row>
    <row r="219" spans="1:19" x14ac:dyDescent="0.35">
      <c r="A219" s="63" t="s">
        <v>48</v>
      </c>
      <c r="B219" s="61" t="s">
        <v>611</v>
      </c>
      <c r="C219" s="63" t="s">
        <v>616</v>
      </c>
      <c r="D219" s="61" t="s">
        <v>617</v>
      </c>
      <c r="E219" s="63" t="s">
        <v>624</v>
      </c>
      <c r="F219" s="61" t="s">
        <v>625</v>
      </c>
      <c r="G219" s="61" t="str">
        <f t="shared" ca="1" si="27"/>
        <v>--- Select ---</v>
      </c>
      <c r="H219" s="62" t="s">
        <v>853</v>
      </c>
      <c r="I219" s="62" t="s">
        <v>853</v>
      </c>
      <c r="J219" s="62" t="s">
        <v>852</v>
      </c>
      <c r="L219" s="64" t="str">
        <f t="shared" si="30"/>
        <v>10.2.4</v>
      </c>
      <c r="M219" s="64" t="str">
        <f t="shared" si="28"/>
        <v>V10</v>
      </c>
      <c r="N219" s="64" t="str">
        <f t="shared" si="29"/>
        <v>V10.2</v>
      </c>
      <c r="O219" s="64" t="str">
        <f t="shared" si="31"/>
        <v>Verify that the application source code and third party libraries does not contain time bombs by searching for date and time related functions.</v>
      </c>
      <c r="P219" s="64" t="str">
        <f t="shared" ca="1" si="32"/>
        <v>--- Select ---</v>
      </c>
      <c r="Q219" s="63" t="str">
        <f t="shared" si="33"/>
        <v>N</v>
      </c>
      <c r="R219" s="63" t="str">
        <f t="shared" si="34"/>
        <v>N</v>
      </c>
      <c r="S219" s="63" t="str">
        <f t="shared" si="35"/>
        <v>Y</v>
      </c>
    </row>
    <row r="220" spans="1:19" x14ac:dyDescent="0.35">
      <c r="A220" s="63" t="s">
        <v>48</v>
      </c>
      <c r="B220" s="61" t="s">
        <v>611</v>
      </c>
      <c r="C220" s="63" t="s">
        <v>616</v>
      </c>
      <c r="D220" s="61" t="s">
        <v>617</v>
      </c>
      <c r="E220" s="63" t="s">
        <v>626</v>
      </c>
      <c r="F220" s="61" t="s">
        <v>627</v>
      </c>
      <c r="G220" s="61" t="str">
        <f t="shared" ca="1" si="27"/>
        <v>--- Select ---</v>
      </c>
      <c r="H220" s="62" t="s">
        <v>853</v>
      </c>
      <c r="I220" s="62" t="s">
        <v>853</v>
      </c>
      <c r="J220" s="62" t="s">
        <v>852</v>
      </c>
      <c r="L220" s="64" t="str">
        <f t="shared" si="30"/>
        <v>10.2.5</v>
      </c>
      <c r="M220" s="64" t="str">
        <f t="shared" si="28"/>
        <v>V10</v>
      </c>
      <c r="N220" s="64" t="str">
        <f t="shared" si="29"/>
        <v>V10.2</v>
      </c>
      <c r="O220" s="64" t="str">
        <f t="shared" si="31"/>
        <v>Verify that the application source code and third party libraries does not contain malicious code, such as salami attacks, logic bypasses, or logic bombs.</v>
      </c>
      <c r="P220" s="64" t="str">
        <f t="shared" ca="1" si="32"/>
        <v>--- Select ---</v>
      </c>
      <c r="Q220" s="63" t="str">
        <f t="shared" si="33"/>
        <v>N</v>
      </c>
      <c r="R220" s="63" t="str">
        <f t="shared" si="34"/>
        <v>N</v>
      </c>
      <c r="S220" s="63" t="str">
        <f t="shared" si="35"/>
        <v>Y</v>
      </c>
    </row>
    <row r="221" spans="1:19" x14ac:dyDescent="0.35">
      <c r="A221" s="63" t="s">
        <v>48</v>
      </c>
      <c r="B221" s="61" t="s">
        <v>611</v>
      </c>
      <c r="C221" s="63" t="s">
        <v>616</v>
      </c>
      <c r="D221" s="61" t="s">
        <v>617</v>
      </c>
      <c r="E221" s="63" t="s">
        <v>628</v>
      </c>
      <c r="F221" s="61" t="s">
        <v>629</v>
      </c>
      <c r="G221" s="61" t="str">
        <f t="shared" ca="1" si="27"/>
        <v>--- Select ---</v>
      </c>
      <c r="H221" s="62" t="s">
        <v>853</v>
      </c>
      <c r="I221" s="62" t="s">
        <v>853</v>
      </c>
      <c r="J221" s="62" t="s">
        <v>852</v>
      </c>
      <c r="L221" s="64" t="str">
        <f t="shared" si="30"/>
        <v>10.2.6</v>
      </c>
      <c r="M221" s="64" t="str">
        <f t="shared" si="28"/>
        <v>V10</v>
      </c>
      <c r="N221" s="64" t="str">
        <f t="shared" si="29"/>
        <v>V10.2</v>
      </c>
      <c r="O221" s="64" t="str">
        <f t="shared" si="31"/>
        <v>Verify that the application source code and third party libraries do not contain Easter eggs or any other potentially unwanted functionality.</v>
      </c>
      <c r="P221" s="64" t="str">
        <f t="shared" ca="1" si="32"/>
        <v>--- Select ---</v>
      </c>
      <c r="Q221" s="63" t="str">
        <f t="shared" si="33"/>
        <v>N</v>
      </c>
      <c r="R221" s="63" t="str">
        <f t="shared" si="34"/>
        <v>N</v>
      </c>
      <c r="S221" s="63" t="str">
        <f t="shared" si="35"/>
        <v>Y</v>
      </c>
    </row>
    <row r="222" spans="1:19" x14ac:dyDescent="0.35">
      <c r="A222" s="63" t="s">
        <v>48</v>
      </c>
      <c r="B222" s="61" t="s">
        <v>611</v>
      </c>
      <c r="C222" s="63" t="s">
        <v>630</v>
      </c>
      <c r="D222" s="61" t="s">
        <v>631</v>
      </c>
      <c r="E222" s="63" t="s">
        <v>632</v>
      </c>
      <c r="F222" s="61" t="s">
        <v>633</v>
      </c>
      <c r="G222" s="61" t="str">
        <f t="shared" ca="1" si="27"/>
        <v>--- Select ---</v>
      </c>
      <c r="H222" s="62" t="s">
        <v>852</v>
      </c>
      <c r="I222" s="62" t="s">
        <v>852</v>
      </c>
      <c r="J222" s="62" t="s">
        <v>852</v>
      </c>
      <c r="L222" s="64" t="str">
        <f t="shared" si="30"/>
        <v>10.3.1</v>
      </c>
      <c r="M222" s="64" t="str">
        <f t="shared" si="28"/>
        <v>V10</v>
      </c>
      <c r="N222" s="64" t="str">
        <f t="shared" si="29"/>
        <v>V10.3</v>
      </c>
      <c r="O222" s="64" t="str">
        <f t="shared" si="31"/>
        <v>Verify that if the application has a client or server auto-update feature, updates should be obtained over secure channels and digitally signed. The update code must validate the digital signature of the update before installing or executing the update.</v>
      </c>
      <c r="P222" s="64" t="str">
        <f t="shared" ca="1" si="32"/>
        <v>--- Select ---</v>
      </c>
      <c r="Q222" s="63" t="str">
        <f t="shared" si="33"/>
        <v>Y</v>
      </c>
      <c r="R222" s="63" t="str">
        <f t="shared" si="34"/>
        <v>Y</v>
      </c>
      <c r="S222" s="63" t="str">
        <f t="shared" si="35"/>
        <v>Y</v>
      </c>
    </row>
    <row r="223" spans="1:19" x14ac:dyDescent="0.35">
      <c r="A223" s="63" t="s">
        <v>48</v>
      </c>
      <c r="B223" s="61" t="s">
        <v>611</v>
      </c>
      <c r="C223" s="63" t="s">
        <v>630</v>
      </c>
      <c r="D223" s="61" t="s">
        <v>631</v>
      </c>
      <c r="E223" s="63" t="s">
        <v>634</v>
      </c>
      <c r="F223" s="61" t="s">
        <v>635</v>
      </c>
      <c r="G223" s="61" t="str">
        <f t="shared" ca="1" si="27"/>
        <v>--- Select ---</v>
      </c>
      <c r="H223" s="62" t="s">
        <v>852</v>
      </c>
      <c r="I223" s="62" t="s">
        <v>852</v>
      </c>
      <c r="J223" s="62" t="s">
        <v>852</v>
      </c>
      <c r="L223" s="64" t="str">
        <f t="shared" si="30"/>
        <v>10.3.2</v>
      </c>
      <c r="M223" s="64" t="str">
        <f t="shared" si="28"/>
        <v>V10</v>
      </c>
      <c r="N223" s="64" t="str">
        <f t="shared" si="29"/>
        <v>V10.3</v>
      </c>
      <c r="O223" s="64" t="str">
        <f t="shared" si="31"/>
        <v>Verify that the application employs integrity protections, such as code signing or sub-resource integrity. The application must not load or execute code from untrusted sources, such as loading includes, modules, plugins, code, or libraries from untrusted sources or the Internet.</v>
      </c>
      <c r="P223" s="64" t="str">
        <f t="shared" ca="1" si="32"/>
        <v>--- Select ---</v>
      </c>
      <c r="Q223" s="63" t="str">
        <f t="shared" si="33"/>
        <v>Y</v>
      </c>
      <c r="R223" s="63" t="str">
        <f t="shared" si="34"/>
        <v>Y</v>
      </c>
      <c r="S223" s="63" t="str">
        <f t="shared" si="35"/>
        <v>Y</v>
      </c>
    </row>
    <row r="224" spans="1:19" x14ac:dyDescent="0.35">
      <c r="A224" s="63" t="s">
        <v>48</v>
      </c>
      <c r="B224" s="61" t="s">
        <v>611</v>
      </c>
      <c r="C224" s="63" t="s">
        <v>630</v>
      </c>
      <c r="D224" s="61" t="s">
        <v>631</v>
      </c>
      <c r="E224" s="63" t="s">
        <v>636</v>
      </c>
      <c r="F224" s="61" t="s">
        <v>850</v>
      </c>
      <c r="G224" s="61" t="str">
        <f t="shared" ca="1" si="27"/>
        <v>--- Select ---</v>
      </c>
      <c r="H224" s="62" t="s">
        <v>852</v>
      </c>
      <c r="I224" s="62" t="s">
        <v>852</v>
      </c>
      <c r="J224" s="62" t="s">
        <v>852</v>
      </c>
      <c r="L224" s="64" t="str">
        <f t="shared" si="30"/>
        <v>10.3.3</v>
      </c>
      <c r="M224" s="64" t="str">
        <f t="shared" si="28"/>
        <v>V10</v>
      </c>
      <c r="N224" s="64" t="str">
        <f t="shared" si="29"/>
        <v>V10.3</v>
      </c>
      <c r="O224" s="64" t="str">
        <f t="shared" si="31"/>
        <v>Verify that the application has protection from sub-domain takeovers if the application relies upon DNS entries or DNS sub-domains, such as expired domain names, out of date DNS pointers or CNAMEs, expired projects at public source code repos, or transient cloud APIs, serverless functions, or storage buckets (autogen-bucket-id.cloud.example.com) or similar. Protections can include ensuring that DNS names used by applications are regularly checked for expiry or change.</v>
      </c>
      <c r="P224" s="64" t="str">
        <f t="shared" ca="1" si="32"/>
        <v>--- Select ---</v>
      </c>
      <c r="Q224" s="63" t="str">
        <f t="shared" si="33"/>
        <v>Y</v>
      </c>
      <c r="R224" s="63" t="str">
        <f t="shared" si="34"/>
        <v>Y</v>
      </c>
      <c r="S224" s="63" t="str">
        <f t="shared" si="35"/>
        <v>Y</v>
      </c>
    </row>
    <row r="225" spans="1:19" x14ac:dyDescent="0.35">
      <c r="A225" s="63" t="s">
        <v>49</v>
      </c>
      <c r="B225" s="61" t="s">
        <v>639</v>
      </c>
      <c r="C225" s="63" t="s">
        <v>640</v>
      </c>
      <c r="D225" s="61" t="s">
        <v>641</v>
      </c>
      <c r="E225" s="63" t="s">
        <v>642</v>
      </c>
      <c r="F225" s="61" t="s">
        <v>643</v>
      </c>
      <c r="G225" s="61" t="str">
        <f t="shared" ca="1" si="27"/>
        <v>--- Select ---</v>
      </c>
      <c r="H225" s="62" t="s">
        <v>852</v>
      </c>
      <c r="I225" s="62" t="s">
        <v>852</v>
      </c>
      <c r="J225" s="62" t="s">
        <v>852</v>
      </c>
      <c r="L225" s="64" t="str">
        <f t="shared" si="30"/>
        <v>11.1.1</v>
      </c>
      <c r="M225" s="64" t="str">
        <f t="shared" si="28"/>
        <v>V11</v>
      </c>
      <c r="N225" s="64" t="str">
        <f t="shared" si="29"/>
        <v>V11.1</v>
      </c>
      <c r="O225" s="64" t="str">
        <f t="shared" si="31"/>
        <v>Verify the application will only process business logic flows for the same user in sequential step order and without skipping steps.</v>
      </c>
      <c r="P225" s="64" t="str">
        <f t="shared" ca="1" si="32"/>
        <v>--- Select ---</v>
      </c>
      <c r="Q225" s="63" t="str">
        <f t="shared" si="33"/>
        <v>Y</v>
      </c>
      <c r="R225" s="63" t="str">
        <f t="shared" si="34"/>
        <v>Y</v>
      </c>
      <c r="S225" s="63" t="str">
        <f t="shared" si="35"/>
        <v>Y</v>
      </c>
    </row>
    <row r="226" spans="1:19" x14ac:dyDescent="0.35">
      <c r="A226" s="63" t="s">
        <v>49</v>
      </c>
      <c r="B226" s="61" t="s">
        <v>639</v>
      </c>
      <c r="C226" s="63" t="s">
        <v>640</v>
      </c>
      <c r="D226" s="61" t="s">
        <v>641</v>
      </c>
      <c r="E226" s="63" t="s">
        <v>644</v>
      </c>
      <c r="F226" s="61" t="s">
        <v>645</v>
      </c>
      <c r="G226" s="61" t="str">
        <f t="shared" ca="1" si="27"/>
        <v>--- Select ---</v>
      </c>
      <c r="H226" s="62" t="s">
        <v>852</v>
      </c>
      <c r="I226" s="62" t="s">
        <v>852</v>
      </c>
      <c r="J226" s="62" t="s">
        <v>852</v>
      </c>
      <c r="L226" s="64" t="str">
        <f t="shared" si="30"/>
        <v>11.1.2</v>
      </c>
      <c r="M226" s="64" t="str">
        <f t="shared" si="28"/>
        <v>V11</v>
      </c>
      <c r="N226" s="64" t="str">
        <f t="shared" si="29"/>
        <v>V11.1</v>
      </c>
      <c r="O226" s="64" t="str">
        <f t="shared" si="31"/>
        <v>Verify the application will only process business logic flows with all steps being processed in realistic human time, i.e. transactions are not submitted too quickly.</v>
      </c>
      <c r="P226" s="64" t="str">
        <f t="shared" ca="1" si="32"/>
        <v>--- Select ---</v>
      </c>
      <c r="Q226" s="63" t="str">
        <f t="shared" si="33"/>
        <v>Y</v>
      </c>
      <c r="R226" s="63" t="str">
        <f t="shared" si="34"/>
        <v>Y</v>
      </c>
      <c r="S226" s="63" t="str">
        <f t="shared" si="35"/>
        <v>Y</v>
      </c>
    </row>
    <row r="227" spans="1:19" x14ac:dyDescent="0.35">
      <c r="A227" s="63" t="s">
        <v>49</v>
      </c>
      <c r="B227" s="61" t="s">
        <v>639</v>
      </c>
      <c r="C227" s="63" t="s">
        <v>640</v>
      </c>
      <c r="D227" s="61" t="s">
        <v>641</v>
      </c>
      <c r="E227" s="63" t="s">
        <v>646</v>
      </c>
      <c r="F227" s="61" t="s">
        <v>647</v>
      </c>
      <c r="G227" s="61" t="str">
        <f t="shared" ca="1" si="27"/>
        <v>--- Select ---</v>
      </c>
      <c r="H227" s="62" t="s">
        <v>852</v>
      </c>
      <c r="I227" s="62" t="s">
        <v>852</v>
      </c>
      <c r="J227" s="62" t="s">
        <v>852</v>
      </c>
      <c r="L227" s="64" t="str">
        <f t="shared" si="30"/>
        <v>11.1.3</v>
      </c>
      <c r="M227" s="64" t="str">
        <f t="shared" si="28"/>
        <v>V11</v>
      </c>
      <c r="N227" s="64" t="str">
        <f t="shared" si="29"/>
        <v>V11.1</v>
      </c>
      <c r="O227" s="64" t="str">
        <f t="shared" si="31"/>
        <v>Verify the application has appropriate limits for specific business actions or transactions which are correctly enforced on a per user basis.</v>
      </c>
      <c r="P227" s="64" t="str">
        <f t="shared" ca="1" si="32"/>
        <v>--- Select ---</v>
      </c>
      <c r="Q227" s="63" t="str">
        <f t="shared" si="33"/>
        <v>Y</v>
      </c>
      <c r="R227" s="63" t="str">
        <f t="shared" si="34"/>
        <v>Y</v>
      </c>
      <c r="S227" s="63" t="str">
        <f t="shared" si="35"/>
        <v>Y</v>
      </c>
    </row>
    <row r="228" spans="1:19" x14ac:dyDescent="0.35">
      <c r="A228" s="63" t="s">
        <v>49</v>
      </c>
      <c r="B228" s="61" t="s">
        <v>639</v>
      </c>
      <c r="C228" s="63" t="s">
        <v>640</v>
      </c>
      <c r="D228" s="61" t="s">
        <v>641</v>
      </c>
      <c r="E228" s="63" t="s">
        <v>648</v>
      </c>
      <c r="F228" s="61" t="s">
        <v>649</v>
      </c>
      <c r="G228" s="61" t="str">
        <f t="shared" ca="1" si="27"/>
        <v>--- Select ---</v>
      </c>
      <c r="H228" s="62" t="s">
        <v>852</v>
      </c>
      <c r="I228" s="62" t="s">
        <v>852</v>
      </c>
      <c r="J228" s="62" t="s">
        <v>852</v>
      </c>
      <c r="L228" s="64" t="str">
        <f t="shared" si="30"/>
        <v>11.1.4</v>
      </c>
      <c r="M228" s="64" t="str">
        <f t="shared" si="28"/>
        <v>V11</v>
      </c>
      <c r="N228" s="64" t="str">
        <f t="shared" si="29"/>
        <v>V11.1</v>
      </c>
      <c r="O228" s="64" t="str">
        <f t="shared" si="31"/>
        <v>Verify the application has sufficient anti-automation controls to detect and protect against data exfiltration, excessive business logic requests, excessive file uploads or denial of service attacks.</v>
      </c>
      <c r="P228" s="64" t="str">
        <f t="shared" ca="1" si="32"/>
        <v>--- Select ---</v>
      </c>
      <c r="Q228" s="63" t="str">
        <f t="shared" si="33"/>
        <v>Y</v>
      </c>
      <c r="R228" s="63" t="str">
        <f t="shared" si="34"/>
        <v>Y</v>
      </c>
      <c r="S228" s="63" t="str">
        <f t="shared" si="35"/>
        <v>Y</v>
      </c>
    </row>
    <row r="229" spans="1:19" x14ac:dyDescent="0.35">
      <c r="A229" s="63" t="s">
        <v>49</v>
      </c>
      <c r="B229" s="61" t="s">
        <v>639</v>
      </c>
      <c r="C229" s="63" t="s">
        <v>640</v>
      </c>
      <c r="D229" s="61" t="s">
        <v>641</v>
      </c>
      <c r="E229" s="63" t="s">
        <v>650</v>
      </c>
      <c r="F229" s="61" t="s">
        <v>651</v>
      </c>
      <c r="G229" s="61" t="str">
        <f t="shared" ca="1" si="27"/>
        <v>--- Select ---</v>
      </c>
      <c r="H229" s="62" t="s">
        <v>852</v>
      </c>
      <c r="I229" s="62" t="s">
        <v>852</v>
      </c>
      <c r="J229" s="62" t="s">
        <v>852</v>
      </c>
      <c r="L229" s="64" t="str">
        <f t="shared" si="30"/>
        <v>11.1.5</v>
      </c>
      <c r="M229" s="64" t="str">
        <f t="shared" si="28"/>
        <v>V11</v>
      </c>
      <c r="N229" s="64" t="str">
        <f t="shared" si="29"/>
        <v>V11.1</v>
      </c>
      <c r="O229" s="64" t="str">
        <f t="shared" si="31"/>
        <v>Verify the application has business logic limits or validation to protect against likely business risks or threats, identified using threat modelling or similar methodologies.</v>
      </c>
      <c r="P229" s="64" t="str">
        <f t="shared" ca="1" si="32"/>
        <v>--- Select ---</v>
      </c>
      <c r="Q229" s="63" t="str">
        <f t="shared" si="33"/>
        <v>Y</v>
      </c>
      <c r="R229" s="63" t="str">
        <f t="shared" si="34"/>
        <v>Y</v>
      </c>
      <c r="S229" s="63" t="str">
        <f t="shared" si="35"/>
        <v>Y</v>
      </c>
    </row>
    <row r="230" spans="1:19" x14ac:dyDescent="0.35">
      <c r="A230" s="63" t="s">
        <v>49</v>
      </c>
      <c r="B230" s="61" t="s">
        <v>639</v>
      </c>
      <c r="C230" s="63" t="s">
        <v>640</v>
      </c>
      <c r="D230" s="61" t="s">
        <v>641</v>
      </c>
      <c r="E230" s="63" t="s">
        <v>652</v>
      </c>
      <c r="F230" s="61" t="s">
        <v>653</v>
      </c>
      <c r="G230" s="61" t="str">
        <f t="shared" ca="1" si="27"/>
        <v>--- Select ---</v>
      </c>
      <c r="H230" s="62" t="s">
        <v>853</v>
      </c>
      <c r="I230" s="62" t="s">
        <v>852</v>
      </c>
      <c r="J230" s="62" t="s">
        <v>852</v>
      </c>
      <c r="L230" s="64" t="str">
        <f t="shared" si="30"/>
        <v>11.1.6</v>
      </c>
      <c r="M230" s="64" t="str">
        <f t="shared" si="28"/>
        <v>V11</v>
      </c>
      <c r="N230" s="64" t="str">
        <f t="shared" si="29"/>
        <v>V11.1</v>
      </c>
      <c r="O230" s="64" t="str">
        <f t="shared" si="31"/>
        <v>Verify the application does not suffer from "time of check to time of use" (TOCTOU) issues or other race conditions for sensitive operations.</v>
      </c>
      <c r="P230" s="64" t="str">
        <f t="shared" ca="1" si="32"/>
        <v>--- Select ---</v>
      </c>
      <c r="Q230" s="63" t="str">
        <f t="shared" si="33"/>
        <v>N</v>
      </c>
      <c r="R230" s="63" t="str">
        <f t="shared" si="34"/>
        <v>Y</v>
      </c>
      <c r="S230" s="63" t="str">
        <f t="shared" si="35"/>
        <v>Y</v>
      </c>
    </row>
    <row r="231" spans="1:19" x14ac:dyDescent="0.35">
      <c r="A231" s="63" t="s">
        <v>49</v>
      </c>
      <c r="B231" s="61" t="s">
        <v>639</v>
      </c>
      <c r="C231" s="63" t="s">
        <v>640</v>
      </c>
      <c r="D231" s="61" t="s">
        <v>641</v>
      </c>
      <c r="E231" s="63" t="s">
        <v>654</v>
      </c>
      <c r="F231" s="61" t="s">
        <v>655</v>
      </c>
      <c r="G231" s="61" t="str">
        <f t="shared" ca="1" si="27"/>
        <v>--- Select ---</v>
      </c>
      <c r="H231" s="62" t="s">
        <v>853</v>
      </c>
      <c r="I231" s="62" t="s">
        <v>852</v>
      </c>
      <c r="J231" s="62" t="s">
        <v>852</v>
      </c>
      <c r="L231" s="64" t="str">
        <f t="shared" si="30"/>
        <v>11.1.7</v>
      </c>
      <c r="M231" s="64" t="str">
        <f t="shared" si="28"/>
        <v>V11</v>
      </c>
      <c r="N231" s="64" t="str">
        <f t="shared" si="29"/>
        <v>V11.1</v>
      </c>
      <c r="O231" s="64" t="str">
        <f t="shared" si="31"/>
        <v>Verify the application monitors for unusual events or activity from a business logic perspective. For example, attempts to perform actions out of order or actions which a normal user would never attempt. (C9)</v>
      </c>
      <c r="P231" s="64" t="str">
        <f t="shared" ca="1" si="32"/>
        <v>--- Select ---</v>
      </c>
      <c r="Q231" s="63" t="str">
        <f t="shared" si="33"/>
        <v>N</v>
      </c>
      <c r="R231" s="63" t="str">
        <f t="shared" si="34"/>
        <v>Y</v>
      </c>
      <c r="S231" s="63" t="str">
        <f t="shared" si="35"/>
        <v>Y</v>
      </c>
    </row>
    <row r="232" spans="1:19" x14ac:dyDescent="0.35">
      <c r="A232" s="63" t="s">
        <v>49</v>
      </c>
      <c r="B232" s="61" t="s">
        <v>639</v>
      </c>
      <c r="C232" s="63" t="s">
        <v>640</v>
      </c>
      <c r="D232" s="61" t="s">
        <v>641</v>
      </c>
      <c r="E232" s="63" t="s">
        <v>656</v>
      </c>
      <c r="F232" s="61" t="s">
        <v>657</v>
      </c>
      <c r="G232" s="61" t="str">
        <f t="shared" ca="1" si="27"/>
        <v>--- Select ---</v>
      </c>
      <c r="H232" s="62" t="s">
        <v>853</v>
      </c>
      <c r="I232" s="62" t="s">
        <v>852</v>
      </c>
      <c r="J232" s="62" t="s">
        <v>852</v>
      </c>
      <c r="L232" s="64" t="str">
        <f t="shared" si="30"/>
        <v>11.1.8</v>
      </c>
      <c r="M232" s="64" t="str">
        <f t="shared" si="28"/>
        <v>V11</v>
      </c>
      <c r="N232" s="64" t="str">
        <f t="shared" si="29"/>
        <v>V11.1</v>
      </c>
      <c r="O232" s="64" t="str">
        <f t="shared" si="31"/>
        <v>Verify the application has configurable alerting when automated attacks or unusual activity is detected.</v>
      </c>
      <c r="P232" s="64" t="str">
        <f t="shared" ca="1" si="32"/>
        <v>--- Select ---</v>
      </c>
      <c r="Q232" s="63" t="str">
        <f t="shared" si="33"/>
        <v>N</v>
      </c>
      <c r="R232" s="63" t="str">
        <f t="shared" si="34"/>
        <v>Y</v>
      </c>
      <c r="S232" s="63" t="str">
        <f t="shared" si="35"/>
        <v>Y</v>
      </c>
    </row>
    <row r="233" spans="1:19" x14ac:dyDescent="0.35">
      <c r="A233" s="63" t="s">
        <v>661</v>
      </c>
      <c r="B233" s="61" t="s">
        <v>660</v>
      </c>
      <c r="C233" s="63" t="s">
        <v>662</v>
      </c>
      <c r="D233" s="61" t="s">
        <v>663</v>
      </c>
      <c r="E233" s="63" t="s">
        <v>664</v>
      </c>
      <c r="F233" s="61" t="s">
        <v>665</v>
      </c>
      <c r="G233" s="61" t="str">
        <f t="shared" ca="1" si="27"/>
        <v>--- Select ---</v>
      </c>
      <c r="H233" s="62" t="s">
        <v>852</v>
      </c>
      <c r="I233" s="62" t="s">
        <v>852</v>
      </c>
      <c r="J233" s="62" t="s">
        <v>852</v>
      </c>
      <c r="L233" s="64" t="str">
        <f t="shared" si="30"/>
        <v>12.1.1</v>
      </c>
      <c r="M233" s="64" t="str">
        <f t="shared" si="28"/>
        <v>V12</v>
      </c>
      <c r="N233" s="64" t="str">
        <f t="shared" si="29"/>
        <v>V12.1</v>
      </c>
      <c r="O233" s="64" t="str">
        <f t="shared" si="31"/>
        <v>Verify that the application will not accept large files that could fill up storage or cause a denial of service attack.</v>
      </c>
      <c r="P233" s="64" t="str">
        <f t="shared" ca="1" si="32"/>
        <v>--- Select ---</v>
      </c>
      <c r="Q233" s="63" t="str">
        <f t="shared" si="33"/>
        <v>Y</v>
      </c>
      <c r="R233" s="63" t="str">
        <f t="shared" si="34"/>
        <v>Y</v>
      </c>
      <c r="S233" s="63" t="str">
        <f t="shared" si="35"/>
        <v>Y</v>
      </c>
    </row>
    <row r="234" spans="1:19" x14ac:dyDescent="0.35">
      <c r="A234" s="63" t="s">
        <v>661</v>
      </c>
      <c r="B234" s="61" t="s">
        <v>660</v>
      </c>
      <c r="C234" s="63" t="s">
        <v>662</v>
      </c>
      <c r="D234" s="61" t="s">
        <v>663</v>
      </c>
      <c r="E234" s="63" t="s">
        <v>666</v>
      </c>
      <c r="F234" s="61" t="s">
        <v>667</v>
      </c>
      <c r="G234" s="61" t="str">
        <f t="shared" ca="1" si="27"/>
        <v>--- Select ---</v>
      </c>
      <c r="H234" s="62" t="s">
        <v>853</v>
      </c>
      <c r="I234" s="62" t="s">
        <v>852</v>
      </c>
      <c r="J234" s="62" t="s">
        <v>852</v>
      </c>
      <c r="L234" s="64" t="str">
        <f t="shared" si="30"/>
        <v>12.1.2</v>
      </c>
      <c r="M234" s="64" t="str">
        <f t="shared" si="28"/>
        <v>V12</v>
      </c>
      <c r="N234" s="64" t="str">
        <f t="shared" si="29"/>
        <v>V12.1</v>
      </c>
      <c r="O234" s="64" t="str">
        <f t="shared" si="31"/>
        <v>Verify that compressed files are checked for "zip bombs" - small input files that will decompress into huge files thus exhausting file storage limits.</v>
      </c>
      <c r="P234" s="64" t="str">
        <f t="shared" ca="1" si="32"/>
        <v>--- Select ---</v>
      </c>
      <c r="Q234" s="63" t="str">
        <f t="shared" si="33"/>
        <v>N</v>
      </c>
      <c r="R234" s="63" t="str">
        <f t="shared" si="34"/>
        <v>Y</v>
      </c>
      <c r="S234" s="63" t="str">
        <f t="shared" si="35"/>
        <v>Y</v>
      </c>
    </row>
    <row r="235" spans="1:19" x14ac:dyDescent="0.35">
      <c r="A235" s="63" t="s">
        <v>661</v>
      </c>
      <c r="B235" s="61" t="s">
        <v>660</v>
      </c>
      <c r="C235" s="63" t="s">
        <v>662</v>
      </c>
      <c r="D235" s="61" t="s">
        <v>663</v>
      </c>
      <c r="E235" s="63" t="s">
        <v>668</v>
      </c>
      <c r="F235" s="61" t="s">
        <v>669</v>
      </c>
      <c r="G235" s="61" t="str">
        <f t="shared" ca="1" si="27"/>
        <v>--- Select ---</v>
      </c>
      <c r="H235" s="62" t="s">
        <v>853</v>
      </c>
      <c r="I235" s="62" t="s">
        <v>852</v>
      </c>
      <c r="J235" s="62" t="s">
        <v>852</v>
      </c>
      <c r="L235" s="64" t="str">
        <f t="shared" si="30"/>
        <v>12.1.3</v>
      </c>
      <c r="M235" s="64" t="str">
        <f t="shared" si="28"/>
        <v>V12</v>
      </c>
      <c r="N235" s="64" t="str">
        <f t="shared" si="29"/>
        <v>V12.1</v>
      </c>
      <c r="O235" s="64" t="str">
        <f t="shared" si="31"/>
        <v>Verify that a file size quota and maximum number of files per user is enforced to ensure that a single user cannot fill up the storage with too many files, or excessively large files.</v>
      </c>
      <c r="P235" s="64" t="str">
        <f t="shared" ca="1" si="32"/>
        <v>--- Select ---</v>
      </c>
      <c r="Q235" s="63" t="str">
        <f t="shared" si="33"/>
        <v>N</v>
      </c>
      <c r="R235" s="63" t="str">
        <f t="shared" si="34"/>
        <v>Y</v>
      </c>
      <c r="S235" s="63" t="str">
        <f t="shared" si="35"/>
        <v>Y</v>
      </c>
    </row>
    <row r="236" spans="1:19" x14ac:dyDescent="0.35">
      <c r="A236" s="63" t="s">
        <v>661</v>
      </c>
      <c r="B236" s="61" t="s">
        <v>660</v>
      </c>
      <c r="C236" s="63" t="s">
        <v>670</v>
      </c>
      <c r="D236" s="61" t="s">
        <v>671</v>
      </c>
      <c r="E236" s="63" t="s">
        <v>672</v>
      </c>
      <c r="F236" s="61" t="s">
        <v>673</v>
      </c>
      <c r="G236" s="61" t="str">
        <f t="shared" ca="1" si="27"/>
        <v>--- Select ---</v>
      </c>
      <c r="H236" s="62" t="s">
        <v>853</v>
      </c>
      <c r="I236" s="62" t="s">
        <v>852</v>
      </c>
      <c r="J236" s="62" t="s">
        <v>852</v>
      </c>
      <c r="L236" s="64" t="str">
        <f t="shared" si="30"/>
        <v>12.2.1</v>
      </c>
      <c r="M236" s="64" t="str">
        <f t="shared" si="28"/>
        <v>V12</v>
      </c>
      <c r="N236" s="64" t="str">
        <f t="shared" si="29"/>
        <v>V12.2</v>
      </c>
      <c r="O236" s="64" t="str">
        <f t="shared" si="31"/>
        <v>Verify that files obtained from untrusted sources are validated to be of expected type based on the file's content.</v>
      </c>
      <c r="P236" s="64" t="str">
        <f t="shared" ca="1" si="32"/>
        <v>--- Select ---</v>
      </c>
      <c r="Q236" s="63" t="str">
        <f t="shared" si="33"/>
        <v>N</v>
      </c>
      <c r="R236" s="63" t="str">
        <f t="shared" si="34"/>
        <v>Y</v>
      </c>
      <c r="S236" s="63" t="str">
        <f t="shared" si="35"/>
        <v>Y</v>
      </c>
    </row>
    <row r="237" spans="1:19" x14ac:dyDescent="0.35">
      <c r="A237" s="63" t="s">
        <v>661</v>
      </c>
      <c r="B237" s="61" t="s">
        <v>660</v>
      </c>
      <c r="C237" s="63" t="s">
        <v>674</v>
      </c>
      <c r="D237" s="61" t="s">
        <v>675</v>
      </c>
      <c r="E237" s="63" t="s">
        <v>676</v>
      </c>
      <c r="F237" s="61" t="s">
        <v>677</v>
      </c>
      <c r="G237" s="61" t="str">
        <f t="shared" ca="1" si="27"/>
        <v>--- Select ---</v>
      </c>
      <c r="H237" s="62" t="s">
        <v>852</v>
      </c>
      <c r="I237" s="62" t="s">
        <v>852</v>
      </c>
      <c r="J237" s="62" t="s">
        <v>852</v>
      </c>
      <c r="L237" s="64" t="str">
        <f t="shared" si="30"/>
        <v>12.3.1</v>
      </c>
      <c r="M237" s="64" t="str">
        <f t="shared" si="28"/>
        <v>V12</v>
      </c>
      <c r="N237" s="64" t="str">
        <f t="shared" si="29"/>
        <v>V12.3</v>
      </c>
      <c r="O237" s="64" t="str">
        <f t="shared" si="31"/>
        <v>Verify that user-submitted filename metadata is not used directly with system or framework file and URL API to protect against path traversal.</v>
      </c>
      <c r="P237" s="64" t="str">
        <f t="shared" ca="1" si="32"/>
        <v>--- Select ---</v>
      </c>
      <c r="Q237" s="63" t="str">
        <f t="shared" si="33"/>
        <v>Y</v>
      </c>
      <c r="R237" s="63" t="str">
        <f t="shared" si="34"/>
        <v>Y</v>
      </c>
      <c r="S237" s="63" t="str">
        <f t="shared" si="35"/>
        <v>Y</v>
      </c>
    </row>
    <row r="238" spans="1:19" x14ac:dyDescent="0.35">
      <c r="A238" s="63" t="s">
        <v>661</v>
      </c>
      <c r="B238" s="61" t="s">
        <v>660</v>
      </c>
      <c r="C238" s="63" t="s">
        <v>674</v>
      </c>
      <c r="D238" s="61" t="s">
        <v>675</v>
      </c>
      <c r="E238" s="63" t="s">
        <v>678</v>
      </c>
      <c r="F238" s="61" t="s">
        <v>679</v>
      </c>
      <c r="G238" s="61" t="str">
        <f t="shared" ca="1" si="27"/>
        <v>--- Select ---</v>
      </c>
      <c r="H238" s="62" t="s">
        <v>852</v>
      </c>
      <c r="I238" s="62" t="s">
        <v>852</v>
      </c>
      <c r="J238" s="62" t="s">
        <v>852</v>
      </c>
      <c r="L238" s="64" t="str">
        <f t="shared" si="30"/>
        <v>12.3.2</v>
      </c>
      <c r="M238" s="64" t="str">
        <f t="shared" si="28"/>
        <v>V12</v>
      </c>
      <c r="N238" s="64" t="str">
        <f t="shared" si="29"/>
        <v>V12.3</v>
      </c>
      <c r="O238" s="64" t="str">
        <f t="shared" si="31"/>
        <v>Verify that user-submitted filename metadata is validated or ignored to prevent the disclosure, creation, updating or removal of local files (LFI).</v>
      </c>
      <c r="P238" s="64" t="str">
        <f t="shared" ca="1" si="32"/>
        <v>--- Select ---</v>
      </c>
      <c r="Q238" s="63" t="str">
        <f t="shared" si="33"/>
        <v>Y</v>
      </c>
      <c r="R238" s="63" t="str">
        <f t="shared" si="34"/>
        <v>Y</v>
      </c>
      <c r="S238" s="63" t="str">
        <f t="shared" si="35"/>
        <v>Y</v>
      </c>
    </row>
    <row r="239" spans="1:19" x14ac:dyDescent="0.35">
      <c r="A239" s="63" t="s">
        <v>661</v>
      </c>
      <c r="B239" s="61" t="s">
        <v>660</v>
      </c>
      <c r="C239" s="63" t="s">
        <v>674</v>
      </c>
      <c r="D239" s="61" t="s">
        <v>675</v>
      </c>
      <c r="E239" s="63" t="s">
        <v>680</v>
      </c>
      <c r="F239" s="61" t="s">
        <v>681</v>
      </c>
      <c r="G239" s="61" t="str">
        <f t="shared" ca="1" si="27"/>
        <v>--- Select ---</v>
      </c>
      <c r="H239" s="62" t="s">
        <v>852</v>
      </c>
      <c r="I239" s="62" t="s">
        <v>852</v>
      </c>
      <c r="J239" s="62" t="s">
        <v>852</v>
      </c>
      <c r="L239" s="64" t="str">
        <f t="shared" si="30"/>
        <v>12.3.3</v>
      </c>
      <c r="M239" s="64" t="str">
        <f t="shared" si="28"/>
        <v>V12</v>
      </c>
      <c r="N239" s="64" t="str">
        <f t="shared" si="29"/>
        <v>V12.3</v>
      </c>
      <c r="O239" s="64" t="str">
        <f t="shared" si="31"/>
        <v>Verify that user-submitted filename metadata is validated or ignored to prevent the disclosure or execution of remote files (RFI), which may also lead to SSRF.</v>
      </c>
      <c r="P239" s="64" t="str">
        <f t="shared" ca="1" si="32"/>
        <v>--- Select ---</v>
      </c>
      <c r="Q239" s="63" t="str">
        <f t="shared" si="33"/>
        <v>Y</v>
      </c>
      <c r="R239" s="63" t="str">
        <f t="shared" si="34"/>
        <v>Y</v>
      </c>
      <c r="S239" s="63" t="str">
        <f t="shared" si="35"/>
        <v>Y</v>
      </c>
    </row>
    <row r="240" spans="1:19" x14ac:dyDescent="0.35">
      <c r="A240" s="63" t="s">
        <v>661</v>
      </c>
      <c r="B240" s="61" t="s">
        <v>660</v>
      </c>
      <c r="C240" s="63" t="s">
        <v>674</v>
      </c>
      <c r="D240" s="61" t="s">
        <v>675</v>
      </c>
      <c r="E240" s="63" t="s">
        <v>682</v>
      </c>
      <c r="F240" s="61" t="s">
        <v>683</v>
      </c>
      <c r="G240" s="61" t="str">
        <f t="shared" ca="1" si="27"/>
        <v>--- Select ---</v>
      </c>
      <c r="H240" s="62" t="s">
        <v>852</v>
      </c>
      <c r="I240" s="62" t="s">
        <v>852</v>
      </c>
      <c r="J240" s="62" t="s">
        <v>852</v>
      </c>
      <c r="L240" s="64" t="str">
        <f t="shared" si="30"/>
        <v>12.3.4</v>
      </c>
      <c r="M240" s="64" t="str">
        <f t="shared" si="28"/>
        <v>V12</v>
      </c>
      <c r="N240" s="64" t="str">
        <f t="shared" si="29"/>
        <v>V12.3</v>
      </c>
      <c r="O240" s="64" t="str">
        <f t="shared" si="31"/>
        <v>Verify that the application protects against reflective file download (RFD) by validating or ignoring user-submitted filenames in a JSON, JSONP, or URL parameter, the response Content-Type header should be set to text/plain, and the Content-Disposition header should have a fixed filename.</v>
      </c>
      <c r="P240" s="64" t="str">
        <f t="shared" ca="1" si="32"/>
        <v>--- Select ---</v>
      </c>
      <c r="Q240" s="63" t="str">
        <f t="shared" si="33"/>
        <v>Y</v>
      </c>
      <c r="R240" s="63" t="str">
        <f t="shared" si="34"/>
        <v>Y</v>
      </c>
      <c r="S240" s="63" t="str">
        <f t="shared" si="35"/>
        <v>Y</v>
      </c>
    </row>
    <row r="241" spans="1:19" x14ac:dyDescent="0.35">
      <c r="A241" s="63" t="s">
        <v>661</v>
      </c>
      <c r="B241" s="61" t="s">
        <v>660</v>
      </c>
      <c r="C241" s="63" t="s">
        <v>674</v>
      </c>
      <c r="D241" s="61" t="s">
        <v>675</v>
      </c>
      <c r="E241" s="63" t="s">
        <v>684</v>
      </c>
      <c r="F241" s="61" t="s">
        <v>685</v>
      </c>
      <c r="G241" s="61" t="str">
        <f t="shared" ca="1" si="27"/>
        <v>--- Select ---</v>
      </c>
      <c r="H241" s="62" t="s">
        <v>852</v>
      </c>
      <c r="I241" s="62" t="s">
        <v>852</v>
      </c>
      <c r="J241" s="62" t="s">
        <v>852</v>
      </c>
      <c r="L241" s="64" t="str">
        <f t="shared" si="30"/>
        <v>12.3.5</v>
      </c>
      <c r="M241" s="64" t="str">
        <f t="shared" si="28"/>
        <v>V12</v>
      </c>
      <c r="N241" s="64" t="str">
        <f t="shared" si="29"/>
        <v>V12.3</v>
      </c>
      <c r="O241" s="64" t="str">
        <f t="shared" si="31"/>
        <v>Verify that untrusted file metadata is not used directly with system API or libraries, to protect against OS command injection.</v>
      </c>
      <c r="P241" s="64" t="str">
        <f t="shared" ca="1" si="32"/>
        <v>--- Select ---</v>
      </c>
      <c r="Q241" s="63" t="str">
        <f t="shared" si="33"/>
        <v>Y</v>
      </c>
      <c r="R241" s="63" t="str">
        <f t="shared" si="34"/>
        <v>Y</v>
      </c>
      <c r="S241" s="63" t="str">
        <f t="shared" si="35"/>
        <v>Y</v>
      </c>
    </row>
    <row r="242" spans="1:19" x14ac:dyDescent="0.35">
      <c r="A242" s="63" t="s">
        <v>661</v>
      </c>
      <c r="B242" s="61" t="s">
        <v>660</v>
      </c>
      <c r="C242" s="63" t="s">
        <v>674</v>
      </c>
      <c r="D242" s="61" t="s">
        <v>675</v>
      </c>
      <c r="E242" s="63" t="s">
        <v>686</v>
      </c>
      <c r="F242" s="61" t="s">
        <v>687</v>
      </c>
      <c r="G242" s="61" t="str">
        <f t="shared" ca="1" si="27"/>
        <v>--- Select ---</v>
      </c>
      <c r="H242" s="62" t="s">
        <v>852</v>
      </c>
      <c r="I242" s="62" t="s">
        <v>852</v>
      </c>
      <c r="J242" s="62" t="s">
        <v>852</v>
      </c>
      <c r="L242" s="64" t="str">
        <f t="shared" si="30"/>
        <v>12.3.6</v>
      </c>
      <c r="M242" s="64" t="str">
        <f t="shared" si="28"/>
        <v>V12</v>
      </c>
      <c r="N242" s="64" t="str">
        <f t="shared" si="29"/>
        <v>V12.3</v>
      </c>
      <c r="O242" s="64" t="str">
        <f t="shared" si="31"/>
        <v>Verify that the application does not include and execute functionality from untrusted sources, such as unverified content distribution networks, JavaScript libraries, node npm libraries, or server-side DLLs.</v>
      </c>
      <c r="P242" s="64" t="str">
        <f t="shared" ca="1" si="32"/>
        <v>--- Select ---</v>
      </c>
      <c r="Q242" s="63" t="str">
        <f t="shared" si="33"/>
        <v>Y</v>
      </c>
      <c r="R242" s="63" t="str">
        <f t="shared" si="34"/>
        <v>Y</v>
      </c>
      <c r="S242" s="63" t="str">
        <f t="shared" si="35"/>
        <v>Y</v>
      </c>
    </row>
    <row r="243" spans="1:19" x14ac:dyDescent="0.35">
      <c r="A243" s="63" t="s">
        <v>661</v>
      </c>
      <c r="B243" s="61" t="s">
        <v>660</v>
      </c>
      <c r="C243" s="63" t="s">
        <v>819</v>
      </c>
      <c r="D243" s="61" t="s">
        <v>824</v>
      </c>
      <c r="E243" s="63" t="s">
        <v>825</v>
      </c>
      <c r="F243" s="61" t="s">
        <v>826</v>
      </c>
      <c r="G243" s="61" t="str">
        <f t="shared" ca="1" si="27"/>
        <v>--- Select ---</v>
      </c>
      <c r="H243" s="62" t="s">
        <v>852</v>
      </c>
      <c r="I243" s="62" t="s">
        <v>852</v>
      </c>
      <c r="J243" s="62" t="s">
        <v>852</v>
      </c>
      <c r="L243" s="64" t="str">
        <f t="shared" si="30"/>
        <v>12.4.1</v>
      </c>
      <c r="M243" s="64" t="str">
        <f t="shared" si="28"/>
        <v>V12</v>
      </c>
      <c r="N243" s="64" t="str">
        <f t="shared" si="29"/>
        <v>V12.4</v>
      </c>
      <c r="O243" s="64" t="str">
        <f t="shared" si="31"/>
        <v>Verify that files obtained from untrusted sources are stored outside the web root, with limited permissions, preferably with strong validation.</v>
      </c>
      <c r="P243" s="64" t="str">
        <f t="shared" ca="1" si="32"/>
        <v>--- Select ---</v>
      </c>
      <c r="Q243" s="63" t="str">
        <f t="shared" si="33"/>
        <v>Y</v>
      </c>
      <c r="R243" s="63" t="str">
        <f t="shared" si="34"/>
        <v>Y</v>
      </c>
      <c r="S243" s="63" t="str">
        <f t="shared" si="35"/>
        <v>Y</v>
      </c>
    </row>
    <row r="244" spans="1:19" x14ac:dyDescent="0.35">
      <c r="A244" s="63" t="s">
        <v>661</v>
      </c>
      <c r="B244" s="61" t="s">
        <v>660</v>
      </c>
      <c r="C244" s="63" t="s">
        <v>819</v>
      </c>
      <c r="D244" s="61" t="s">
        <v>824</v>
      </c>
      <c r="E244" s="63" t="s">
        <v>827</v>
      </c>
      <c r="F244" s="61" t="s">
        <v>828</v>
      </c>
      <c r="G244" s="61" t="str">
        <f t="shared" ca="1" si="27"/>
        <v>--- Select ---</v>
      </c>
      <c r="H244" s="62" t="s">
        <v>852</v>
      </c>
      <c r="I244" s="62" t="s">
        <v>852</v>
      </c>
      <c r="J244" s="62" t="s">
        <v>852</v>
      </c>
      <c r="L244" s="64" t="str">
        <f t="shared" si="30"/>
        <v>12.4.2</v>
      </c>
      <c r="M244" s="64" t="str">
        <f t="shared" si="28"/>
        <v>V12</v>
      </c>
      <c r="N244" s="64" t="str">
        <f t="shared" si="29"/>
        <v>V12.4</v>
      </c>
      <c r="O244" s="64" t="str">
        <f t="shared" si="31"/>
        <v>Verify that files obtained from untrusted sources are scanned by antivirus scanners to prevent upload of known malicious content.</v>
      </c>
      <c r="P244" s="64" t="str">
        <f t="shared" ca="1" si="32"/>
        <v>--- Select ---</v>
      </c>
      <c r="Q244" s="63" t="str">
        <f t="shared" si="33"/>
        <v>Y</v>
      </c>
      <c r="R244" s="63" t="str">
        <f t="shared" si="34"/>
        <v>Y</v>
      </c>
      <c r="S244" s="63" t="str">
        <f t="shared" si="35"/>
        <v>Y</v>
      </c>
    </row>
    <row r="245" spans="1:19" x14ac:dyDescent="0.35">
      <c r="A245" s="63" t="s">
        <v>661</v>
      </c>
      <c r="B245" s="61" t="s">
        <v>660</v>
      </c>
      <c r="C245" s="63" t="s">
        <v>820</v>
      </c>
      <c r="D245" s="61" t="s">
        <v>823</v>
      </c>
      <c r="E245" s="63" t="s">
        <v>829</v>
      </c>
      <c r="F245" s="61" t="s">
        <v>830</v>
      </c>
      <c r="G245" s="61" t="str">
        <f t="shared" ca="1" si="27"/>
        <v>--- Select ---</v>
      </c>
      <c r="H245" s="62" t="s">
        <v>852</v>
      </c>
      <c r="I245" s="62" t="s">
        <v>852</v>
      </c>
      <c r="J245" s="62" t="s">
        <v>852</v>
      </c>
      <c r="L245" s="64" t="str">
        <f t="shared" si="30"/>
        <v>12.5.1</v>
      </c>
      <c r="M245" s="64" t="str">
        <f t="shared" si="28"/>
        <v>V12</v>
      </c>
      <c r="N245" s="64" t="str">
        <f t="shared" si="29"/>
        <v>V12.5</v>
      </c>
      <c r="O245" s="64" t="str">
        <f t="shared" si="31"/>
        <v>Verify that the web tier is configured to serve only files with specific file extensions to prevent unintentional information and source code leakage. For example, backup files (e.g. .bak), temporary working files (e.g. .swp), compressed files (.zip, .tar.gz, etc) and other extensions commonly used by editors should be blocked unless required.</v>
      </c>
      <c r="P245" s="64" t="str">
        <f t="shared" ca="1" si="32"/>
        <v>--- Select ---</v>
      </c>
      <c r="Q245" s="63" t="str">
        <f t="shared" si="33"/>
        <v>Y</v>
      </c>
      <c r="R245" s="63" t="str">
        <f t="shared" si="34"/>
        <v>Y</v>
      </c>
      <c r="S245" s="63" t="str">
        <f t="shared" si="35"/>
        <v>Y</v>
      </c>
    </row>
    <row r="246" spans="1:19" x14ac:dyDescent="0.35">
      <c r="A246" s="63" t="s">
        <v>661</v>
      </c>
      <c r="B246" s="61" t="s">
        <v>660</v>
      </c>
      <c r="C246" s="63" t="s">
        <v>820</v>
      </c>
      <c r="D246" s="61" t="s">
        <v>823</v>
      </c>
      <c r="E246" s="63" t="s">
        <v>831</v>
      </c>
      <c r="F246" s="61" t="s">
        <v>832</v>
      </c>
      <c r="G246" s="61" t="str">
        <f t="shared" ca="1" si="27"/>
        <v>--- Select ---</v>
      </c>
      <c r="H246" s="62" t="s">
        <v>852</v>
      </c>
      <c r="I246" s="62" t="s">
        <v>852</v>
      </c>
      <c r="J246" s="62" t="s">
        <v>852</v>
      </c>
      <c r="L246" s="64" t="str">
        <f t="shared" si="30"/>
        <v>12.5.2</v>
      </c>
      <c r="M246" s="64" t="str">
        <f t="shared" si="28"/>
        <v>V12</v>
      </c>
      <c r="N246" s="64" t="str">
        <f t="shared" si="29"/>
        <v>V12.5</v>
      </c>
      <c r="O246" s="64" t="str">
        <f t="shared" si="31"/>
        <v>Verify that direct requests to uploaded files will never be executed as HTML/JavaScript content.</v>
      </c>
      <c r="P246" s="64" t="str">
        <f t="shared" ca="1" si="32"/>
        <v>--- Select ---</v>
      </c>
      <c r="Q246" s="63" t="str">
        <f t="shared" si="33"/>
        <v>Y</v>
      </c>
      <c r="R246" s="63" t="str">
        <f t="shared" si="34"/>
        <v>Y</v>
      </c>
      <c r="S246" s="63" t="str">
        <f t="shared" si="35"/>
        <v>Y</v>
      </c>
    </row>
    <row r="247" spans="1:19" x14ac:dyDescent="0.35">
      <c r="A247" s="63" t="s">
        <v>661</v>
      </c>
      <c r="B247" s="61" t="s">
        <v>660</v>
      </c>
      <c r="C247" s="63" t="s">
        <v>821</v>
      </c>
      <c r="D247" s="61" t="s">
        <v>822</v>
      </c>
      <c r="E247" s="63" t="s">
        <v>833</v>
      </c>
      <c r="F247" s="61" t="s">
        <v>834</v>
      </c>
      <c r="G247" s="61" t="str">
        <f t="shared" ca="1" si="27"/>
        <v>--- Select ---</v>
      </c>
      <c r="H247" s="62" t="s">
        <v>852</v>
      </c>
      <c r="I247" s="62" t="s">
        <v>852</v>
      </c>
      <c r="J247" s="62" t="s">
        <v>852</v>
      </c>
      <c r="L247" s="64" t="str">
        <f t="shared" si="30"/>
        <v>12.6.1</v>
      </c>
      <c r="M247" s="64" t="str">
        <f t="shared" si="28"/>
        <v>V12</v>
      </c>
      <c r="N247" s="64" t="str">
        <f t="shared" si="29"/>
        <v>V12.6</v>
      </c>
      <c r="O247" s="64" t="str">
        <f t="shared" si="31"/>
        <v>Verify that the web or application server is configured with a whitelist of resources or systems to which the server can send requests or load data/files from.</v>
      </c>
      <c r="P247" s="64" t="str">
        <f t="shared" ca="1" si="32"/>
        <v>--- Select ---</v>
      </c>
      <c r="Q247" s="63" t="str">
        <f t="shared" si="33"/>
        <v>Y</v>
      </c>
      <c r="R247" s="63" t="str">
        <f t="shared" si="34"/>
        <v>Y</v>
      </c>
      <c r="S247" s="63" t="str">
        <f t="shared" si="35"/>
        <v>Y</v>
      </c>
    </row>
    <row r="248" spans="1:19" x14ac:dyDescent="0.35">
      <c r="A248" s="63" t="s">
        <v>50</v>
      </c>
      <c r="B248" s="61" t="s">
        <v>689</v>
      </c>
      <c r="C248" s="63" t="s">
        <v>690</v>
      </c>
      <c r="D248" s="61" t="s">
        <v>701</v>
      </c>
      <c r="E248" s="63" t="s">
        <v>691</v>
      </c>
      <c r="F248" s="61" t="s">
        <v>692</v>
      </c>
      <c r="G248" s="61" t="str">
        <f t="shared" ca="1" si="27"/>
        <v>--- Select ---</v>
      </c>
      <c r="H248" s="62" t="s">
        <v>852</v>
      </c>
      <c r="I248" s="62" t="s">
        <v>852</v>
      </c>
      <c r="J248" s="62" t="s">
        <v>852</v>
      </c>
      <c r="L248" s="64" t="str">
        <f t="shared" si="30"/>
        <v>13.1.1</v>
      </c>
      <c r="M248" s="64" t="str">
        <f t="shared" si="28"/>
        <v>V13</v>
      </c>
      <c r="N248" s="64" t="str">
        <f t="shared" si="29"/>
        <v>V13.1</v>
      </c>
      <c r="O248" s="64" t="str">
        <f t="shared" si="31"/>
        <v>Verify that all application components use the same encodings and parsers to avoid parsing attacks that exploit different URI or file parsing behavior that could be used in SSRF and RFI attacks.</v>
      </c>
      <c r="P248" s="64" t="str">
        <f t="shared" ca="1" si="32"/>
        <v>--- Select ---</v>
      </c>
      <c r="Q248" s="63" t="str">
        <f t="shared" si="33"/>
        <v>Y</v>
      </c>
      <c r="R248" s="63" t="str">
        <f t="shared" si="34"/>
        <v>Y</v>
      </c>
      <c r="S248" s="63" t="str">
        <f t="shared" si="35"/>
        <v>Y</v>
      </c>
    </row>
    <row r="249" spans="1:19" x14ac:dyDescent="0.35">
      <c r="A249" s="63" t="s">
        <v>50</v>
      </c>
      <c r="B249" s="61" t="s">
        <v>689</v>
      </c>
      <c r="C249" s="63" t="s">
        <v>690</v>
      </c>
      <c r="D249" s="61" t="s">
        <v>701</v>
      </c>
      <c r="E249" s="63" t="s">
        <v>693</v>
      </c>
      <c r="F249" s="61" t="s">
        <v>694</v>
      </c>
      <c r="G249" s="61" t="str">
        <f t="shared" ca="1" si="27"/>
        <v>--- Select ---</v>
      </c>
      <c r="H249" s="62" t="s">
        <v>852</v>
      </c>
      <c r="I249" s="62" t="s">
        <v>852</v>
      </c>
      <c r="J249" s="62" t="s">
        <v>852</v>
      </c>
      <c r="L249" s="64" t="str">
        <f t="shared" si="30"/>
        <v>13.1.2</v>
      </c>
      <c r="M249" s="64" t="str">
        <f t="shared" si="28"/>
        <v>V13</v>
      </c>
      <c r="N249" s="64" t="str">
        <f t="shared" si="29"/>
        <v>V13.1</v>
      </c>
      <c r="O249" s="64" t="str">
        <f t="shared" si="31"/>
        <v>Verify that access to administration and management functions is limited to authorized administrators.</v>
      </c>
      <c r="P249" s="64" t="str">
        <f t="shared" ca="1" si="32"/>
        <v>--- Select ---</v>
      </c>
      <c r="Q249" s="63" t="str">
        <f t="shared" si="33"/>
        <v>Y</v>
      </c>
      <c r="R249" s="63" t="str">
        <f t="shared" si="34"/>
        <v>Y</v>
      </c>
      <c r="S249" s="63" t="str">
        <f t="shared" si="35"/>
        <v>Y</v>
      </c>
    </row>
    <row r="250" spans="1:19" x14ac:dyDescent="0.35">
      <c r="A250" s="63" t="s">
        <v>50</v>
      </c>
      <c r="B250" s="61" t="s">
        <v>689</v>
      </c>
      <c r="C250" s="63" t="s">
        <v>690</v>
      </c>
      <c r="D250" s="61" t="s">
        <v>701</v>
      </c>
      <c r="E250" s="63" t="s">
        <v>695</v>
      </c>
      <c r="F250" s="61" t="s">
        <v>696</v>
      </c>
      <c r="G250" s="61" t="str">
        <f t="shared" ca="1" si="27"/>
        <v>--- Select ---</v>
      </c>
      <c r="H250" s="62" t="s">
        <v>852</v>
      </c>
      <c r="I250" s="62" t="s">
        <v>852</v>
      </c>
      <c r="J250" s="62" t="s">
        <v>852</v>
      </c>
      <c r="L250" s="64" t="str">
        <f t="shared" si="30"/>
        <v>13.1.3</v>
      </c>
      <c r="M250" s="64" t="str">
        <f t="shared" si="28"/>
        <v>V13</v>
      </c>
      <c r="N250" s="64" t="str">
        <f t="shared" si="29"/>
        <v>V13.1</v>
      </c>
      <c r="O250" s="64" t="str">
        <f t="shared" si="31"/>
        <v>Verify API URLs do not expose sensitive information, such as the API key, session tokens etc.</v>
      </c>
      <c r="P250" s="64" t="str">
        <f t="shared" ca="1" si="32"/>
        <v>--- Select ---</v>
      </c>
      <c r="Q250" s="63" t="str">
        <f t="shared" si="33"/>
        <v>Y</v>
      </c>
      <c r="R250" s="63" t="str">
        <f t="shared" si="34"/>
        <v>Y</v>
      </c>
      <c r="S250" s="63" t="str">
        <f t="shared" si="35"/>
        <v>Y</v>
      </c>
    </row>
    <row r="251" spans="1:19" x14ac:dyDescent="0.35">
      <c r="A251" s="63" t="s">
        <v>50</v>
      </c>
      <c r="B251" s="61" t="s">
        <v>689</v>
      </c>
      <c r="C251" s="63" t="s">
        <v>690</v>
      </c>
      <c r="D251" s="61" t="s">
        <v>701</v>
      </c>
      <c r="E251" s="63" t="s">
        <v>697</v>
      </c>
      <c r="F251" s="61" t="s">
        <v>698</v>
      </c>
      <c r="G251" s="61" t="str">
        <f t="shared" ca="1" si="27"/>
        <v>--- Select ---</v>
      </c>
      <c r="H251" s="62" t="s">
        <v>852</v>
      </c>
      <c r="I251" s="62" t="s">
        <v>852</v>
      </c>
      <c r="J251" s="62" t="s">
        <v>852</v>
      </c>
      <c r="L251" s="64" t="str">
        <f t="shared" si="30"/>
        <v>13.1.4</v>
      </c>
      <c r="M251" s="64" t="str">
        <f t="shared" si="28"/>
        <v>V13</v>
      </c>
      <c r="N251" s="64" t="str">
        <f t="shared" si="29"/>
        <v>V13.1</v>
      </c>
      <c r="O251" s="64" t="str">
        <f t="shared" si="31"/>
        <v>Verify that authorization decisions are made at both the URI, enforced by programmatic or declarative security at the controller or router, and at the resource level, enforced by model-based permissions.</v>
      </c>
      <c r="P251" s="64" t="str">
        <f t="shared" ca="1" si="32"/>
        <v>--- Select ---</v>
      </c>
      <c r="Q251" s="63" t="str">
        <f t="shared" si="33"/>
        <v>Y</v>
      </c>
      <c r="R251" s="63" t="str">
        <f t="shared" si="34"/>
        <v>Y</v>
      </c>
      <c r="S251" s="63" t="str">
        <f t="shared" si="35"/>
        <v>Y</v>
      </c>
    </row>
    <row r="252" spans="1:19" x14ac:dyDescent="0.35">
      <c r="A252" s="63" t="s">
        <v>50</v>
      </c>
      <c r="B252" s="61" t="s">
        <v>689</v>
      </c>
      <c r="C252" s="63" t="s">
        <v>690</v>
      </c>
      <c r="D252" s="61" t="s">
        <v>701</v>
      </c>
      <c r="E252" s="63" t="s">
        <v>699</v>
      </c>
      <c r="F252" s="61" t="s">
        <v>700</v>
      </c>
      <c r="G252" s="61" t="str">
        <f t="shared" ca="1" si="27"/>
        <v>--- Select ---</v>
      </c>
      <c r="H252" s="62" t="s">
        <v>852</v>
      </c>
      <c r="I252" s="62" t="s">
        <v>852</v>
      </c>
      <c r="J252" s="62" t="s">
        <v>852</v>
      </c>
      <c r="L252" s="64" t="str">
        <f t="shared" si="30"/>
        <v>13.1.5</v>
      </c>
      <c r="M252" s="64" t="str">
        <f t="shared" si="28"/>
        <v>V13</v>
      </c>
      <c r="N252" s="64" t="str">
        <f t="shared" si="29"/>
        <v>V13.1</v>
      </c>
      <c r="O252" s="64" t="str">
        <f t="shared" si="31"/>
        <v>Verify that requests containing unexpected or missing content types are rejected with appropriate headers (HTTP response status 406 Unacceptable or 415 Unsupported Media Type).</v>
      </c>
      <c r="P252" s="64" t="str">
        <f t="shared" ca="1" si="32"/>
        <v>--- Select ---</v>
      </c>
      <c r="Q252" s="63" t="str">
        <f t="shared" si="33"/>
        <v>Y</v>
      </c>
      <c r="R252" s="63" t="str">
        <f t="shared" si="34"/>
        <v>Y</v>
      </c>
      <c r="S252" s="63" t="str">
        <f t="shared" si="35"/>
        <v>Y</v>
      </c>
    </row>
    <row r="253" spans="1:19" x14ac:dyDescent="0.35">
      <c r="A253" s="63" t="s">
        <v>50</v>
      </c>
      <c r="B253" s="61" t="s">
        <v>689</v>
      </c>
      <c r="C253" s="63" t="s">
        <v>702</v>
      </c>
      <c r="D253" s="61" t="s">
        <v>703</v>
      </c>
      <c r="E253" s="63" t="s">
        <v>704</v>
      </c>
      <c r="F253" s="61" t="s">
        <v>705</v>
      </c>
      <c r="G253" s="61" t="str">
        <f t="shared" ca="1" si="27"/>
        <v>--- Select ---</v>
      </c>
      <c r="H253" s="62" t="s">
        <v>852</v>
      </c>
      <c r="I253" s="62" t="s">
        <v>852</v>
      </c>
      <c r="J253" s="62" t="s">
        <v>852</v>
      </c>
      <c r="L253" s="64" t="str">
        <f t="shared" si="30"/>
        <v>13.2.1</v>
      </c>
      <c r="M253" s="64" t="str">
        <f t="shared" si="28"/>
        <v>V13</v>
      </c>
      <c r="N253" s="64" t="str">
        <f t="shared" si="29"/>
        <v>V13.2</v>
      </c>
      <c r="O253" s="64" t="str">
        <f t="shared" si="31"/>
        <v>Verify that enabled RESTful HTTP methods are a valid choice for the user or action, such as preventing normal users using DELETE or PUT on protected API or resources.</v>
      </c>
      <c r="P253" s="64" t="str">
        <f t="shared" ca="1" si="32"/>
        <v>--- Select ---</v>
      </c>
      <c r="Q253" s="63" t="str">
        <f t="shared" si="33"/>
        <v>Y</v>
      </c>
      <c r="R253" s="63" t="str">
        <f t="shared" si="34"/>
        <v>Y</v>
      </c>
      <c r="S253" s="63" t="str">
        <f t="shared" si="35"/>
        <v>Y</v>
      </c>
    </row>
    <row r="254" spans="1:19" x14ac:dyDescent="0.35">
      <c r="A254" s="63" t="s">
        <v>50</v>
      </c>
      <c r="B254" s="61" t="s">
        <v>689</v>
      </c>
      <c r="C254" s="63" t="s">
        <v>702</v>
      </c>
      <c r="D254" s="61" t="s">
        <v>703</v>
      </c>
      <c r="E254" s="63" t="s">
        <v>706</v>
      </c>
      <c r="F254" s="61" t="s">
        <v>707</v>
      </c>
      <c r="G254" s="61" t="str">
        <f t="shared" ca="1" si="27"/>
        <v>--- Select ---</v>
      </c>
      <c r="H254" s="62" t="s">
        <v>852</v>
      </c>
      <c r="I254" s="62" t="s">
        <v>852</v>
      </c>
      <c r="J254" s="62" t="s">
        <v>852</v>
      </c>
      <c r="L254" s="64" t="str">
        <f t="shared" si="30"/>
        <v>13.2.2</v>
      </c>
      <c r="M254" s="64" t="str">
        <f t="shared" si="28"/>
        <v>V13</v>
      </c>
      <c r="N254" s="64" t="str">
        <f t="shared" si="29"/>
        <v>V13.2</v>
      </c>
      <c r="O254" s="64" t="str">
        <f t="shared" si="31"/>
        <v>Verify that JSON schema validation is in place and verified before accepting input.</v>
      </c>
      <c r="P254" s="64" t="str">
        <f t="shared" ca="1" si="32"/>
        <v>--- Select ---</v>
      </c>
      <c r="Q254" s="63" t="str">
        <f t="shared" si="33"/>
        <v>Y</v>
      </c>
      <c r="R254" s="63" t="str">
        <f t="shared" si="34"/>
        <v>Y</v>
      </c>
      <c r="S254" s="63" t="str">
        <f t="shared" si="35"/>
        <v>Y</v>
      </c>
    </row>
    <row r="255" spans="1:19" x14ac:dyDescent="0.35">
      <c r="A255" s="63" t="s">
        <v>50</v>
      </c>
      <c r="B255" s="61" t="s">
        <v>689</v>
      </c>
      <c r="C255" s="63" t="s">
        <v>702</v>
      </c>
      <c r="D255" s="61" t="s">
        <v>703</v>
      </c>
      <c r="E255" s="63" t="s">
        <v>708</v>
      </c>
      <c r="F255" s="61" t="s">
        <v>709</v>
      </c>
      <c r="G255" s="61" t="str">
        <f t="shared" ca="1" si="27"/>
        <v>--- Select ---</v>
      </c>
      <c r="H255" s="62" t="s">
        <v>852</v>
      </c>
      <c r="I255" s="62" t="s">
        <v>852</v>
      </c>
      <c r="J255" s="62" t="s">
        <v>852</v>
      </c>
      <c r="L255" s="64" t="str">
        <f t="shared" si="30"/>
        <v>13.2.3</v>
      </c>
      <c r="M255" s="64" t="str">
        <f t="shared" si="28"/>
        <v>V13</v>
      </c>
      <c r="N255" s="64" t="str">
        <f t="shared" si="29"/>
        <v>V13.2</v>
      </c>
      <c r="O255" s="64" t="str">
        <f t="shared" si="31"/>
        <v>Verify that RESTful web services that utilize cookies are protected from Cross-Site Request Forgery via the use of at least one or more of the following: triple or double submit cookie pattern (see references), CSRF nonces, or ORIGIN request header checks.</v>
      </c>
      <c r="P255" s="64" t="str">
        <f t="shared" ca="1" si="32"/>
        <v>--- Select ---</v>
      </c>
      <c r="Q255" s="63" t="str">
        <f t="shared" si="33"/>
        <v>Y</v>
      </c>
      <c r="R255" s="63" t="str">
        <f t="shared" si="34"/>
        <v>Y</v>
      </c>
      <c r="S255" s="63" t="str">
        <f t="shared" si="35"/>
        <v>Y</v>
      </c>
    </row>
    <row r="256" spans="1:19" x14ac:dyDescent="0.35">
      <c r="A256" s="63" t="s">
        <v>50</v>
      </c>
      <c r="B256" s="61" t="s">
        <v>689</v>
      </c>
      <c r="C256" s="63" t="s">
        <v>702</v>
      </c>
      <c r="D256" s="61" t="s">
        <v>703</v>
      </c>
      <c r="E256" s="63" t="s">
        <v>710</v>
      </c>
      <c r="F256" s="61" t="s">
        <v>711</v>
      </c>
      <c r="G256" s="61" t="str">
        <f t="shared" ca="1" si="27"/>
        <v>--- Select ---</v>
      </c>
      <c r="H256" s="62" t="s">
        <v>852</v>
      </c>
      <c r="I256" s="62" t="s">
        <v>852</v>
      </c>
      <c r="J256" s="62" t="s">
        <v>852</v>
      </c>
      <c r="L256" s="64" t="str">
        <f t="shared" si="30"/>
        <v>13.2.4</v>
      </c>
      <c r="M256" s="64" t="str">
        <f t="shared" si="28"/>
        <v>V13</v>
      </c>
      <c r="N256" s="64" t="str">
        <f t="shared" si="29"/>
        <v>V13.2</v>
      </c>
      <c r="O256" s="64" t="str">
        <f t="shared" si="31"/>
        <v>Verify that REST services have anti-automation controls to protect against excessive calls, especially if the API is unauthenticated.</v>
      </c>
      <c r="P256" s="64" t="str">
        <f t="shared" ca="1" si="32"/>
        <v>--- Select ---</v>
      </c>
      <c r="Q256" s="63" t="str">
        <f t="shared" si="33"/>
        <v>Y</v>
      </c>
      <c r="R256" s="63" t="str">
        <f t="shared" si="34"/>
        <v>Y</v>
      </c>
      <c r="S256" s="63" t="str">
        <f t="shared" si="35"/>
        <v>Y</v>
      </c>
    </row>
    <row r="257" spans="1:19" x14ac:dyDescent="0.35">
      <c r="A257" s="63" t="s">
        <v>50</v>
      </c>
      <c r="B257" s="61" t="s">
        <v>689</v>
      </c>
      <c r="C257" s="63" t="s">
        <v>702</v>
      </c>
      <c r="D257" s="61" t="s">
        <v>703</v>
      </c>
      <c r="E257" s="63" t="s">
        <v>712</v>
      </c>
      <c r="F257" s="61" t="s">
        <v>713</v>
      </c>
      <c r="G257" s="61" t="str">
        <f t="shared" ca="1" si="27"/>
        <v>--- Select ---</v>
      </c>
      <c r="H257" s="62" t="s">
        <v>852</v>
      </c>
      <c r="I257" s="62" t="s">
        <v>852</v>
      </c>
      <c r="J257" s="62" t="s">
        <v>852</v>
      </c>
      <c r="L257" s="64" t="str">
        <f t="shared" si="30"/>
        <v>13.2.5</v>
      </c>
      <c r="M257" s="64" t="str">
        <f t="shared" si="28"/>
        <v>V13</v>
      </c>
      <c r="N257" s="64" t="str">
        <f t="shared" si="29"/>
        <v>V13.2</v>
      </c>
      <c r="O257" s="64" t="str">
        <f t="shared" si="31"/>
        <v>Verify that REST services explicitly check the incoming Content-Type to be the expected one, such as application/xml or application/JSON.</v>
      </c>
      <c r="P257" s="64" t="str">
        <f t="shared" ca="1" si="32"/>
        <v>--- Select ---</v>
      </c>
      <c r="Q257" s="63" t="str">
        <f t="shared" si="33"/>
        <v>Y</v>
      </c>
      <c r="R257" s="63" t="str">
        <f t="shared" si="34"/>
        <v>Y</v>
      </c>
      <c r="S257" s="63" t="str">
        <f t="shared" si="35"/>
        <v>Y</v>
      </c>
    </row>
    <row r="258" spans="1:19" x14ac:dyDescent="0.35">
      <c r="A258" s="63" t="s">
        <v>50</v>
      </c>
      <c r="B258" s="61" t="s">
        <v>689</v>
      </c>
      <c r="C258" s="63" t="s">
        <v>702</v>
      </c>
      <c r="D258" s="61" t="s">
        <v>703</v>
      </c>
      <c r="E258" s="63" t="s">
        <v>714</v>
      </c>
      <c r="F258" s="61" t="s">
        <v>715</v>
      </c>
      <c r="G258" s="61" t="str">
        <f t="shared" ref="G258:G287" ca="1" si="36">IF(AND(H258=YES, SELECTED_ASSESSMENT_LEVEL = LEVEL1),INDIRECT("zANS"&amp;E258, FALSE),IF(AND(I258=YES, SELECTED_ASSESSMENT_LEVEL = LEVEL2), INDIRECT("zANS"&amp;E258, FALSE), IF(AND(J258=YES, SELECTED_ASSESSMENT_LEVEL = LEVEL3), INDIRECT("zANS"&amp;E258, FALSE), "NA")))</f>
        <v>--- Select ---</v>
      </c>
      <c r="H258" s="62" t="s">
        <v>852</v>
      </c>
      <c r="I258" s="62" t="s">
        <v>852</v>
      </c>
      <c r="J258" s="62" t="s">
        <v>852</v>
      </c>
      <c r="L258" s="64" t="str">
        <f t="shared" si="30"/>
        <v>13.2.6</v>
      </c>
      <c r="M258" s="64" t="str">
        <f t="shared" ref="M258:M287" si="37">A258</f>
        <v>V13</v>
      </c>
      <c r="N258" s="64" t="str">
        <f t="shared" ref="N258:N287" si="38">C258</f>
        <v>V13.2</v>
      </c>
      <c r="O258" s="64" t="str">
        <f t="shared" si="31"/>
        <v>Verify that the message headers and payload are trustworthy and not modified in transit. Requiring strong encryption for transport (TLS only) may be sufficient in many cases as it provides both confidentiality and integrity protection. Per-message digital signatures can provide additional assurance on top of the transport protections for high-security applications but bring with them additional complexity and risks to weigh against the benefits.</v>
      </c>
      <c r="P258" s="64" t="str">
        <f t="shared" ca="1" si="32"/>
        <v>--- Select ---</v>
      </c>
      <c r="Q258" s="63" t="str">
        <f t="shared" si="33"/>
        <v>Y</v>
      </c>
      <c r="R258" s="63" t="str">
        <f t="shared" si="34"/>
        <v>Y</v>
      </c>
      <c r="S258" s="63" t="str">
        <f t="shared" si="35"/>
        <v>Y</v>
      </c>
    </row>
    <row r="259" spans="1:19" x14ac:dyDescent="0.35">
      <c r="A259" s="63" t="s">
        <v>50</v>
      </c>
      <c r="B259" s="61" t="s">
        <v>689</v>
      </c>
      <c r="C259" s="63" t="s">
        <v>716</v>
      </c>
      <c r="D259" s="61" t="s">
        <v>717</v>
      </c>
      <c r="E259" s="63" t="s">
        <v>718</v>
      </c>
      <c r="F259" s="61" t="s">
        <v>719</v>
      </c>
      <c r="G259" s="61" t="str">
        <f t="shared" ca="1" si="36"/>
        <v>--- Select ---</v>
      </c>
      <c r="H259" s="62" t="s">
        <v>852</v>
      </c>
      <c r="I259" s="62" t="s">
        <v>852</v>
      </c>
      <c r="J259" s="62" t="s">
        <v>852</v>
      </c>
      <c r="L259" s="64" t="str">
        <f t="shared" ref="L259:L287" si="39">E259</f>
        <v>13.3.1</v>
      </c>
      <c r="M259" s="64" t="str">
        <f t="shared" si="37"/>
        <v>V13</v>
      </c>
      <c r="N259" s="64" t="str">
        <f t="shared" si="38"/>
        <v>V13.3</v>
      </c>
      <c r="O259" s="64" t="str">
        <f t="shared" ref="O259:O287" si="40">F259</f>
        <v>Verify that XSD schema validation takes place to ensure a properly formed XML document, followed by validation of each input field before any processing of that data takes place.</v>
      </c>
      <c r="P259" s="64" t="str">
        <f t="shared" ref="P259:P287" ca="1" si="41">G259</f>
        <v>--- Select ---</v>
      </c>
      <c r="Q259" s="63" t="str">
        <f t="shared" ref="Q259:Q287" si="42">H259</f>
        <v>Y</v>
      </c>
      <c r="R259" s="63" t="str">
        <f t="shared" ref="R259:R287" si="43">I259</f>
        <v>Y</v>
      </c>
      <c r="S259" s="63" t="str">
        <f t="shared" ref="S259:S287" si="44">J259</f>
        <v>Y</v>
      </c>
    </row>
    <row r="260" spans="1:19" x14ac:dyDescent="0.35">
      <c r="A260" s="63" t="s">
        <v>50</v>
      </c>
      <c r="B260" s="61" t="s">
        <v>689</v>
      </c>
      <c r="C260" s="63" t="s">
        <v>716</v>
      </c>
      <c r="D260" s="61" t="s">
        <v>717</v>
      </c>
      <c r="E260" s="63" t="s">
        <v>720</v>
      </c>
      <c r="F260" s="61" t="s">
        <v>721</v>
      </c>
      <c r="G260" s="61" t="str">
        <f t="shared" ca="1" si="36"/>
        <v>--- Select ---</v>
      </c>
      <c r="H260" s="62" t="s">
        <v>852</v>
      </c>
      <c r="I260" s="62" t="s">
        <v>852</v>
      </c>
      <c r="J260" s="62" t="s">
        <v>852</v>
      </c>
      <c r="L260" s="64" t="str">
        <f t="shared" si="39"/>
        <v>13.3.2</v>
      </c>
      <c r="M260" s="64" t="str">
        <f t="shared" si="37"/>
        <v>V13</v>
      </c>
      <c r="N260" s="64" t="str">
        <f t="shared" si="38"/>
        <v>V13.3</v>
      </c>
      <c r="O260" s="64" t="str">
        <f t="shared" si="40"/>
        <v>Verify that the message payload is signed using WS-Security to ensure reliable transport between client and service.</v>
      </c>
      <c r="P260" s="64" t="str">
        <f t="shared" ca="1" si="41"/>
        <v>--- Select ---</v>
      </c>
      <c r="Q260" s="63" t="str">
        <f t="shared" si="42"/>
        <v>Y</v>
      </c>
      <c r="R260" s="63" t="str">
        <f t="shared" si="43"/>
        <v>Y</v>
      </c>
      <c r="S260" s="63" t="str">
        <f t="shared" si="44"/>
        <v>Y</v>
      </c>
    </row>
    <row r="261" spans="1:19" x14ac:dyDescent="0.35">
      <c r="A261" s="63" t="s">
        <v>50</v>
      </c>
      <c r="B261" s="61" t="s">
        <v>689</v>
      </c>
      <c r="C261" s="63" t="s">
        <v>722</v>
      </c>
      <c r="D261" s="61" t="s">
        <v>723</v>
      </c>
      <c r="E261" s="63" t="s">
        <v>724</v>
      </c>
      <c r="F261" s="61" t="s">
        <v>725</v>
      </c>
      <c r="G261" s="61" t="str">
        <f t="shared" ca="1" si="36"/>
        <v>--- Select ---</v>
      </c>
      <c r="H261" s="62" t="s">
        <v>852</v>
      </c>
      <c r="I261" s="62" t="s">
        <v>852</v>
      </c>
      <c r="J261" s="62" t="s">
        <v>852</v>
      </c>
      <c r="L261" s="64" t="str">
        <f t="shared" si="39"/>
        <v>13.4.1</v>
      </c>
      <c r="M261" s="64" t="str">
        <f t="shared" si="37"/>
        <v>V13</v>
      </c>
      <c r="N261" s="64" t="str">
        <f t="shared" si="38"/>
        <v>V13.4</v>
      </c>
      <c r="O261" s="64" t="str">
        <f t="shared" si="40"/>
        <v>Verify that query whitelisting or a combination of depth limiting and amount limiting should be used to prevent GraphQL or data layer expression denial of service (DoS) as a result of expensive, nested queries. For more advanced scenarios, query cost analysis should be used.</v>
      </c>
      <c r="P261" s="64" t="str">
        <f t="shared" ca="1" si="41"/>
        <v>--- Select ---</v>
      </c>
      <c r="Q261" s="63" t="str">
        <f t="shared" si="42"/>
        <v>Y</v>
      </c>
      <c r="R261" s="63" t="str">
        <f t="shared" si="43"/>
        <v>Y</v>
      </c>
      <c r="S261" s="63" t="str">
        <f t="shared" si="44"/>
        <v>Y</v>
      </c>
    </row>
    <row r="262" spans="1:19" x14ac:dyDescent="0.35">
      <c r="A262" s="63" t="s">
        <v>50</v>
      </c>
      <c r="B262" s="61" t="s">
        <v>689</v>
      </c>
      <c r="C262" s="63" t="s">
        <v>722</v>
      </c>
      <c r="D262" s="61" t="s">
        <v>723</v>
      </c>
      <c r="E262" s="63" t="s">
        <v>726</v>
      </c>
      <c r="F262" s="61" t="s">
        <v>727</v>
      </c>
      <c r="G262" s="61" t="str">
        <f t="shared" ca="1" si="36"/>
        <v>--- Select ---</v>
      </c>
      <c r="H262" s="62" t="s">
        <v>852</v>
      </c>
      <c r="I262" s="62" t="s">
        <v>852</v>
      </c>
      <c r="J262" s="62" t="s">
        <v>852</v>
      </c>
      <c r="L262" s="64" t="str">
        <f t="shared" si="39"/>
        <v>13.4.2</v>
      </c>
      <c r="M262" s="64" t="str">
        <f t="shared" si="37"/>
        <v>V13</v>
      </c>
      <c r="N262" s="64" t="str">
        <f t="shared" si="38"/>
        <v>V13.4</v>
      </c>
      <c r="O262" s="64" t="str">
        <f t="shared" si="40"/>
        <v>Verify that GraphQL or other data layer authorization logic should be implemented at the business logic layer instead of the GraphQL layer.</v>
      </c>
      <c r="P262" s="64" t="str">
        <f t="shared" ca="1" si="41"/>
        <v>--- Select ---</v>
      </c>
      <c r="Q262" s="63" t="str">
        <f t="shared" si="42"/>
        <v>Y</v>
      </c>
      <c r="R262" s="63" t="str">
        <f t="shared" si="43"/>
        <v>Y</v>
      </c>
      <c r="S262" s="63" t="str">
        <f t="shared" si="44"/>
        <v>Y</v>
      </c>
    </row>
    <row r="263" spans="1:19" x14ac:dyDescent="0.35">
      <c r="A263" s="63" t="s">
        <v>731</v>
      </c>
      <c r="B263" s="61" t="s">
        <v>730</v>
      </c>
      <c r="C263" s="63" t="s">
        <v>732</v>
      </c>
      <c r="D263" s="61" t="s">
        <v>733</v>
      </c>
      <c r="E263" s="63" t="s">
        <v>734</v>
      </c>
      <c r="F263" s="61" t="s">
        <v>735</v>
      </c>
      <c r="G263" s="61" t="str">
        <f t="shared" ca="1" si="36"/>
        <v>--- Select ---</v>
      </c>
      <c r="H263" s="62" t="s">
        <v>852</v>
      </c>
      <c r="I263" s="62" t="s">
        <v>852</v>
      </c>
      <c r="J263" s="62" t="s">
        <v>852</v>
      </c>
      <c r="L263" s="64" t="str">
        <f t="shared" si="39"/>
        <v>14.1.1</v>
      </c>
      <c r="M263" s="64" t="str">
        <f t="shared" si="37"/>
        <v>V14</v>
      </c>
      <c r="N263" s="64" t="str">
        <f t="shared" si="38"/>
        <v>V14.1</v>
      </c>
      <c r="O263" s="64" t="str">
        <f t="shared" si="40"/>
        <v>Verify that the application build and deployment processes are performed in a secure and repeatable way, such as CI / CD automation, automated configuration management, and automated deployment scripts.</v>
      </c>
      <c r="P263" s="64" t="str">
        <f t="shared" ca="1" si="41"/>
        <v>--- Select ---</v>
      </c>
      <c r="Q263" s="63" t="str">
        <f t="shared" si="42"/>
        <v>Y</v>
      </c>
      <c r="R263" s="63" t="str">
        <f t="shared" si="43"/>
        <v>Y</v>
      </c>
      <c r="S263" s="63" t="str">
        <f t="shared" si="44"/>
        <v>Y</v>
      </c>
    </row>
    <row r="264" spans="1:19" x14ac:dyDescent="0.35">
      <c r="A264" s="63" t="s">
        <v>731</v>
      </c>
      <c r="B264" s="61" t="s">
        <v>730</v>
      </c>
      <c r="C264" s="63" t="s">
        <v>732</v>
      </c>
      <c r="D264" s="61" t="s">
        <v>733</v>
      </c>
      <c r="E264" s="63" t="s">
        <v>736</v>
      </c>
      <c r="F264" s="61" t="s">
        <v>737</v>
      </c>
      <c r="G264" s="61" t="str">
        <f t="shared" ca="1" si="36"/>
        <v>--- Select ---</v>
      </c>
      <c r="H264" s="62" t="s">
        <v>852</v>
      </c>
      <c r="I264" s="62" t="s">
        <v>852</v>
      </c>
      <c r="J264" s="62" t="s">
        <v>852</v>
      </c>
      <c r="L264" s="64" t="str">
        <f t="shared" si="39"/>
        <v>14.1.2</v>
      </c>
      <c r="M264" s="64" t="str">
        <f t="shared" si="37"/>
        <v>V14</v>
      </c>
      <c r="N264" s="64" t="str">
        <f t="shared" si="38"/>
        <v>V14.1</v>
      </c>
      <c r="O264" s="64" t="str">
        <f t="shared" si="40"/>
        <v>Verify that compiler flags are configured to enable all available buffer overflow protections and warnings, including stack randomization, data execution prevention, and to break the build if an unsafe pointer, memory, format string, integer, or string operations are found.</v>
      </c>
      <c r="P264" s="64" t="str">
        <f t="shared" ca="1" si="41"/>
        <v>--- Select ---</v>
      </c>
      <c r="Q264" s="63" t="str">
        <f t="shared" si="42"/>
        <v>Y</v>
      </c>
      <c r="R264" s="63" t="str">
        <f t="shared" si="43"/>
        <v>Y</v>
      </c>
      <c r="S264" s="63" t="str">
        <f t="shared" si="44"/>
        <v>Y</v>
      </c>
    </row>
    <row r="265" spans="1:19" x14ac:dyDescent="0.35">
      <c r="A265" s="63" t="s">
        <v>731</v>
      </c>
      <c r="B265" s="61" t="s">
        <v>730</v>
      </c>
      <c r="C265" s="63" t="s">
        <v>732</v>
      </c>
      <c r="D265" s="61" t="s">
        <v>733</v>
      </c>
      <c r="E265" s="63" t="s">
        <v>738</v>
      </c>
      <c r="F265" s="61" t="s">
        <v>739</v>
      </c>
      <c r="G265" s="61" t="str">
        <f t="shared" ca="1" si="36"/>
        <v>--- Select ---</v>
      </c>
      <c r="H265" s="62" t="s">
        <v>852</v>
      </c>
      <c r="I265" s="62" t="s">
        <v>852</v>
      </c>
      <c r="J265" s="62" t="s">
        <v>852</v>
      </c>
      <c r="L265" s="64" t="str">
        <f t="shared" si="39"/>
        <v>14.1.3</v>
      </c>
      <c r="M265" s="64" t="str">
        <f t="shared" si="37"/>
        <v>V14</v>
      </c>
      <c r="N265" s="64" t="str">
        <f t="shared" si="38"/>
        <v>V14.1</v>
      </c>
      <c r="O265" s="64" t="str">
        <f t="shared" si="40"/>
        <v>Verify that server configuration is hardened as per the recommendations of the application server and frameworks in use.</v>
      </c>
      <c r="P265" s="64" t="str">
        <f t="shared" ca="1" si="41"/>
        <v>--- Select ---</v>
      </c>
      <c r="Q265" s="63" t="str">
        <f t="shared" si="42"/>
        <v>Y</v>
      </c>
      <c r="R265" s="63" t="str">
        <f t="shared" si="43"/>
        <v>Y</v>
      </c>
      <c r="S265" s="63" t="str">
        <f t="shared" si="44"/>
        <v>Y</v>
      </c>
    </row>
    <row r="266" spans="1:19" x14ac:dyDescent="0.35">
      <c r="A266" s="63" t="s">
        <v>731</v>
      </c>
      <c r="B266" s="61" t="s">
        <v>730</v>
      </c>
      <c r="C266" s="63" t="s">
        <v>732</v>
      </c>
      <c r="D266" s="61" t="s">
        <v>733</v>
      </c>
      <c r="E266" s="63" t="s">
        <v>740</v>
      </c>
      <c r="F266" s="61" t="s">
        <v>741</v>
      </c>
      <c r="G266" s="61" t="str">
        <f t="shared" ca="1" si="36"/>
        <v>--- Select ---</v>
      </c>
      <c r="H266" s="62" t="s">
        <v>852</v>
      </c>
      <c r="I266" s="62" t="s">
        <v>852</v>
      </c>
      <c r="J266" s="62" t="s">
        <v>852</v>
      </c>
      <c r="L266" s="64" t="str">
        <f t="shared" si="39"/>
        <v>14.1.4</v>
      </c>
      <c r="M266" s="64" t="str">
        <f t="shared" si="37"/>
        <v>V14</v>
      </c>
      <c r="N266" s="64" t="str">
        <f t="shared" si="38"/>
        <v>V14.1</v>
      </c>
      <c r="O266" s="64" t="str">
        <f t="shared" si="40"/>
        <v>Verify that the application, configuration, and all dependencies can be re-deployed using automated deployment scripts, built from a documented and tested runbook in a reasonable time, or restored from backups in a timely fashion.</v>
      </c>
      <c r="P266" s="64" t="str">
        <f t="shared" ca="1" si="41"/>
        <v>--- Select ---</v>
      </c>
      <c r="Q266" s="63" t="str">
        <f t="shared" si="42"/>
        <v>Y</v>
      </c>
      <c r="R266" s="63" t="str">
        <f t="shared" si="43"/>
        <v>Y</v>
      </c>
      <c r="S266" s="63" t="str">
        <f t="shared" si="44"/>
        <v>Y</v>
      </c>
    </row>
    <row r="267" spans="1:19" x14ac:dyDescent="0.35">
      <c r="A267" s="63" t="s">
        <v>731</v>
      </c>
      <c r="B267" s="61" t="s">
        <v>730</v>
      </c>
      <c r="C267" s="63" t="s">
        <v>732</v>
      </c>
      <c r="D267" s="61" t="s">
        <v>733</v>
      </c>
      <c r="E267" s="63" t="s">
        <v>742</v>
      </c>
      <c r="F267" s="61" t="s">
        <v>743</v>
      </c>
      <c r="G267" s="61" t="str">
        <f t="shared" ca="1" si="36"/>
        <v>--- Select ---</v>
      </c>
      <c r="H267" s="62" t="s">
        <v>852</v>
      </c>
      <c r="I267" s="62" t="s">
        <v>853</v>
      </c>
      <c r="J267" s="62" t="s">
        <v>852</v>
      </c>
      <c r="L267" s="64" t="str">
        <f t="shared" si="39"/>
        <v>14.1.5</v>
      </c>
      <c r="M267" s="64" t="str">
        <f t="shared" si="37"/>
        <v>V14</v>
      </c>
      <c r="N267" s="64" t="str">
        <f t="shared" si="38"/>
        <v>V14.1</v>
      </c>
      <c r="O267" s="64" t="str">
        <f t="shared" si="40"/>
        <v>Verify that authorized administrators can verify the integrity of all security-relevant configurations to detect tampering.</v>
      </c>
      <c r="P267" s="64" t="str">
        <f t="shared" ca="1" si="41"/>
        <v>--- Select ---</v>
      </c>
      <c r="Q267" s="63" t="str">
        <f t="shared" si="42"/>
        <v>Y</v>
      </c>
      <c r="R267" s="63" t="str">
        <f t="shared" si="43"/>
        <v>N</v>
      </c>
      <c r="S267" s="63" t="str">
        <f t="shared" si="44"/>
        <v>Y</v>
      </c>
    </row>
    <row r="268" spans="1:19" x14ac:dyDescent="0.35">
      <c r="A268" s="63" t="s">
        <v>731</v>
      </c>
      <c r="B268" s="61" t="s">
        <v>730</v>
      </c>
      <c r="C268" s="63" t="s">
        <v>744</v>
      </c>
      <c r="D268" s="61" t="s">
        <v>745</v>
      </c>
      <c r="E268" s="63" t="s">
        <v>746</v>
      </c>
      <c r="F268" s="61" t="s">
        <v>747</v>
      </c>
      <c r="G268" s="61" t="str">
        <f t="shared" ca="1" si="36"/>
        <v>--- Select ---</v>
      </c>
      <c r="H268" s="62" t="s">
        <v>852</v>
      </c>
      <c r="I268" s="62" t="s">
        <v>852</v>
      </c>
      <c r="J268" s="62" t="s">
        <v>852</v>
      </c>
      <c r="L268" s="64" t="str">
        <f t="shared" si="39"/>
        <v>14.2.1</v>
      </c>
      <c r="M268" s="64" t="str">
        <f t="shared" si="37"/>
        <v>V14</v>
      </c>
      <c r="N268" s="64" t="str">
        <f t="shared" si="38"/>
        <v>V14.2</v>
      </c>
      <c r="O268" s="64" t="str">
        <f t="shared" si="40"/>
        <v>Verify that all components are up to date, preferably using a dependency checker during build or compile time. (C2)</v>
      </c>
      <c r="P268" s="64" t="str">
        <f t="shared" ca="1" si="41"/>
        <v>--- Select ---</v>
      </c>
      <c r="Q268" s="63" t="str">
        <f t="shared" si="42"/>
        <v>Y</v>
      </c>
      <c r="R268" s="63" t="str">
        <f t="shared" si="43"/>
        <v>Y</v>
      </c>
      <c r="S268" s="63" t="str">
        <f t="shared" si="44"/>
        <v>Y</v>
      </c>
    </row>
    <row r="269" spans="1:19" x14ac:dyDescent="0.35">
      <c r="A269" s="63" t="s">
        <v>731</v>
      </c>
      <c r="B269" s="61" t="s">
        <v>730</v>
      </c>
      <c r="C269" s="63" t="s">
        <v>744</v>
      </c>
      <c r="D269" s="61" t="s">
        <v>745</v>
      </c>
      <c r="E269" s="63" t="s">
        <v>748</v>
      </c>
      <c r="F269" s="61" t="s">
        <v>749</v>
      </c>
      <c r="G269" s="61" t="str">
        <f t="shared" ca="1" si="36"/>
        <v>--- Select ---</v>
      </c>
      <c r="H269" s="62" t="s">
        <v>852</v>
      </c>
      <c r="I269" s="62" t="s">
        <v>852</v>
      </c>
      <c r="J269" s="62" t="s">
        <v>852</v>
      </c>
      <c r="L269" s="64" t="str">
        <f t="shared" si="39"/>
        <v>14.2.2</v>
      </c>
      <c r="M269" s="64" t="str">
        <f t="shared" si="37"/>
        <v>V14</v>
      </c>
      <c r="N269" s="64" t="str">
        <f t="shared" si="38"/>
        <v>V14.2</v>
      </c>
      <c r="O269" s="64" t="str">
        <f t="shared" si="40"/>
        <v>Verify that all unneeded features, documentation, samples, configurations are removed, such as sample applications, platform documentation, and default or example users.</v>
      </c>
      <c r="P269" s="64" t="str">
        <f t="shared" ca="1" si="41"/>
        <v>--- Select ---</v>
      </c>
      <c r="Q269" s="63" t="str">
        <f t="shared" si="42"/>
        <v>Y</v>
      </c>
      <c r="R269" s="63" t="str">
        <f t="shared" si="43"/>
        <v>Y</v>
      </c>
      <c r="S269" s="63" t="str">
        <f t="shared" si="44"/>
        <v>Y</v>
      </c>
    </row>
    <row r="270" spans="1:19" x14ac:dyDescent="0.35">
      <c r="A270" s="63" t="s">
        <v>731</v>
      </c>
      <c r="B270" s="61" t="s">
        <v>730</v>
      </c>
      <c r="C270" s="63" t="s">
        <v>744</v>
      </c>
      <c r="D270" s="61" t="s">
        <v>745</v>
      </c>
      <c r="E270" s="63" t="s">
        <v>750</v>
      </c>
      <c r="F270" s="61" t="s">
        <v>751</v>
      </c>
      <c r="G270" s="61" t="str">
        <f t="shared" ca="1" si="36"/>
        <v>--- Select ---</v>
      </c>
      <c r="H270" s="62" t="s">
        <v>852</v>
      </c>
      <c r="I270" s="62" t="s">
        <v>852</v>
      </c>
      <c r="J270" s="62" t="s">
        <v>852</v>
      </c>
      <c r="L270" s="64" t="str">
        <f t="shared" si="39"/>
        <v>14.2.3</v>
      </c>
      <c r="M270" s="64" t="str">
        <f t="shared" si="37"/>
        <v>V14</v>
      </c>
      <c r="N270" s="64" t="str">
        <f t="shared" si="38"/>
        <v>V14.2</v>
      </c>
      <c r="O270" s="64" t="str">
        <f t="shared" si="40"/>
        <v>Verify that if application assets, such as JavaScript libraries, CSS stylesheets or web fonts, are hosted externally on a content delivery network (CDN) or external provider, Subresource Integrity (SRI) is used to validate the integrity of the asset.</v>
      </c>
      <c r="P270" s="64" t="str">
        <f t="shared" ca="1" si="41"/>
        <v>--- Select ---</v>
      </c>
      <c r="Q270" s="63" t="str">
        <f t="shared" si="42"/>
        <v>Y</v>
      </c>
      <c r="R270" s="63" t="str">
        <f t="shared" si="43"/>
        <v>Y</v>
      </c>
      <c r="S270" s="63" t="str">
        <f t="shared" si="44"/>
        <v>Y</v>
      </c>
    </row>
    <row r="271" spans="1:19" x14ac:dyDescent="0.35">
      <c r="A271" s="63" t="s">
        <v>731</v>
      </c>
      <c r="B271" s="61" t="s">
        <v>730</v>
      </c>
      <c r="C271" s="63" t="s">
        <v>744</v>
      </c>
      <c r="D271" s="61" t="s">
        <v>745</v>
      </c>
      <c r="E271" s="63" t="s">
        <v>752</v>
      </c>
      <c r="F271" s="61" t="s">
        <v>753</v>
      </c>
      <c r="G271" s="61" t="str">
        <f t="shared" ca="1" si="36"/>
        <v>--- Select ---</v>
      </c>
      <c r="H271" s="62" t="s">
        <v>852</v>
      </c>
      <c r="I271" s="62" t="s">
        <v>852</v>
      </c>
      <c r="J271" s="62" t="s">
        <v>852</v>
      </c>
      <c r="L271" s="64" t="str">
        <f t="shared" si="39"/>
        <v>14.2.4</v>
      </c>
      <c r="M271" s="64" t="str">
        <f t="shared" si="37"/>
        <v>V14</v>
      </c>
      <c r="N271" s="64" t="str">
        <f t="shared" si="38"/>
        <v>V14.2</v>
      </c>
      <c r="O271" s="64" t="str">
        <f t="shared" si="40"/>
        <v>Verify that third party components come from pre-defined, trusted and continually maintained repositories. (C2)</v>
      </c>
      <c r="P271" s="64" t="str">
        <f t="shared" ca="1" si="41"/>
        <v>--- Select ---</v>
      </c>
      <c r="Q271" s="63" t="str">
        <f t="shared" si="42"/>
        <v>Y</v>
      </c>
      <c r="R271" s="63" t="str">
        <f t="shared" si="43"/>
        <v>Y</v>
      </c>
      <c r="S271" s="63" t="str">
        <f t="shared" si="44"/>
        <v>Y</v>
      </c>
    </row>
    <row r="272" spans="1:19" x14ac:dyDescent="0.35">
      <c r="A272" s="63" t="s">
        <v>731</v>
      </c>
      <c r="B272" s="61" t="s">
        <v>730</v>
      </c>
      <c r="C272" s="63" t="s">
        <v>744</v>
      </c>
      <c r="D272" s="61" t="s">
        <v>745</v>
      </c>
      <c r="E272" s="63" t="s">
        <v>754</v>
      </c>
      <c r="F272" s="61" t="s">
        <v>755</v>
      </c>
      <c r="G272" s="61" t="str">
        <f t="shared" ca="1" si="36"/>
        <v>--- Select ---</v>
      </c>
      <c r="H272" s="62" t="s">
        <v>852</v>
      </c>
      <c r="I272" s="62" t="s">
        <v>852</v>
      </c>
      <c r="J272" s="62" t="s">
        <v>852</v>
      </c>
      <c r="L272" s="64" t="str">
        <f t="shared" si="39"/>
        <v>14.2.5</v>
      </c>
      <c r="M272" s="64" t="str">
        <f t="shared" si="37"/>
        <v>V14</v>
      </c>
      <c r="N272" s="64" t="str">
        <f t="shared" si="38"/>
        <v>V14.2</v>
      </c>
      <c r="O272" s="64" t="str">
        <f t="shared" si="40"/>
        <v>Verify that an inventory catalog is maintained of all third party libraries in use. (C2)</v>
      </c>
      <c r="P272" s="64" t="str">
        <f t="shared" ca="1" si="41"/>
        <v>--- Select ---</v>
      </c>
      <c r="Q272" s="63" t="str">
        <f t="shared" si="42"/>
        <v>Y</v>
      </c>
      <c r="R272" s="63" t="str">
        <f t="shared" si="43"/>
        <v>Y</v>
      </c>
      <c r="S272" s="63" t="str">
        <f t="shared" si="44"/>
        <v>Y</v>
      </c>
    </row>
    <row r="273" spans="1:19" x14ac:dyDescent="0.35">
      <c r="A273" s="63" t="s">
        <v>731</v>
      </c>
      <c r="B273" s="61" t="s">
        <v>730</v>
      </c>
      <c r="C273" s="63" t="s">
        <v>744</v>
      </c>
      <c r="D273" s="61" t="s">
        <v>745</v>
      </c>
      <c r="E273" s="63" t="s">
        <v>756</v>
      </c>
      <c r="F273" s="61" t="s">
        <v>757</v>
      </c>
      <c r="G273" s="61" t="str">
        <f t="shared" ca="1" si="36"/>
        <v>--- Select ---</v>
      </c>
      <c r="H273" s="62" t="s">
        <v>852</v>
      </c>
      <c r="I273" s="62" t="s">
        <v>852</v>
      </c>
      <c r="J273" s="62" t="s">
        <v>852</v>
      </c>
      <c r="L273" s="64" t="str">
        <f t="shared" si="39"/>
        <v>14.2.6</v>
      </c>
      <c r="M273" s="64" t="str">
        <f t="shared" si="37"/>
        <v>V14</v>
      </c>
      <c r="N273" s="64" t="str">
        <f t="shared" si="38"/>
        <v>V14.2</v>
      </c>
      <c r="O273" s="64" t="str">
        <f t="shared" si="40"/>
        <v>Verify that the attack surface is reduced by sandboxing or encapsulating third party libraries to expose only the required behaviour into the application. (C2)</v>
      </c>
      <c r="P273" s="64" t="str">
        <f t="shared" ca="1" si="41"/>
        <v>--- Select ---</v>
      </c>
      <c r="Q273" s="63" t="str">
        <f t="shared" si="42"/>
        <v>Y</v>
      </c>
      <c r="R273" s="63" t="str">
        <f t="shared" si="43"/>
        <v>Y</v>
      </c>
      <c r="S273" s="63" t="str">
        <f t="shared" si="44"/>
        <v>Y</v>
      </c>
    </row>
    <row r="274" spans="1:19" x14ac:dyDescent="0.35">
      <c r="A274" s="63" t="s">
        <v>731</v>
      </c>
      <c r="B274" s="61" t="s">
        <v>730</v>
      </c>
      <c r="C274" s="63" t="s">
        <v>758</v>
      </c>
      <c r="D274" s="61" t="s">
        <v>759</v>
      </c>
      <c r="E274" s="63" t="s">
        <v>760</v>
      </c>
      <c r="F274" s="61" t="s">
        <v>761</v>
      </c>
      <c r="G274" s="61" t="str">
        <f t="shared" ca="1" si="36"/>
        <v>--- Select ---</v>
      </c>
      <c r="H274" s="62" t="s">
        <v>852</v>
      </c>
      <c r="I274" s="62" t="s">
        <v>852</v>
      </c>
      <c r="J274" s="62" t="s">
        <v>852</v>
      </c>
      <c r="L274" s="64" t="str">
        <f t="shared" si="39"/>
        <v>14.3.1</v>
      </c>
      <c r="M274" s="64" t="str">
        <f t="shared" si="37"/>
        <v>V14</v>
      </c>
      <c r="N274" s="64" t="str">
        <f t="shared" si="38"/>
        <v>V14.3</v>
      </c>
      <c r="O274" s="64" t="str">
        <f t="shared" si="40"/>
        <v>Verify that web or application server and framework error messages are configured to deliver user actionable, customized responses to eliminate any unintended security disclosures.</v>
      </c>
      <c r="P274" s="64" t="str">
        <f t="shared" ca="1" si="41"/>
        <v>--- Select ---</v>
      </c>
      <c r="Q274" s="63" t="str">
        <f t="shared" si="42"/>
        <v>Y</v>
      </c>
      <c r="R274" s="63" t="str">
        <f t="shared" si="43"/>
        <v>Y</v>
      </c>
      <c r="S274" s="63" t="str">
        <f t="shared" si="44"/>
        <v>Y</v>
      </c>
    </row>
    <row r="275" spans="1:19" x14ac:dyDescent="0.35">
      <c r="A275" s="63" t="s">
        <v>731</v>
      </c>
      <c r="B275" s="61" t="s">
        <v>730</v>
      </c>
      <c r="C275" s="63" t="s">
        <v>758</v>
      </c>
      <c r="D275" s="61" t="s">
        <v>759</v>
      </c>
      <c r="E275" s="63" t="s">
        <v>762</v>
      </c>
      <c r="F275" s="61" t="s">
        <v>763</v>
      </c>
      <c r="G275" s="61" t="str">
        <f t="shared" ca="1" si="36"/>
        <v>--- Select ---</v>
      </c>
      <c r="H275" s="62" t="s">
        <v>852</v>
      </c>
      <c r="I275" s="62" t="s">
        <v>852</v>
      </c>
      <c r="J275" s="62" t="s">
        <v>852</v>
      </c>
      <c r="L275" s="64" t="str">
        <f t="shared" si="39"/>
        <v>14.3.2</v>
      </c>
      <c r="M275" s="64" t="str">
        <f t="shared" si="37"/>
        <v>V14</v>
      </c>
      <c r="N275" s="64" t="str">
        <f t="shared" si="38"/>
        <v>V14.3</v>
      </c>
      <c r="O275" s="64" t="str">
        <f t="shared" si="40"/>
        <v>Verify that web or application server and application framework debug modes are disabled in production to eliminate debug features, developer consoles, and unintended security disclosures.</v>
      </c>
      <c r="P275" s="64" t="str">
        <f t="shared" ca="1" si="41"/>
        <v>--- Select ---</v>
      </c>
      <c r="Q275" s="63" t="str">
        <f t="shared" si="42"/>
        <v>Y</v>
      </c>
      <c r="R275" s="63" t="str">
        <f t="shared" si="43"/>
        <v>Y</v>
      </c>
      <c r="S275" s="63" t="str">
        <f t="shared" si="44"/>
        <v>Y</v>
      </c>
    </row>
    <row r="276" spans="1:19" x14ac:dyDescent="0.35">
      <c r="A276" s="63" t="s">
        <v>731</v>
      </c>
      <c r="B276" s="61" t="s">
        <v>730</v>
      </c>
      <c r="C276" s="63" t="s">
        <v>758</v>
      </c>
      <c r="D276" s="61" t="s">
        <v>759</v>
      </c>
      <c r="E276" s="63" t="s">
        <v>764</v>
      </c>
      <c r="F276" s="61" t="s">
        <v>22</v>
      </c>
      <c r="G276" s="61" t="str">
        <f t="shared" ca="1" si="36"/>
        <v>--- Select ---</v>
      </c>
      <c r="H276" s="62" t="s">
        <v>852</v>
      </c>
      <c r="I276" s="62" t="s">
        <v>852</v>
      </c>
      <c r="J276" s="62" t="s">
        <v>852</v>
      </c>
      <c r="L276" s="64" t="str">
        <f t="shared" si="39"/>
        <v>14.3.3</v>
      </c>
      <c r="M276" s="64" t="str">
        <f t="shared" si="37"/>
        <v>V14</v>
      </c>
      <c r="N276" s="64" t="str">
        <f t="shared" si="38"/>
        <v>V14.3</v>
      </c>
      <c r="O276" s="64" t="str">
        <f t="shared" si="40"/>
        <v>Verify that the HTTP headers or any part of the HTTP response do not expose detailed version information of system components.</v>
      </c>
      <c r="P276" s="64" t="str">
        <f t="shared" ca="1" si="41"/>
        <v>--- Select ---</v>
      </c>
      <c r="Q276" s="63" t="str">
        <f t="shared" si="42"/>
        <v>Y</v>
      </c>
      <c r="R276" s="63" t="str">
        <f t="shared" si="43"/>
        <v>Y</v>
      </c>
      <c r="S276" s="63" t="str">
        <f t="shared" si="44"/>
        <v>Y</v>
      </c>
    </row>
    <row r="277" spans="1:19" x14ac:dyDescent="0.35">
      <c r="A277" s="63" t="s">
        <v>731</v>
      </c>
      <c r="B277" s="61" t="s">
        <v>730</v>
      </c>
      <c r="C277" s="63" t="s">
        <v>765</v>
      </c>
      <c r="D277" s="61" t="s">
        <v>766</v>
      </c>
      <c r="E277" s="63" t="s">
        <v>767</v>
      </c>
      <c r="F277" s="61" t="s">
        <v>20</v>
      </c>
      <c r="G277" s="61" t="str">
        <f t="shared" ca="1" si="36"/>
        <v>--- Select ---</v>
      </c>
      <c r="H277" s="62" t="s">
        <v>852</v>
      </c>
      <c r="I277" s="62" t="s">
        <v>852</v>
      </c>
      <c r="J277" s="62" t="s">
        <v>852</v>
      </c>
      <c r="L277" s="64" t="str">
        <f t="shared" si="39"/>
        <v>14.4.1</v>
      </c>
      <c r="M277" s="64" t="str">
        <f t="shared" si="37"/>
        <v>V14</v>
      </c>
      <c r="N277" s="64" t="str">
        <f t="shared" si="38"/>
        <v>V14.4</v>
      </c>
      <c r="O277" s="64" t="str">
        <f t="shared" si="40"/>
        <v>Verify that every HTTP response contains a content type header specifying a safe character set (e.g., UTF-8, ISO 8859-1).</v>
      </c>
      <c r="P277" s="64" t="str">
        <f t="shared" ca="1" si="41"/>
        <v>--- Select ---</v>
      </c>
      <c r="Q277" s="63" t="str">
        <f t="shared" si="42"/>
        <v>Y</v>
      </c>
      <c r="R277" s="63" t="str">
        <f t="shared" si="43"/>
        <v>Y</v>
      </c>
      <c r="S277" s="63" t="str">
        <f t="shared" si="44"/>
        <v>Y</v>
      </c>
    </row>
    <row r="278" spans="1:19" x14ac:dyDescent="0.35">
      <c r="A278" s="63" t="s">
        <v>731</v>
      </c>
      <c r="B278" s="61" t="s">
        <v>730</v>
      </c>
      <c r="C278" s="63" t="s">
        <v>765</v>
      </c>
      <c r="D278" s="61" t="s">
        <v>766</v>
      </c>
      <c r="E278" s="63" t="s">
        <v>768</v>
      </c>
      <c r="F278" s="61" t="s">
        <v>769</v>
      </c>
      <c r="G278" s="61" t="str">
        <f t="shared" ca="1" si="36"/>
        <v>--- Select ---</v>
      </c>
      <c r="H278" s="62" t="s">
        <v>852</v>
      </c>
      <c r="I278" s="62" t="s">
        <v>852</v>
      </c>
      <c r="J278" s="62" t="s">
        <v>852</v>
      </c>
      <c r="L278" s="64" t="str">
        <f t="shared" si="39"/>
        <v>14.4.2</v>
      </c>
      <c r="M278" s="64" t="str">
        <f t="shared" si="37"/>
        <v>V14</v>
      </c>
      <c r="N278" s="64" t="str">
        <f t="shared" si="38"/>
        <v>V14.4</v>
      </c>
      <c r="O278" s="64" t="str">
        <f t="shared" si="40"/>
        <v>Verify that all API responses contain Content-Disposition: attachment; filename="api.json" (or other appropriate filename for the content type).</v>
      </c>
      <c r="P278" s="64" t="str">
        <f t="shared" ca="1" si="41"/>
        <v>--- Select ---</v>
      </c>
      <c r="Q278" s="63" t="str">
        <f t="shared" si="42"/>
        <v>Y</v>
      </c>
      <c r="R278" s="63" t="str">
        <f t="shared" si="43"/>
        <v>Y</v>
      </c>
      <c r="S278" s="63" t="str">
        <f t="shared" si="44"/>
        <v>Y</v>
      </c>
    </row>
    <row r="279" spans="1:19" x14ac:dyDescent="0.35">
      <c r="A279" s="63" t="s">
        <v>731</v>
      </c>
      <c r="B279" s="61" t="s">
        <v>730</v>
      </c>
      <c r="C279" s="63" t="s">
        <v>765</v>
      </c>
      <c r="D279" s="61" t="s">
        <v>766</v>
      </c>
      <c r="E279" s="63" t="s">
        <v>770</v>
      </c>
      <c r="F279" s="61" t="s">
        <v>771</v>
      </c>
      <c r="G279" s="61" t="str">
        <f t="shared" ca="1" si="36"/>
        <v>--- Select ---</v>
      </c>
      <c r="H279" s="62" t="s">
        <v>852</v>
      </c>
      <c r="I279" s="62" t="s">
        <v>852</v>
      </c>
      <c r="J279" s="62" t="s">
        <v>852</v>
      </c>
      <c r="L279" s="64" t="str">
        <f t="shared" si="39"/>
        <v>14.4.3</v>
      </c>
      <c r="M279" s="64" t="str">
        <f t="shared" si="37"/>
        <v>V14</v>
      </c>
      <c r="N279" s="64" t="str">
        <f t="shared" si="38"/>
        <v>V14.4</v>
      </c>
      <c r="O279" s="64" t="str">
        <f t="shared" si="40"/>
        <v>Verify that a content security policy (CSPv2) is in place that helps mitigate impact for XSS attacks like HTML, DOM, JSON, and JavaScript injection vulnerabilities.</v>
      </c>
      <c r="P279" s="64" t="str">
        <f t="shared" ca="1" si="41"/>
        <v>--- Select ---</v>
      </c>
      <c r="Q279" s="63" t="str">
        <f t="shared" si="42"/>
        <v>Y</v>
      </c>
      <c r="R279" s="63" t="str">
        <f t="shared" si="43"/>
        <v>Y</v>
      </c>
      <c r="S279" s="63" t="str">
        <f t="shared" si="44"/>
        <v>Y</v>
      </c>
    </row>
    <row r="280" spans="1:19" x14ac:dyDescent="0.35">
      <c r="A280" s="63" t="s">
        <v>731</v>
      </c>
      <c r="B280" s="61" t="s">
        <v>730</v>
      </c>
      <c r="C280" s="63" t="s">
        <v>765</v>
      </c>
      <c r="D280" s="61" t="s">
        <v>766</v>
      </c>
      <c r="E280" s="63" t="s">
        <v>772</v>
      </c>
      <c r="F280" s="61" t="s">
        <v>773</v>
      </c>
      <c r="G280" s="61" t="str">
        <f t="shared" ca="1" si="36"/>
        <v>--- Select ---</v>
      </c>
      <c r="H280" s="62" t="s">
        <v>852</v>
      </c>
      <c r="I280" s="62" t="s">
        <v>852</v>
      </c>
      <c r="J280" s="62" t="s">
        <v>852</v>
      </c>
      <c r="L280" s="64" t="str">
        <f t="shared" si="39"/>
        <v>14.4.4</v>
      </c>
      <c r="M280" s="64" t="str">
        <f t="shared" si="37"/>
        <v>V14</v>
      </c>
      <c r="N280" s="64" t="str">
        <f t="shared" si="38"/>
        <v>V14.4</v>
      </c>
      <c r="O280" s="64" t="str">
        <f t="shared" si="40"/>
        <v>Verify that all responses contain X-Content-Type-Options: nosniff.</v>
      </c>
      <c r="P280" s="64" t="str">
        <f t="shared" ca="1" si="41"/>
        <v>--- Select ---</v>
      </c>
      <c r="Q280" s="63" t="str">
        <f t="shared" si="42"/>
        <v>Y</v>
      </c>
      <c r="R280" s="63" t="str">
        <f t="shared" si="43"/>
        <v>Y</v>
      </c>
      <c r="S280" s="63" t="str">
        <f t="shared" si="44"/>
        <v>Y</v>
      </c>
    </row>
    <row r="281" spans="1:19" x14ac:dyDescent="0.35">
      <c r="A281" s="63" t="s">
        <v>731</v>
      </c>
      <c r="B281" s="61" t="s">
        <v>730</v>
      </c>
      <c r="C281" s="63" t="s">
        <v>765</v>
      </c>
      <c r="D281" s="61" t="s">
        <v>766</v>
      </c>
      <c r="E281" s="63" t="s">
        <v>774</v>
      </c>
      <c r="F281" s="61" t="s">
        <v>775</v>
      </c>
      <c r="G281" s="61" t="str">
        <f t="shared" ca="1" si="36"/>
        <v>--- Select ---</v>
      </c>
      <c r="H281" s="62" t="s">
        <v>852</v>
      </c>
      <c r="I281" s="62" t="s">
        <v>852</v>
      </c>
      <c r="J281" s="62" t="s">
        <v>852</v>
      </c>
      <c r="L281" s="64" t="str">
        <f t="shared" si="39"/>
        <v>14.4.5</v>
      </c>
      <c r="M281" s="64" t="str">
        <f t="shared" si="37"/>
        <v>V14</v>
      </c>
      <c r="N281" s="64" t="str">
        <f t="shared" si="38"/>
        <v>V14.4</v>
      </c>
      <c r="O281" s="64" t="str">
        <f t="shared" si="40"/>
        <v>Verify that HTTP Strict Transport Security headers are included on all responses and for all subdomains, such as Strict-Transport-Security: max-age=15724800; includeSubdomains.</v>
      </c>
      <c r="P281" s="64" t="str">
        <f t="shared" ca="1" si="41"/>
        <v>--- Select ---</v>
      </c>
      <c r="Q281" s="63" t="str">
        <f t="shared" si="42"/>
        <v>Y</v>
      </c>
      <c r="R281" s="63" t="str">
        <f t="shared" si="43"/>
        <v>Y</v>
      </c>
      <c r="S281" s="63" t="str">
        <f t="shared" si="44"/>
        <v>Y</v>
      </c>
    </row>
    <row r="282" spans="1:19" x14ac:dyDescent="0.35">
      <c r="A282" s="63" t="s">
        <v>731</v>
      </c>
      <c r="B282" s="61" t="s">
        <v>730</v>
      </c>
      <c r="C282" s="63" t="s">
        <v>765</v>
      </c>
      <c r="D282" s="61" t="s">
        <v>766</v>
      </c>
      <c r="E282" s="63" t="s">
        <v>776</v>
      </c>
      <c r="F282" s="61" t="s">
        <v>777</v>
      </c>
      <c r="G282" s="61" t="str">
        <f t="shared" ca="1" si="36"/>
        <v>--- Select ---</v>
      </c>
      <c r="H282" s="62" t="s">
        <v>852</v>
      </c>
      <c r="I282" s="62" t="s">
        <v>852</v>
      </c>
      <c r="J282" s="62" t="s">
        <v>852</v>
      </c>
      <c r="L282" s="64" t="str">
        <f t="shared" si="39"/>
        <v>14.4.6</v>
      </c>
      <c r="M282" s="64" t="str">
        <f t="shared" si="37"/>
        <v>V14</v>
      </c>
      <c r="N282" s="64" t="str">
        <f t="shared" si="38"/>
        <v>V14.4</v>
      </c>
      <c r="O282" s="64" t="str">
        <f t="shared" si="40"/>
        <v>Verify that a suitable "Referrer-Policy" header is included, such as "no-referrer" or "same-origin".</v>
      </c>
      <c r="P282" s="64" t="str">
        <f t="shared" ca="1" si="41"/>
        <v>--- Select ---</v>
      </c>
      <c r="Q282" s="63" t="str">
        <f t="shared" si="42"/>
        <v>Y</v>
      </c>
      <c r="R282" s="63" t="str">
        <f t="shared" si="43"/>
        <v>Y</v>
      </c>
      <c r="S282" s="63" t="str">
        <f t="shared" si="44"/>
        <v>Y</v>
      </c>
    </row>
    <row r="283" spans="1:19" x14ac:dyDescent="0.35">
      <c r="A283" s="63" t="s">
        <v>731</v>
      </c>
      <c r="B283" s="61" t="s">
        <v>730</v>
      </c>
      <c r="C283" s="63" t="s">
        <v>765</v>
      </c>
      <c r="D283" s="61" t="s">
        <v>766</v>
      </c>
      <c r="E283" s="63" t="s">
        <v>778</v>
      </c>
      <c r="F283" s="61" t="s">
        <v>779</v>
      </c>
      <c r="G283" s="61" t="str">
        <f t="shared" ca="1" si="36"/>
        <v>--- Select ---</v>
      </c>
      <c r="H283" s="62" t="s">
        <v>852</v>
      </c>
      <c r="I283" s="62" t="s">
        <v>852</v>
      </c>
      <c r="J283" s="62" t="s">
        <v>852</v>
      </c>
      <c r="L283" s="64" t="str">
        <f t="shared" si="39"/>
        <v>14.4.7</v>
      </c>
      <c r="M283" s="64" t="str">
        <f t="shared" si="37"/>
        <v>V14</v>
      </c>
      <c r="N283" s="64" t="str">
        <f t="shared" si="38"/>
        <v>V14.4</v>
      </c>
      <c r="O283" s="64" t="str">
        <f t="shared" si="40"/>
        <v>Verify that a suitable X-Frame-Options or Content-Security-Policy: frame-ancestors header is in use for sites where content should not be embedded in a third-party site.</v>
      </c>
      <c r="P283" s="64" t="str">
        <f t="shared" ca="1" si="41"/>
        <v>--- Select ---</v>
      </c>
      <c r="Q283" s="63" t="str">
        <f t="shared" si="42"/>
        <v>Y</v>
      </c>
      <c r="R283" s="63" t="str">
        <f t="shared" si="43"/>
        <v>Y</v>
      </c>
      <c r="S283" s="63" t="str">
        <f t="shared" si="44"/>
        <v>Y</v>
      </c>
    </row>
    <row r="284" spans="1:19" x14ac:dyDescent="0.35">
      <c r="A284" s="63" t="s">
        <v>731</v>
      </c>
      <c r="B284" s="61" t="s">
        <v>730</v>
      </c>
      <c r="C284" s="63" t="s">
        <v>780</v>
      </c>
      <c r="D284" s="61" t="s">
        <v>781</v>
      </c>
      <c r="E284" s="63" t="s">
        <v>782</v>
      </c>
      <c r="F284" s="61" t="s">
        <v>783</v>
      </c>
      <c r="G284" s="61" t="str">
        <f t="shared" ca="1" si="36"/>
        <v>--- Select ---</v>
      </c>
      <c r="H284" s="62" t="s">
        <v>852</v>
      </c>
      <c r="I284" s="62" t="s">
        <v>852</v>
      </c>
      <c r="J284" s="62" t="s">
        <v>852</v>
      </c>
      <c r="L284" s="64" t="str">
        <f t="shared" si="39"/>
        <v>14.5.1</v>
      </c>
      <c r="M284" s="64" t="str">
        <f t="shared" si="37"/>
        <v>V14</v>
      </c>
      <c r="N284" s="64" t="str">
        <f t="shared" si="38"/>
        <v>V14.5</v>
      </c>
      <c r="O284" s="64" t="str">
        <f t="shared" si="40"/>
        <v>Verify that the application server only accepts the HTTP methods in use by the application or API, including pre-flight OPTIONS.</v>
      </c>
      <c r="P284" s="64" t="str">
        <f t="shared" ca="1" si="41"/>
        <v>--- Select ---</v>
      </c>
      <c r="Q284" s="63" t="str">
        <f t="shared" si="42"/>
        <v>Y</v>
      </c>
      <c r="R284" s="63" t="str">
        <f t="shared" si="43"/>
        <v>Y</v>
      </c>
      <c r="S284" s="63" t="str">
        <f t="shared" si="44"/>
        <v>Y</v>
      </c>
    </row>
    <row r="285" spans="1:19" x14ac:dyDescent="0.35">
      <c r="A285" s="63" t="s">
        <v>731</v>
      </c>
      <c r="B285" s="61" t="s">
        <v>730</v>
      </c>
      <c r="C285" s="63" t="s">
        <v>780</v>
      </c>
      <c r="D285" s="61" t="s">
        <v>781</v>
      </c>
      <c r="E285" s="63" t="s">
        <v>784</v>
      </c>
      <c r="F285" s="61" t="s">
        <v>785</v>
      </c>
      <c r="G285" s="61" t="str">
        <f t="shared" ca="1" si="36"/>
        <v>--- Select ---</v>
      </c>
      <c r="H285" s="62" t="s">
        <v>852</v>
      </c>
      <c r="I285" s="62" t="s">
        <v>852</v>
      </c>
      <c r="J285" s="62" t="s">
        <v>852</v>
      </c>
      <c r="L285" s="64" t="str">
        <f t="shared" si="39"/>
        <v>14.5.2</v>
      </c>
      <c r="M285" s="64" t="str">
        <f t="shared" si="37"/>
        <v>V14</v>
      </c>
      <c r="N285" s="64" t="str">
        <f t="shared" si="38"/>
        <v>V14.5</v>
      </c>
      <c r="O285" s="64" t="str">
        <f t="shared" si="40"/>
        <v>Verify that the supplied Origin header is not used for authentication or access control decisions, as the Origin header can easily be changed by an attacker.</v>
      </c>
      <c r="P285" s="64" t="str">
        <f t="shared" ca="1" si="41"/>
        <v>--- Select ---</v>
      </c>
      <c r="Q285" s="63" t="str">
        <f t="shared" si="42"/>
        <v>Y</v>
      </c>
      <c r="R285" s="63" t="str">
        <f t="shared" si="43"/>
        <v>Y</v>
      </c>
      <c r="S285" s="63" t="str">
        <f t="shared" si="44"/>
        <v>Y</v>
      </c>
    </row>
    <row r="286" spans="1:19" x14ac:dyDescent="0.35">
      <c r="A286" s="63" t="s">
        <v>731</v>
      </c>
      <c r="B286" s="61" t="s">
        <v>730</v>
      </c>
      <c r="C286" s="63" t="s">
        <v>780</v>
      </c>
      <c r="D286" s="61" t="s">
        <v>781</v>
      </c>
      <c r="E286" s="63" t="s">
        <v>786</v>
      </c>
      <c r="F286" s="61" t="s">
        <v>787</v>
      </c>
      <c r="G286" s="61" t="str">
        <f t="shared" ca="1" si="36"/>
        <v>--- Select ---</v>
      </c>
      <c r="H286" s="62" t="s">
        <v>852</v>
      </c>
      <c r="I286" s="62" t="s">
        <v>852</v>
      </c>
      <c r="J286" s="62" t="s">
        <v>852</v>
      </c>
      <c r="L286" s="64" t="str">
        <f t="shared" si="39"/>
        <v>14.5.3</v>
      </c>
      <c r="M286" s="64" t="str">
        <f t="shared" si="37"/>
        <v>V14</v>
      </c>
      <c r="N286" s="64" t="str">
        <f t="shared" si="38"/>
        <v>V14.5</v>
      </c>
      <c r="O286" s="64" t="str">
        <f t="shared" si="40"/>
        <v>Verify that the cross-domain resource sharing (CORS) Access-Control-Allow-Origin header uses a strict white-list of trusted domains to match against and does not support the "null" origin.</v>
      </c>
      <c r="P286" s="64" t="str">
        <f t="shared" ca="1" si="41"/>
        <v>--- Select ---</v>
      </c>
      <c r="Q286" s="63" t="str">
        <f t="shared" si="42"/>
        <v>Y</v>
      </c>
      <c r="R286" s="63" t="str">
        <f t="shared" si="43"/>
        <v>Y</v>
      </c>
      <c r="S286" s="63" t="str">
        <f t="shared" si="44"/>
        <v>Y</v>
      </c>
    </row>
    <row r="287" spans="1:19" x14ac:dyDescent="0.35">
      <c r="A287" s="63" t="s">
        <v>731</v>
      </c>
      <c r="B287" s="61" t="s">
        <v>730</v>
      </c>
      <c r="C287" s="63" t="s">
        <v>780</v>
      </c>
      <c r="D287" s="61" t="s">
        <v>781</v>
      </c>
      <c r="E287" s="63" t="s">
        <v>788</v>
      </c>
      <c r="F287" s="61" t="s">
        <v>21</v>
      </c>
      <c r="G287" s="61" t="str">
        <f t="shared" ca="1" si="36"/>
        <v>--- Select ---</v>
      </c>
      <c r="H287" s="62" t="s">
        <v>852</v>
      </c>
      <c r="I287" s="62" t="s">
        <v>852</v>
      </c>
      <c r="J287" s="62" t="s">
        <v>852</v>
      </c>
      <c r="L287" s="64" t="str">
        <f t="shared" si="39"/>
        <v>14.5.4</v>
      </c>
      <c r="M287" s="64" t="str">
        <f t="shared" si="37"/>
        <v>V14</v>
      </c>
      <c r="N287" s="64" t="str">
        <f t="shared" si="38"/>
        <v>V14.5</v>
      </c>
      <c r="O287" s="64" t="str">
        <f t="shared" si="40"/>
        <v>Verify that HTTP headers added by a trusted proxy or SSO devices, such as a bearer token, are authenticated by the application.</v>
      </c>
      <c r="P287" s="64" t="str">
        <f t="shared" ca="1" si="41"/>
        <v>--- Select ---</v>
      </c>
      <c r="Q287" s="63" t="str">
        <f t="shared" si="42"/>
        <v>Y</v>
      </c>
      <c r="R287" s="63" t="str">
        <f t="shared" si="43"/>
        <v>Y</v>
      </c>
      <c r="S287" s="63" t="str">
        <f t="shared" si="44"/>
        <v>Y</v>
      </c>
    </row>
  </sheetData>
  <sheetProtection algorithmName="SHA-512" hashValue="8RJlYc1rj6MTi6u/yhdUV36+kw6xBGW+WDTXiAtdSHrG6sTNj/Z4VY65UvrCo8HZmx271JPFGSZfZ+U8xFc/HQ==" saltValue="6G6O5e6+5Pk8acLANoiNOw==" spinCount="100000" sheet="1" objects="1" scenarios="1" formatCells="0"/>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47545-39BE-45C0-8C6B-8CF98BA74B63}">
  <sheetPr codeName="Sheet3"/>
  <dimension ref="A1:C18"/>
  <sheetViews>
    <sheetView showGridLines="0" showRowColHeaders="0" workbookViewId="0">
      <pane xSplit="1" ySplit="1" topLeftCell="B2" activePane="bottomRight" state="frozen"/>
      <selection pane="topRight" activeCell="B1" sqref="B1"/>
      <selection pane="bottomLeft" activeCell="A3" sqref="A3"/>
      <selection pane="bottomRight"/>
    </sheetView>
  </sheetViews>
  <sheetFormatPr defaultColWidth="9.1796875" defaultRowHeight="14.5" x14ac:dyDescent="0.35"/>
  <cols>
    <col min="1" max="1" width="12.453125" style="3" customWidth="1"/>
    <col min="2" max="2" width="42.54296875" style="19" customWidth="1"/>
    <col min="3" max="3" width="121" style="3" customWidth="1"/>
    <col min="4" max="16384" width="9.1796875" style="3"/>
  </cols>
  <sheetData>
    <row r="1" spans="1:3" ht="18" customHeight="1" thickTop="1" thickBot="1" x14ac:dyDescent="0.45">
      <c r="A1" s="87" t="s">
        <v>26</v>
      </c>
      <c r="B1" s="88" t="s">
        <v>24</v>
      </c>
      <c r="C1" s="87" t="s">
        <v>59</v>
      </c>
    </row>
    <row r="2" spans="1:3" ht="102.5" thickTop="1" thickBot="1" x14ac:dyDescent="0.4">
      <c r="A2" s="14" t="s">
        <v>0</v>
      </c>
      <c r="B2" s="15" t="s">
        <v>1</v>
      </c>
      <c r="C2" s="15" t="s">
        <v>173</v>
      </c>
    </row>
    <row r="3" spans="1:3" ht="160.5" thickTop="1" thickBot="1" x14ac:dyDescent="0.4">
      <c r="A3" s="14" t="s">
        <v>2</v>
      </c>
      <c r="B3" s="15" t="s">
        <v>174</v>
      </c>
      <c r="C3" s="15" t="s">
        <v>327</v>
      </c>
    </row>
    <row r="4" spans="1:3" ht="59" thickTop="1" thickBot="1" x14ac:dyDescent="0.4">
      <c r="A4" s="14" t="s">
        <v>3</v>
      </c>
      <c r="B4" s="15" t="s">
        <v>328</v>
      </c>
      <c r="C4" s="15" t="s">
        <v>386</v>
      </c>
    </row>
    <row r="5" spans="1:3" ht="73.5" thickTop="1" thickBot="1" x14ac:dyDescent="0.4">
      <c r="A5" s="14" t="s">
        <v>4</v>
      </c>
      <c r="B5" s="15" t="s">
        <v>387</v>
      </c>
      <c r="C5" s="15" t="s">
        <v>411</v>
      </c>
    </row>
    <row r="6" spans="1:3" ht="407" thickTop="1" thickBot="1" x14ac:dyDescent="0.4">
      <c r="A6" s="14" t="s">
        <v>5</v>
      </c>
      <c r="B6" s="15" t="s">
        <v>412</v>
      </c>
      <c r="C6" s="15" t="s">
        <v>475</v>
      </c>
    </row>
    <row r="7" spans="1:3" ht="59" thickTop="1" thickBot="1" x14ac:dyDescent="0.4">
      <c r="A7" s="14" t="s">
        <v>478</v>
      </c>
      <c r="B7" s="15" t="s">
        <v>476</v>
      </c>
      <c r="C7" s="15" t="s">
        <v>517</v>
      </c>
    </row>
    <row r="8" spans="1:3" ht="30" thickTop="1" thickBot="1" x14ac:dyDescent="0.4">
      <c r="A8" s="14" t="s">
        <v>6</v>
      </c>
      <c r="B8" s="15" t="s">
        <v>518</v>
      </c>
      <c r="C8" s="15" t="s">
        <v>550</v>
      </c>
    </row>
    <row r="9" spans="1:3" ht="117" thickTop="1" thickBot="1" x14ac:dyDescent="0.4">
      <c r="A9" s="14" t="s">
        <v>7</v>
      </c>
      <c r="B9" s="15" t="s">
        <v>551</v>
      </c>
      <c r="C9" s="15" t="s">
        <v>590</v>
      </c>
    </row>
    <row r="10" spans="1:3" ht="131.5" thickTop="1" thickBot="1" x14ac:dyDescent="0.4">
      <c r="A10" s="14" t="s">
        <v>8</v>
      </c>
      <c r="B10" s="15" t="s">
        <v>591</v>
      </c>
      <c r="C10" s="15" t="s">
        <v>610</v>
      </c>
    </row>
    <row r="11" spans="1:3" ht="59" thickTop="1" thickBot="1" x14ac:dyDescent="0.4">
      <c r="A11" s="14" t="s">
        <v>9</v>
      </c>
      <c r="B11" s="15" t="s">
        <v>611</v>
      </c>
      <c r="C11" s="15" t="s">
        <v>638</v>
      </c>
    </row>
    <row r="12" spans="1:3" ht="117" thickTop="1" thickBot="1" x14ac:dyDescent="0.4">
      <c r="A12" s="14" t="s">
        <v>10</v>
      </c>
      <c r="B12" s="15" t="s">
        <v>639</v>
      </c>
      <c r="C12" s="15" t="s">
        <v>658</v>
      </c>
    </row>
    <row r="13" spans="1:3" ht="88" thickTop="1" thickBot="1" x14ac:dyDescent="0.4">
      <c r="A13" s="14" t="s">
        <v>659</v>
      </c>
      <c r="B13" s="15" t="s">
        <v>660</v>
      </c>
      <c r="C13" s="15" t="s">
        <v>688</v>
      </c>
    </row>
    <row r="14" spans="1:3" ht="233" thickTop="1" thickBot="1" x14ac:dyDescent="0.4">
      <c r="A14" s="14" t="s">
        <v>11</v>
      </c>
      <c r="B14" s="15" t="s">
        <v>689</v>
      </c>
      <c r="C14" s="15" t="s">
        <v>728</v>
      </c>
    </row>
    <row r="15" spans="1:3" ht="189.5" thickTop="1" thickBot="1" x14ac:dyDescent="0.4">
      <c r="A15" s="14" t="s">
        <v>729</v>
      </c>
      <c r="B15" s="15" t="s">
        <v>730</v>
      </c>
      <c r="C15" s="15" t="s">
        <v>789</v>
      </c>
    </row>
    <row r="16" spans="1:3" s="13" customFormat="1" ht="30" thickTop="1" thickBot="1" x14ac:dyDescent="0.4">
      <c r="A16" s="14" t="s">
        <v>836</v>
      </c>
      <c r="B16" s="15" t="s">
        <v>848</v>
      </c>
      <c r="C16" s="15" t="s">
        <v>849</v>
      </c>
    </row>
    <row r="17" spans="1:3" s="13" customFormat="1" ht="88" thickTop="1" thickBot="1" x14ac:dyDescent="0.4">
      <c r="A17" s="14" t="s">
        <v>836</v>
      </c>
      <c r="B17" s="15" t="s">
        <v>837</v>
      </c>
      <c r="C17" s="49" t="s">
        <v>838</v>
      </c>
    </row>
    <row r="18" spans="1:3" ht="15" thickTop="1" x14ac:dyDescent="0.35"/>
  </sheetData>
  <sheetProtection algorithmName="SHA-512" hashValue="MFHbFhmIo+NBUfmBxjGrAYfQCvSD6RK6Hu15uaBNut+ZPfO+E765XWsEf8Kf6l+eEyE7XKo/tnAGaaw55J5ldg==" saltValue="S5I0tE2Sr/zYT3MioCEZdw==" spinCount="100000" sheet="1" objects="1" scenarios="1" formatCells="0"/>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93A0E-4A72-44C5-89C8-FC638506C9CC}">
  <sheetPr codeName="Sheet4"/>
  <dimension ref="A1:M142"/>
  <sheetViews>
    <sheetView topLeftCell="A121" workbookViewId="0">
      <selection activeCell="A142" sqref="A142"/>
    </sheetView>
  </sheetViews>
  <sheetFormatPr defaultColWidth="9.1796875" defaultRowHeight="14.5" x14ac:dyDescent="0.35"/>
  <cols>
    <col min="1" max="1" width="26" style="3" customWidth="1"/>
    <col min="2" max="4" width="8.81640625" style="3" customWidth="1"/>
    <col min="5" max="5" width="12.453125" style="3" customWidth="1"/>
    <col min="6" max="16384" width="9.1796875" style="3"/>
  </cols>
  <sheetData>
    <row r="1" spans="1:13" s="13" customFormat="1" ht="19" thickBot="1" x14ac:dyDescent="0.5">
      <c r="A1" s="8" t="s">
        <v>27</v>
      </c>
      <c r="B1" s="8"/>
      <c r="C1" s="8"/>
      <c r="D1" s="8"/>
      <c r="E1" s="8"/>
      <c r="F1" s="8"/>
      <c r="G1" s="8"/>
      <c r="H1" s="8"/>
      <c r="I1" s="8"/>
      <c r="J1" s="8"/>
      <c r="K1" s="8"/>
      <c r="L1" s="8"/>
      <c r="M1" s="8"/>
    </row>
    <row r="2" spans="1:13" ht="19" thickTop="1" x14ac:dyDescent="0.45">
      <c r="A2" s="9" t="s">
        <v>28</v>
      </c>
    </row>
    <row r="3" spans="1:13" ht="18.5" x14ac:dyDescent="0.45">
      <c r="A3" s="9" t="s">
        <v>29</v>
      </c>
    </row>
    <row r="4" spans="1:13" ht="18.5" x14ac:dyDescent="0.45">
      <c r="A4" s="9" t="s">
        <v>30</v>
      </c>
    </row>
    <row r="5" spans="1:13" ht="18.5" x14ac:dyDescent="0.45">
      <c r="A5" s="10" t="s">
        <v>32</v>
      </c>
    </row>
    <row r="7" spans="1:13" s="13" customFormat="1" ht="19" thickBot="1" x14ac:dyDescent="0.5">
      <c r="A7" s="8" t="s">
        <v>33</v>
      </c>
      <c r="B7" s="8"/>
      <c r="C7" s="8"/>
      <c r="D7" s="8"/>
      <c r="E7" s="8"/>
      <c r="F7" s="8"/>
      <c r="G7" s="8"/>
      <c r="H7" s="8"/>
      <c r="I7" s="8"/>
      <c r="J7" s="8"/>
      <c r="K7" s="8"/>
      <c r="L7" s="8"/>
      <c r="M7" s="8"/>
    </row>
    <row r="8" spans="1:13" ht="19" thickTop="1" x14ac:dyDescent="0.45">
      <c r="A8" s="9" t="s">
        <v>36</v>
      </c>
    </row>
    <row r="9" spans="1:13" ht="18.5" x14ac:dyDescent="0.45">
      <c r="A9" s="9" t="s">
        <v>34</v>
      </c>
    </row>
    <row r="10" spans="1:13" ht="18.5" x14ac:dyDescent="0.45">
      <c r="A10" s="9" t="s">
        <v>35</v>
      </c>
    </row>
    <row r="11" spans="1:13" ht="18.5" x14ac:dyDescent="0.45">
      <c r="A11" s="10"/>
    </row>
    <row r="12" spans="1:13" s="13" customFormat="1" ht="19" thickBot="1" x14ac:dyDescent="0.5">
      <c r="A12" s="8" t="s">
        <v>56</v>
      </c>
      <c r="B12" s="8"/>
      <c r="C12" s="8"/>
      <c r="D12" s="8"/>
      <c r="E12" s="8"/>
      <c r="F12" s="8"/>
      <c r="G12" s="8"/>
      <c r="H12" s="8"/>
      <c r="I12" s="8"/>
      <c r="J12" s="8"/>
      <c r="K12" s="8"/>
      <c r="L12" s="8"/>
      <c r="M12" s="8"/>
    </row>
    <row r="13" spans="1:13" ht="19" thickTop="1" x14ac:dyDescent="0.45">
      <c r="A13" s="9" t="s">
        <v>57</v>
      </c>
    </row>
    <row r="14" spans="1:13" ht="18.5" x14ac:dyDescent="0.45">
      <c r="A14" s="9" t="s">
        <v>58</v>
      </c>
    </row>
    <row r="17" spans="1:13" ht="19" thickBot="1" x14ac:dyDescent="0.5">
      <c r="A17" s="8" t="s">
        <v>62</v>
      </c>
      <c r="B17" s="8"/>
      <c r="C17" s="8"/>
      <c r="D17" s="8"/>
      <c r="E17" s="8"/>
      <c r="F17" s="8"/>
      <c r="G17" s="8"/>
      <c r="H17" s="8"/>
      <c r="I17" s="8"/>
      <c r="J17" s="8"/>
      <c r="K17" s="8"/>
      <c r="L17" s="8"/>
      <c r="M17" s="8"/>
    </row>
    <row r="18" spans="1:13" s="17" customFormat="1" ht="19" thickTop="1" x14ac:dyDescent="0.45">
      <c r="A18" s="17">
        <v>11</v>
      </c>
      <c r="B18" s="17" t="s">
        <v>40</v>
      </c>
    </row>
    <row r="19" spans="1:13" s="17" customFormat="1" ht="18.5" x14ac:dyDescent="0.45">
      <c r="A19" s="17">
        <v>26</v>
      </c>
      <c r="B19" s="17" t="s">
        <v>41</v>
      </c>
    </row>
    <row r="20" spans="1:13" s="17" customFormat="1" ht="18.5" x14ac:dyDescent="0.45">
      <c r="A20" s="17">
        <v>13</v>
      </c>
      <c r="B20" s="17" t="s">
        <v>42</v>
      </c>
    </row>
    <row r="21" spans="1:13" s="17" customFormat="1" ht="18.5" x14ac:dyDescent="0.45">
      <c r="A21" s="17">
        <v>12</v>
      </c>
      <c r="B21" s="17" t="s">
        <v>43</v>
      </c>
    </row>
    <row r="22" spans="1:13" s="17" customFormat="1" ht="18.5" x14ac:dyDescent="0.45">
      <c r="A22" s="17">
        <v>21</v>
      </c>
      <c r="B22" s="17" t="s">
        <v>44</v>
      </c>
    </row>
    <row r="23" spans="1:13" s="17" customFormat="1" ht="18.5" x14ac:dyDescent="0.45">
      <c r="A23" s="17">
        <v>10</v>
      </c>
      <c r="B23" s="17" t="s">
        <v>45</v>
      </c>
    </row>
    <row r="24" spans="1:13" s="17" customFormat="1" ht="18.5" x14ac:dyDescent="0.45">
      <c r="A24" s="17">
        <v>13</v>
      </c>
      <c r="B24" s="17" t="s">
        <v>46</v>
      </c>
    </row>
    <row r="25" spans="1:13" s="17" customFormat="1" ht="18.5" x14ac:dyDescent="0.45">
      <c r="A25" s="17">
        <v>6</v>
      </c>
      <c r="B25" s="17" t="s">
        <v>47</v>
      </c>
    </row>
    <row r="26" spans="1:13" s="17" customFormat="1" ht="18.5" x14ac:dyDescent="0.45">
      <c r="A26" s="17">
        <v>13</v>
      </c>
      <c r="B26" s="17" t="s">
        <v>48</v>
      </c>
    </row>
    <row r="27" spans="1:13" s="17" customFormat="1" ht="18.5" x14ac:dyDescent="0.45">
      <c r="A27" s="17">
        <v>8</v>
      </c>
      <c r="B27" s="17" t="s">
        <v>49</v>
      </c>
    </row>
    <row r="28" spans="1:13" s="17" customFormat="1" ht="18.5" x14ac:dyDescent="0.45">
      <c r="A28" s="17">
        <v>2</v>
      </c>
      <c r="B28" s="17" t="s">
        <v>50</v>
      </c>
    </row>
    <row r="29" spans="1:13" s="17" customFormat="1" ht="18.5" x14ac:dyDescent="0.45">
      <c r="A29" s="17">
        <v>2</v>
      </c>
      <c r="B29" s="17" t="s">
        <v>51</v>
      </c>
    </row>
    <row r="30" spans="1:13" s="17" customFormat="1" ht="18.5" x14ac:dyDescent="0.45">
      <c r="A30" s="17">
        <v>9</v>
      </c>
      <c r="B30" s="17" t="s">
        <v>52</v>
      </c>
    </row>
    <row r="31" spans="1:13" s="17" customFormat="1" ht="18.5" x14ac:dyDescent="0.45">
      <c r="A31" s="17">
        <v>10</v>
      </c>
      <c r="B31" s="17" t="s">
        <v>53</v>
      </c>
    </row>
    <row r="32" spans="1:13" s="17" customFormat="1" ht="18.5" x14ac:dyDescent="0.45">
      <c r="A32" s="17">
        <v>10</v>
      </c>
      <c r="B32" s="17" t="s">
        <v>54</v>
      </c>
    </row>
    <row r="33" spans="1:13" s="17" customFormat="1" ht="18.5" x14ac:dyDescent="0.45">
      <c r="A33" s="17">
        <v>10</v>
      </c>
      <c r="B33" s="17" t="s">
        <v>55</v>
      </c>
    </row>
    <row r="35" spans="1:13" s="13" customFormat="1" ht="37.5" thickBot="1" x14ac:dyDescent="0.5">
      <c r="A35" s="45" t="s">
        <v>811</v>
      </c>
      <c r="B35" s="44" t="s">
        <v>816</v>
      </c>
      <c r="C35" s="44" t="s">
        <v>817</v>
      </c>
      <c r="D35" s="44" t="s">
        <v>818</v>
      </c>
      <c r="E35" s="8"/>
      <c r="F35" s="8"/>
      <c r="G35" s="8"/>
      <c r="H35" s="8"/>
      <c r="I35" s="8"/>
      <c r="J35" s="8"/>
      <c r="K35" s="8"/>
      <c r="L35" s="8"/>
      <c r="M35" s="8"/>
    </row>
    <row r="36" spans="1:13" s="17" customFormat="1" ht="19" thickTop="1" x14ac:dyDescent="0.45">
      <c r="A36" s="35">
        <v>42</v>
      </c>
      <c r="B36" s="35">
        <f t="shared" ref="B36:D36" si="0">SUM(B37:B48)</f>
        <v>0</v>
      </c>
      <c r="C36" s="35">
        <f t="shared" si="0"/>
        <v>41</v>
      </c>
      <c r="D36" s="35">
        <f t="shared" si="0"/>
        <v>42</v>
      </c>
      <c r="E36" s="36" t="s">
        <v>40</v>
      </c>
      <c r="F36" s="17" t="s">
        <v>172</v>
      </c>
    </row>
    <row r="37" spans="1:13" s="17" customFormat="1" ht="18.5" x14ac:dyDescent="0.45">
      <c r="A37" s="35">
        <v>7</v>
      </c>
      <c r="B37" s="17">
        <v>0</v>
      </c>
      <c r="C37" s="17">
        <v>7</v>
      </c>
      <c r="D37" s="17">
        <v>7</v>
      </c>
      <c r="E37" s="36" t="s">
        <v>78</v>
      </c>
      <c r="F37" s="17" t="s">
        <v>63</v>
      </c>
    </row>
    <row r="38" spans="1:13" s="17" customFormat="1" ht="18.5" x14ac:dyDescent="0.45">
      <c r="A38" s="35">
        <v>4</v>
      </c>
      <c r="B38" s="17">
        <v>0</v>
      </c>
      <c r="C38" s="17">
        <v>4</v>
      </c>
      <c r="D38" s="17">
        <v>4</v>
      </c>
      <c r="E38" s="36" t="s">
        <v>88</v>
      </c>
      <c r="F38" s="17" t="s">
        <v>89</v>
      </c>
    </row>
    <row r="39" spans="1:13" s="17" customFormat="1" ht="18.5" x14ac:dyDescent="0.45">
      <c r="A39" s="35">
        <v>5</v>
      </c>
      <c r="B39" s="17">
        <v>0</v>
      </c>
      <c r="C39" s="17">
        <v>5</v>
      </c>
      <c r="D39" s="17">
        <v>5</v>
      </c>
      <c r="E39" s="36" t="s">
        <v>90</v>
      </c>
      <c r="F39" s="17" t="s">
        <v>91</v>
      </c>
    </row>
    <row r="40" spans="1:13" s="17" customFormat="1" ht="18.5" x14ac:dyDescent="0.45">
      <c r="A40" s="35">
        <v>4</v>
      </c>
      <c r="B40" s="17">
        <v>0</v>
      </c>
      <c r="C40" s="17">
        <v>4</v>
      </c>
      <c r="D40" s="17">
        <v>4</v>
      </c>
      <c r="E40" s="36" t="s">
        <v>102</v>
      </c>
      <c r="F40" s="17" t="s">
        <v>103</v>
      </c>
    </row>
    <row r="41" spans="1:13" s="17" customFormat="1" ht="18.5" x14ac:dyDescent="0.45">
      <c r="A41" s="35">
        <v>4</v>
      </c>
      <c r="B41" s="17">
        <v>0</v>
      </c>
      <c r="C41" s="17">
        <v>4</v>
      </c>
      <c r="D41" s="17">
        <v>4</v>
      </c>
      <c r="E41" s="36" t="s">
        <v>112</v>
      </c>
      <c r="F41" s="17" t="s">
        <v>113</v>
      </c>
    </row>
    <row r="42" spans="1:13" s="17" customFormat="1" ht="18.5" x14ac:dyDescent="0.45">
      <c r="A42" s="35">
        <v>2</v>
      </c>
      <c r="B42" s="17">
        <v>0</v>
      </c>
      <c r="C42" s="17">
        <v>2</v>
      </c>
      <c r="D42" s="17">
        <v>2</v>
      </c>
      <c r="E42" s="36" t="s">
        <v>122</v>
      </c>
      <c r="F42" s="17" t="s">
        <v>123</v>
      </c>
    </row>
    <row r="43" spans="1:13" s="17" customFormat="1" ht="18.5" x14ac:dyDescent="0.45">
      <c r="A43" s="35">
        <v>2</v>
      </c>
      <c r="B43" s="17">
        <v>0</v>
      </c>
      <c r="C43" s="17">
        <v>2</v>
      </c>
      <c r="D43" s="17">
        <v>2</v>
      </c>
      <c r="E43" s="36" t="s">
        <v>128</v>
      </c>
      <c r="F43" s="17" t="s">
        <v>129</v>
      </c>
    </row>
    <row r="44" spans="1:13" s="17" customFormat="1" ht="18.5" x14ac:dyDescent="0.45">
      <c r="A44" s="35">
        <v>2</v>
      </c>
      <c r="B44" s="17">
        <v>0</v>
      </c>
      <c r="C44" s="17">
        <v>2</v>
      </c>
      <c r="D44" s="17">
        <v>2</v>
      </c>
      <c r="E44" s="36" t="s">
        <v>134</v>
      </c>
      <c r="F44" s="17" t="s">
        <v>135</v>
      </c>
    </row>
    <row r="45" spans="1:13" s="17" customFormat="1" ht="18.5" x14ac:dyDescent="0.45">
      <c r="A45" s="35">
        <v>1</v>
      </c>
      <c r="B45" s="17">
        <v>0</v>
      </c>
      <c r="C45" s="17">
        <v>1</v>
      </c>
      <c r="D45" s="17">
        <v>1</v>
      </c>
      <c r="E45" s="36" t="s">
        <v>140</v>
      </c>
      <c r="F45" s="17" t="s">
        <v>141</v>
      </c>
    </row>
    <row r="46" spans="1:13" s="17" customFormat="1" ht="18.5" x14ac:dyDescent="0.45">
      <c r="A46" s="35">
        <v>3</v>
      </c>
      <c r="B46" s="17">
        <v>0</v>
      </c>
      <c r="C46" s="17">
        <v>2</v>
      </c>
      <c r="D46" s="17">
        <v>3</v>
      </c>
      <c r="E46" s="36" t="s">
        <v>144</v>
      </c>
      <c r="F46" s="17" t="s">
        <v>145</v>
      </c>
    </row>
    <row r="47" spans="1:13" s="17" customFormat="1" ht="18.5" x14ac:dyDescent="0.45">
      <c r="A47" s="35">
        <v>2</v>
      </c>
      <c r="B47" s="17">
        <v>0</v>
      </c>
      <c r="C47" s="17">
        <v>2</v>
      </c>
      <c r="D47" s="17">
        <v>2</v>
      </c>
      <c r="E47" s="36" t="s">
        <v>152</v>
      </c>
      <c r="F47" s="17" t="s">
        <v>153</v>
      </c>
    </row>
    <row r="48" spans="1:13" s="17" customFormat="1" ht="18.5" x14ac:dyDescent="0.45">
      <c r="A48" s="35">
        <v>6</v>
      </c>
      <c r="B48" s="17">
        <v>0</v>
      </c>
      <c r="C48" s="17">
        <v>6</v>
      </c>
      <c r="D48" s="17">
        <v>6</v>
      </c>
      <c r="E48" s="36" t="s">
        <v>158</v>
      </c>
      <c r="F48" s="17" t="s">
        <v>159</v>
      </c>
    </row>
    <row r="49" spans="1:6" s="17" customFormat="1" ht="18.5" x14ac:dyDescent="0.45">
      <c r="A49" s="35">
        <v>57</v>
      </c>
      <c r="B49" s="35">
        <f t="shared" ref="B49:D49" si="1">SUM(B50:B59)</f>
        <v>27</v>
      </c>
      <c r="C49" s="35">
        <f t="shared" si="1"/>
        <v>53</v>
      </c>
      <c r="D49" s="35">
        <f t="shared" si="1"/>
        <v>57</v>
      </c>
      <c r="E49" s="36" t="s">
        <v>41</v>
      </c>
      <c r="F49" s="17" t="s">
        <v>174</v>
      </c>
    </row>
    <row r="50" spans="1:6" s="17" customFormat="1" ht="18.5" x14ac:dyDescent="0.45">
      <c r="A50" s="35">
        <v>12</v>
      </c>
      <c r="B50" s="17">
        <v>12</v>
      </c>
      <c r="C50" s="17">
        <v>12</v>
      </c>
      <c r="D50" s="17">
        <v>12</v>
      </c>
      <c r="E50" s="36" t="s">
        <v>175</v>
      </c>
      <c r="F50" s="17" t="s">
        <v>176</v>
      </c>
    </row>
    <row r="51" spans="1:6" s="17" customFormat="1" ht="18.5" x14ac:dyDescent="0.45">
      <c r="A51" s="35">
        <v>7</v>
      </c>
      <c r="B51" s="17">
        <v>3</v>
      </c>
      <c r="C51" s="17">
        <v>3</v>
      </c>
      <c r="D51" s="17">
        <v>7</v>
      </c>
      <c r="E51" s="36" t="s">
        <v>202</v>
      </c>
      <c r="F51" s="17" t="s">
        <v>203</v>
      </c>
    </row>
    <row r="52" spans="1:6" s="17" customFormat="1" ht="18.5" x14ac:dyDescent="0.45">
      <c r="A52" s="35">
        <v>3</v>
      </c>
      <c r="B52" s="17">
        <v>1</v>
      </c>
      <c r="C52" s="17">
        <v>3</v>
      </c>
      <c r="D52" s="17">
        <v>3</v>
      </c>
      <c r="E52" s="36" t="s">
        <v>224</v>
      </c>
      <c r="F52" s="17" t="s">
        <v>225</v>
      </c>
    </row>
    <row r="53" spans="1:6" s="17" customFormat="1" ht="18.5" x14ac:dyDescent="0.45">
      <c r="A53" s="35">
        <v>5</v>
      </c>
      <c r="B53" s="17">
        <v>0</v>
      </c>
      <c r="C53" s="17">
        <v>5</v>
      </c>
      <c r="D53" s="17">
        <v>5</v>
      </c>
      <c r="E53" s="36" t="s">
        <v>235</v>
      </c>
      <c r="F53" s="17" t="s">
        <v>236</v>
      </c>
    </row>
    <row r="54" spans="1:6" s="17" customFormat="1" ht="18.5" x14ac:dyDescent="0.45">
      <c r="A54" s="35">
        <v>7</v>
      </c>
      <c r="B54" s="17">
        <v>6</v>
      </c>
      <c r="C54" s="17">
        <v>7</v>
      </c>
      <c r="D54" s="17">
        <v>7</v>
      </c>
      <c r="E54" s="36" t="s">
        <v>247</v>
      </c>
      <c r="F54" s="17" t="s">
        <v>248</v>
      </c>
    </row>
    <row r="55" spans="1:6" s="17" customFormat="1" ht="18.5" x14ac:dyDescent="0.45">
      <c r="A55" s="35">
        <v>3</v>
      </c>
      <c r="B55" s="17">
        <v>0</v>
      </c>
      <c r="C55" s="17">
        <v>3</v>
      </c>
      <c r="D55" s="17">
        <v>3</v>
      </c>
      <c r="E55" s="36" t="s">
        <v>265</v>
      </c>
      <c r="F55" s="17" t="s">
        <v>264</v>
      </c>
    </row>
    <row r="56" spans="1:6" s="17" customFormat="1" ht="18.5" x14ac:dyDescent="0.45">
      <c r="A56" s="35">
        <v>6</v>
      </c>
      <c r="B56" s="17">
        <v>4</v>
      </c>
      <c r="C56" s="17">
        <v>6</v>
      </c>
      <c r="D56" s="17">
        <v>6</v>
      </c>
      <c r="E56" s="36" t="s">
        <v>273</v>
      </c>
      <c r="F56" s="17" t="s">
        <v>274</v>
      </c>
    </row>
    <row r="57" spans="1:6" s="17" customFormat="1" ht="18.5" x14ac:dyDescent="0.45">
      <c r="A57" s="35">
        <v>7</v>
      </c>
      <c r="B57" s="17">
        <v>1</v>
      </c>
      <c r="C57" s="17">
        <v>7</v>
      </c>
      <c r="D57" s="17">
        <v>7</v>
      </c>
      <c r="E57" s="36" t="s">
        <v>288</v>
      </c>
      <c r="F57" s="17" t="s">
        <v>289</v>
      </c>
    </row>
    <row r="58" spans="1:6" s="17" customFormat="1" ht="18.5" x14ac:dyDescent="0.45">
      <c r="A58" s="35">
        <v>3</v>
      </c>
      <c r="B58" s="17">
        <v>0</v>
      </c>
      <c r="C58" s="17">
        <v>3</v>
      </c>
      <c r="D58" s="17">
        <v>3</v>
      </c>
      <c r="E58" s="36" t="s">
        <v>308</v>
      </c>
      <c r="F58" s="17" t="s">
        <v>309</v>
      </c>
    </row>
    <row r="59" spans="1:6" s="17" customFormat="1" ht="18.5" x14ac:dyDescent="0.45">
      <c r="A59" s="35">
        <v>4</v>
      </c>
      <c r="B59" s="17">
        <v>0</v>
      </c>
      <c r="C59" s="17">
        <v>4</v>
      </c>
      <c r="D59" s="17">
        <v>4</v>
      </c>
      <c r="E59" s="36" t="s">
        <v>316</v>
      </c>
      <c r="F59" s="17" t="s">
        <v>317</v>
      </c>
    </row>
    <row r="60" spans="1:6" s="17" customFormat="1" ht="18.5" x14ac:dyDescent="0.45">
      <c r="A60" s="35">
        <v>20</v>
      </c>
      <c r="B60" s="35">
        <f t="shared" ref="B60:D60" si="2">SUM(B61:B67)</f>
        <v>12</v>
      </c>
      <c r="C60" s="35">
        <f t="shared" si="2"/>
        <v>18</v>
      </c>
      <c r="D60" s="35">
        <f t="shared" si="2"/>
        <v>20</v>
      </c>
      <c r="E60" s="36" t="s">
        <v>42</v>
      </c>
      <c r="F60" s="17" t="s">
        <v>328</v>
      </c>
    </row>
    <row r="61" spans="1:6" s="17" customFormat="1" ht="18.5" x14ac:dyDescent="0.45">
      <c r="A61" s="35">
        <v>1</v>
      </c>
      <c r="B61" s="17">
        <v>1</v>
      </c>
      <c r="C61" s="17">
        <v>1</v>
      </c>
      <c r="D61" s="17">
        <v>1</v>
      </c>
      <c r="E61" s="36" t="s">
        <v>330</v>
      </c>
      <c r="F61" s="17" t="s">
        <v>329</v>
      </c>
    </row>
    <row r="62" spans="1:6" s="17" customFormat="1" ht="18.5" x14ac:dyDescent="0.45">
      <c r="A62" s="35">
        <v>4</v>
      </c>
      <c r="B62" s="17">
        <v>3</v>
      </c>
      <c r="C62" s="17">
        <v>4</v>
      </c>
      <c r="D62" s="17">
        <v>4</v>
      </c>
      <c r="E62" s="36" t="s">
        <v>333</v>
      </c>
      <c r="F62" s="17" t="s">
        <v>334</v>
      </c>
    </row>
    <row r="63" spans="1:6" s="17" customFormat="1" ht="18.5" x14ac:dyDescent="0.45">
      <c r="A63" s="35">
        <v>4</v>
      </c>
      <c r="B63" s="17">
        <v>2</v>
      </c>
      <c r="C63" s="17">
        <v>4</v>
      </c>
      <c r="D63" s="17">
        <v>4</v>
      </c>
      <c r="E63" s="36" t="s">
        <v>343</v>
      </c>
      <c r="F63" s="17" t="s">
        <v>344</v>
      </c>
    </row>
    <row r="64" spans="1:6" s="17" customFormat="1" ht="18.5" x14ac:dyDescent="0.45">
      <c r="A64" s="35">
        <v>5</v>
      </c>
      <c r="B64" s="17">
        <v>5</v>
      </c>
      <c r="C64" s="17">
        <v>5</v>
      </c>
      <c r="D64" s="17">
        <v>5</v>
      </c>
      <c r="E64" s="36" t="s">
        <v>353</v>
      </c>
      <c r="F64" s="17" t="s">
        <v>354</v>
      </c>
    </row>
    <row r="65" spans="1:6" s="17" customFormat="1" ht="18.5" x14ac:dyDescent="0.45">
      <c r="A65" s="35">
        <v>3</v>
      </c>
      <c r="B65" s="17">
        <v>0</v>
      </c>
      <c r="C65" s="17">
        <v>3</v>
      </c>
      <c r="D65" s="17">
        <v>3</v>
      </c>
      <c r="E65" s="36" t="s">
        <v>366</v>
      </c>
      <c r="F65" s="17" t="s">
        <v>367</v>
      </c>
    </row>
    <row r="66" spans="1:6" s="17" customFormat="1" ht="18.5" x14ac:dyDescent="0.45">
      <c r="A66" s="35">
        <v>2</v>
      </c>
      <c r="B66" s="17">
        <v>0</v>
      </c>
      <c r="C66" s="17">
        <v>0</v>
      </c>
      <c r="D66" s="17">
        <v>2</v>
      </c>
      <c r="E66" s="36" t="s">
        <v>375</v>
      </c>
      <c r="F66" s="17" t="s">
        <v>376</v>
      </c>
    </row>
    <row r="67" spans="1:6" s="17" customFormat="1" ht="18.5" x14ac:dyDescent="0.45">
      <c r="A67" s="35">
        <v>1</v>
      </c>
      <c r="B67" s="17">
        <v>1</v>
      </c>
      <c r="C67" s="17">
        <v>1</v>
      </c>
      <c r="D67" s="17">
        <v>1</v>
      </c>
      <c r="E67" s="36" t="s">
        <v>382</v>
      </c>
      <c r="F67" s="17" t="s">
        <v>383</v>
      </c>
    </row>
    <row r="68" spans="1:6" s="17" customFormat="1" ht="18.5" x14ac:dyDescent="0.45">
      <c r="A68" s="35">
        <v>10</v>
      </c>
      <c r="B68" s="35">
        <f t="shared" ref="B68:D68" si="3">SUM(B69:B71)</f>
        <v>9</v>
      </c>
      <c r="C68" s="35">
        <f t="shared" si="3"/>
        <v>10</v>
      </c>
      <c r="D68" s="35">
        <f t="shared" si="3"/>
        <v>10</v>
      </c>
      <c r="E68" s="36" t="s">
        <v>43</v>
      </c>
      <c r="F68" s="17" t="s">
        <v>387</v>
      </c>
    </row>
    <row r="69" spans="1:6" s="17" customFormat="1" ht="18.5" x14ac:dyDescent="0.45">
      <c r="A69" s="35">
        <v>5</v>
      </c>
      <c r="B69" s="17">
        <v>5</v>
      </c>
      <c r="C69" s="17">
        <v>5</v>
      </c>
      <c r="D69" s="17">
        <v>5</v>
      </c>
      <c r="E69" s="36" t="s">
        <v>388</v>
      </c>
      <c r="F69" s="17" t="s">
        <v>389</v>
      </c>
    </row>
    <row r="70" spans="1:6" s="17" customFormat="1" ht="18.5" x14ac:dyDescent="0.45">
      <c r="A70" s="35">
        <v>2</v>
      </c>
      <c r="B70" s="17">
        <v>2</v>
      </c>
      <c r="C70" s="17">
        <v>2</v>
      </c>
      <c r="D70" s="17">
        <v>2</v>
      </c>
      <c r="E70" s="36" t="s">
        <v>399</v>
      </c>
      <c r="F70" s="17" t="s">
        <v>400</v>
      </c>
    </row>
    <row r="71" spans="1:6" s="17" customFormat="1" ht="18.5" x14ac:dyDescent="0.45">
      <c r="A71" s="35">
        <v>3</v>
      </c>
      <c r="B71" s="17">
        <v>2</v>
      </c>
      <c r="C71" s="17">
        <v>3</v>
      </c>
      <c r="D71" s="17">
        <v>3</v>
      </c>
      <c r="E71" s="36" t="s">
        <v>405</v>
      </c>
      <c r="F71" s="17" t="s">
        <v>406</v>
      </c>
    </row>
    <row r="72" spans="1:6" s="17" customFormat="1" ht="18.5" x14ac:dyDescent="0.45">
      <c r="A72" s="35">
        <v>30</v>
      </c>
      <c r="B72" s="35">
        <f t="shared" ref="B72:D72" si="4">SUM(B73:B77)</f>
        <v>27</v>
      </c>
      <c r="C72" s="35">
        <f t="shared" si="4"/>
        <v>30</v>
      </c>
      <c r="D72" s="35">
        <f t="shared" si="4"/>
        <v>30</v>
      </c>
      <c r="E72" s="36" t="s">
        <v>44</v>
      </c>
      <c r="F72" s="17" t="s">
        <v>412</v>
      </c>
    </row>
    <row r="73" spans="1:6" s="17" customFormat="1" ht="18.5" x14ac:dyDescent="0.45">
      <c r="A73" s="35">
        <v>5</v>
      </c>
      <c r="B73" s="17">
        <v>5</v>
      </c>
      <c r="C73" s="17">
        <v>5</v>
      </c>
      <c r="D73" s="17">
        <v>5</v>
      </c>
      <c r="E73" s="36" t="s">
        <v>413</v>
      </c>
      <c r="F73" s="17" t="s">
        <v>414</v>
      </c>
    </row>
    <row r="74" spans="1:6" s="17" customFormat="1" ht="18.5" x14ac:dyDescent="0.45">
      <c r="A74" s="35">
        <v>8</v>
      </c>
      <c r="B74" s="17">
        <v>8</v>
      </c>
      <c r="C74" s="17">
        <v>8</v>
      </c>
      <c r="D74" s="17">
        <v>8</v>
      </c>
      <c r="E74" s="36" t="s">
        <v>809</v>
      </c>
      <c r="F74" s="17" t="s">
        <v>810</v>
      </c>
    </row>
    <row r="75" spans="1:6" s="17" customFormat="1" ht="18.5" x14ac:dyDescent="0.45">
      <c r="A75" s="35">
        <v>10</v>
      </c>
      <c r="B75" s="35">
        <v>10</v>
      </c>
      <c r="C75" s="35">
        <v>10</v>
      </c>
      <c r="D75" s="35">
        <v>10</v>
      </c>
      <c r="E75" s="36" t="s">
        <v>436</v>
      </c>
      <c r="F75" s="17" t="s">
        <v>435</v>
      </c>
    </row>
    <row r="76" spans="1:6" s="17" customFormat="1" ht="18.5" x14ac:dyDescent="0.45">
      <c r="A76" s="35">
        <v>3</v>
      </c>
      <c r="B76" s="17">
        <v>0</v>
      </c>
      <c r="C76" s="17">
        <v>3</v>
      </c>
      <c r="D76" s="17">
        <v>3</v>
      </c>
      <c r="E76" s="36" t="s">
        <v>457</v>
      </c>
      <c r="F76" s="17" t="s">
        <v>458</v>
      </c>
    </row>
    <row r="77" spans="1:6" s="17" customFormat="1" ht="18.5" x14ac:dyDescent="0.45">
      <c r="A77" s="35">
        <v>4</v>
      </c>
      <c r="B77" s="17">
        <v>4</v>
      </c>
      <c r="C77" s="17">
        <v>4</v>
      </c>
      <c r="D77" s="17">
        <v>4</v>
      </c>
      <c r="E77" s="36" t="s">
        <v>465</v>
      </c>
      <c r="F77" s="17" t="s">
        <v>466</v>
      </c>
    </row>
    <row r="78" spans="1:6" s="17" customFormat="1" ht="18.5" x14ac:dyDescent="0.45">
      <c r="A78" s="35">
        <v>16</v>
      </c>
      <c r="B78" s="35">
        <f t="shared" ref="B78:D78" si="5">SUM(B79:B82)</f>
        <v>1</v>
      </c>
      <c r="C78" s="35">
        <f t="shared" si="5"/>
        <v>13</v>
      </c>
      <c r="D78" s="35">
        <f t="shared" si="5"/>
        <v>16</v>
      </c>
      <c r="E78" s="36" t="s">
        <v>477</v>
      </c>
      <c r="F78" s="17" t="s">
        <v>476</v>
      </c>
    </row>
    <row r="79" spans="1:6" s="17" customFormat="1" ht="18.5" x14ac:dyDescent="0.45">
      <c r="A79" s="35">
        <v>3</v>
      </c>
      <c r="B79" s="17">
        <v>0</v>
      </c>
      <c r="C79" s="17">
        <v>3</v>
      </c>
      <c r="D79" s="17">
        <v>3</v>
      </c>
      <c r="E79" s="36" t="s">
        <v>479</v>
      </c>
      <c r="F79" s="17" t="s">
        <v>480</v>
      </c>
    </row>
    <row r="80" spans="1:6" s="17" customFormat="1" ht="18.5" x14ac:dyDescent="0.45">
      <c r="A80" s="35">
        <v>8</v>
      </c>
      <c r="B80" s="17">
        <v>1</v>
      </c>
      <c r="C80" s="17">
        <v>6</v>
      </c>
      <c r="D80" s="17">
        <v>8</v>
      </c>
      <c r="E80" s="36" t="s">
        <v>486</v>
      </c>
      <c r="F80" s="17" t="s">
        <v>487</v>
      </c>
    </row>
    <row r="81" spans="1:6" s="17" customFormat="1" ht="18.5" x14ac:dyDescent="0.45">
      <c r="A81" s="35">
        <v>3</v>
      </c>
      <c r="B81" s="17">
        <v>0</v>
      </c>
      <c r="C81" s="17">
        <v>2</v>
      </c>
      <c r="D81" s="17">
        <v>3</v>
      </c>
      <c r="E81" s="36" t="s">
        <v>504</v>
      </c>
      <c r="F81" s="17" t="s">
        <v>505</v>
      </c>
    </row>
    <row r="82" spans="1:6" s="17" customFormat="1" ht="18.5" x14ac:dyDescent="0.45">
      <c r="A82" s="35">
        <v>2</v>
      </c>
      <c r="B82" s="17">
        <v>0</v>
      </c>
      <c r="C82" s="17">
        <v>2</v>
      </c>
      <c r="D82" s="17">
        <v>2</v>
      </c>
      <c r="E82" s="36" t="s">
        <v>511</v>
      </c>
      <c r="F82" s="17" t="s">
        <v>512</v>
      </c>
    </row>
    <row r="83" spans="1:6" s="17" customFormat="1" ht="18.5" x14ac:dyDescent="0.45">
      <c r="A83" s="35">
        <v>13</v>
      </c>
      <c r="B83" s="35">
        <f t="shared" ref="B83:D83" si="6">SUM(B84:B87)</f>
        <v>3</v>
      </c>
      <c r="C83" s="35">
        <f t="shared" si="6"/>
        <v>13</v>
      </c>
      <c r="D83" s="35">
        <f t="shared" si="6"/>
        <v>13</v>
      </c>
      <c r="E83" s="36" t="s">
        <v>45</v>
      </c>
      <c r="F83" s="17" t="s">
        <v>518</v>
      </c>
    </row>
    <row r="84" spans="1:6" s="17" customFormat="1" ht="18.5" x14ac:dyDescent="0.45">
      <c r="A84" s="35">
        <v>4</v>
      </c>
      <c r="B84" s="17">
        <v>2</v>
      </c>
      <c r="C84" s="17">
        <v>4</v>
      </c>
      <c r="D84" s="17">
        <v>4</v>
      </c>
      <c r="E84" s="36" t="s">
        <v>519</v>
      </c>
      <c r="F84" s="17" t="s">
        <v>520</v>
      </c>
    </row>
    <row r="85" spans="1:6" s="17" customFormat="1" ht="18.5" x14ac:dyDescent="0.45">
      <c r="A85" s="35">
        <v>2</v>
      </c>
      <c r="B85" s="17">
        <v>0</v>
      </c>
      <c r="C85" s="17">
        <v>2</v>
      </c>
      <c r="D85" s="17">
        <v>2</v>
      </c>
      <c r="E85" s="36" t="s">
        <v>527</v>
      </c>
      <c r="F85" s="17" t="s">
        <v>528</v>
      </c>
    </row>
    <row r="86" spans="1:6" s="17" customFormat="1" ht="18.5" x14ac:dyDescent="0.45">
      <c r="A86" s="35">
        <v>4</v>
      </c>
      <c r="B86" s="17">
        <v>0</v>
      </c>
      <c r="C86" s="17">
        <v>4</v>
      </c>
      <c r="D86" s="17">
        <v>4</v>
      </c>
      <c r="E86" s="36" t="s">
        <v>532</v>
      </c>
      <c r="F86" s="17" t="s">
        <v>533</v>
      </c>
    </row>
    <row r="87" spans="1:6" s="17" customFormat="1" ht="18.5" x14ac:dyDescent="0.45">
      <c r="A87" s="35">
        <v>3</v>
      </c>
      <c r="B87" s="17">
        <v>1</v>
      </c>
      <c r="C87" s="17">
        <v>3</v>
      </c>
      <c r="D87" s="17">
        <v>3</v>
      </c>
      <c r="E87" s="36" t="s">
        <v>542</v>
      </c>
      <c r="F87" s="17" t="s">
        <v>543</v>
      </c>
    </row>
    <row r="88" spans="1:6" s="17" customFormat="1" ht="18.5" x14ac:dyDescent="0.45">
      <c r="A88" s="35">
        <v>17</v>
      </c>
      <c r="B88" s="35">
        <f t="shared" ref="B88:D88" si="7">SUM(B89:B91)</f>
        <v>7</v>
      </c>
      <c r="C88" s="35">
        <f t="shared" si="7"/>
        <v>15</v>
      </c>
      <c r="D88" s="35">
        <f t="shared" si="7"/>
        <v>17</v>
      </c>
      <c r="E88" s="36" t="s">
        <v>46</v>
      </c>
      <c r="F88" s="17" t="s">
        <v>551</v>
      </c>
    </row>
    <row r="89" spans="1:6" s="17" customFormat="1" ht="18.5" x14ac:dyDescent="0.45">
      <c r="A89" s="35">
        <v>6</v>
      </c>
      <c r="B89" s="17">
        <v>0</v>
      </c>
      <c r="C89" s="17">
        <v>4</v>
      </c>
      <c r="D89" s="17">
        <v>6</v>
      </c>
      <c r="E89" s="36" t="s">
        <v>552</v>
      </c>
      <c r="F89" s="17" t="s">
        <v>553</v>
      </c>
    </row>
    <row r="90" spans="1:6" s="17" customFormat="1" ht="18.5" x14ac:dyDescent="0.45">
      <c r="A90" s="35">
        <v>3</v>
      </c>
      <c r="B90" s="17">
        <v>3</v>
      </c>
      <c r="C90" s="17">
        <v>3</v>
      </c>
      <c r="D90" s="17">
        <v>3</v>
      </c>
      <c r="E90" s="36" t="s">
        <v>565</v>
      </c>
      <c r="F90" s="17" t="s">
        <v>566</v>
      </c>
    </row>
    <row r="91" spans="1:6" s="17" customFormat="1" ht="18.5" x14ac:dyDescent="0.45">
      <c r="A91" s="35">
        <v>8</v>
      </c>
      <c r="B91" s="17">
        <v>4</v>
      </c>
      <c r="C91" s="17">
        <v>8</v>
      </c>
      <c r="D91" s="17">
        <v>8</v>
      </c>
      <c r="E91" s="36" t="s">
        <v>572</v>
      </c>
      <c r="F91" s="17" t="s">
        <v>573</v>
      </c>
    </row>
    <row r="92" spans="1:6" s="17" customFormat="1" ht="18.5" x14ac:dyDescent="0.45">
      <c r="A92" s="35">
        <v>8</v>
      </c>
      <c r="B92" s="35">
        <f t="shared" ref="B92:D92" si="8">SUM(B93:B94)</f>
        <v>3</v>
      </c>
      <c r="C92" s="35">
        <f t="shared" si="8"/>
        <v>7</v>
      </c>
      <c r="D92" s="35">
        <f t="shared" si="8"/>
        <v>8</v>
      </c>
      <c r="E92" s="36" t="s">
        <v>47</v>
      </c>
      <c r="F92" s="17" t="s">
        <v>591</v>
      </c>
    </row>
    <row r="93" spans="1:6" s="17" customFormat="1" ht="18.5" x14ac:dyDescent="0.45">
      <c r="A93" s="35">
        <v>3</v>
      </c>
      <c r="B93" s="17">
        <v>3</v>
      </c>
      <c r="C93" s="17">
        <v>3</v>
      </c>
      <c r="D93" s="17">
        <v>3</v>
      </c>
      <c r="E93" s="36" t="s">
        <v>592</v>
      </c>
      <c r="F93" s="17" t="s">
        <v>593</v>
      </c>
    </row>
    <row r="94" spans="1:6" s="17" customFormat="1" ht="18.5" x14ac:dyDescent="0.45">
      <c r="A94" s="35">
        <v>5</v>
      </c>
      <c r="B94" s="17">
        <v>0</v>
      </c>
      <c r="C94" s="17">
        <v>4</v>
      </c>
      <c r="D94" s="17">
        <v>5</v>
      </c>
      <c r="E94" s="36" t="s">
        <v>600</v>
      </c>
      <c r="F94" s="17" t="s">
        <v>601</v>
      </c>
    </row>
    <row r="95" spans="1:6" s="17" customFormat="1" ht="18.5" x14ac:dyDescent="0.45">
      <c r="A95" s="35">
        <v>10</v>
      </c>
      <c r="B95" s="35">
        <f t="shared" ref="B95:D95" si="9">SUM(B96:B98)</f>
        <v>3</v>
      </c>
      <c r="C95" s="35">
        <f t="shared" si="9"/>
        <v>5</v>
      </c>
      <c r="D95" s="35">
        <f t="shared" si="9"/>
        <v>10</v>
      </c>
      <c r="E95" s="36" t="s">
        <v>48</v>
      </c>
      <c r="F95" s="17" t="s">
        <v>611</v>
      </c>
    </row>
    <row r="96" spans="1:6" s="17" customFormat="1" ht="18.5" x14ac:dyDescent="0.45">
      <c r="A96" s="35">
        <v>1</v>
      </c>
      <c r="B96" s="17">
        <v>0</v>
      </c>
      <c r="C96" s="17">
        <v>0</v>
      </c>
      <c r="D96" s="17">
        <v>1</v>
      </c>
      <c r="E96" s="36" t="s">
        <v>615</v>
      </c>
      <c r="F96" s="17" t="s">
        <v>614</v>
      </c>
    </row>
    <row r="97" spans="1:6" s="17" customFormat="1" ht="18.5" x14ac:dyDescent="0.45">
      <c r="A97" s="35">
        <v>6</v>
      </c>
      <c r="B97" s="17">
        <v>0</v>
      </c>
      <c r="C97" s="17">
        <v>2</v>
      </c>
      <c r="D97" s="17">
        <v>6</v>
      </c>
      <c r="E97" s="36" t="s">
        <v>616</v>
      </c>
      <c r="F97" s="17" t="s">
        <v>617</v>
      </c>
    </row>
    <row r="98" spans="1:6" s="17" customFormat="1" ht="18.5" x14ac:dyDescent="0.45">
      <c r="A98" s="35">
        <v>3</v>
      </c>
      <c r="B98" s="17">
        <v>3</v>
      </c>
      <c r="C98" s="17">
        <v>3</v>
      </c>
      <c r="D98" s="17">
        <v>3</v>
      </c>
      <c r="E98" s="36" t="s">
        <v>630</v>
      </c>
      <c r="F98" s="17" t="s">
        <v>631</v>
      </c>
    </row>
    <row r="99" spans="1:6" s="17" customFormat="1" ht="18.5" x14ac:dyDescent="0.45">
      <c r="A99" s="35">
        <v>8</v>
      </c>
      <c r="B99" s="35">
        <f t="shared" ref="B99:D99" si="10">SUM(B100:B100)</f>
        <v>5</v>
      </c>
      <c r="C99" s="35">
        <f t="shared" si="10"/>
        <v>8</v>
      </c>
      <c r="D99" s="35">
        <f t="shared" si="10"/>
        <v>8</v>
      </c>
      <c r="E99" s="36" t="s">
        <v>49</v>
      </c>
      <c r="F99" s="17" t="s">
        <v>639</v>
      </c>
    </row>
    <row r="100" spans="1:6" s="17" customFormat="1" ht="18.5" x14ac:dyDescent="0.45">
      <c r="A100" s="35">
        <v>8</v>
      </c>
      <c r="B100" s="17">
        <v>5</v>
      </c>
      <c r="C100" s="17">
        <v>8</v>
      </c>
      <c r="D100" s="17">
        <v>8</v>
      </c>
      <c r="E100" s="36" t="s">
        <v>640</v>
      </c>
      <c r="F100" s="17" t="s">
        <v>641</v>
      </c>
    </row>
    <row r="101" spans="1:6" s="17" customFormat="1" ht="18.5" x14ac:dyDescent="0.45">
      <c r="A101" s="35">
        <v>15</v>
      </c>
      <c r="B101" s="35">
        <f t="shared" ref="B101:D101" si="11">SUM(B102:B107)</f>
        <v>11</v>
      </c>
      <c r="C101" s="35">
        <f t="shared" si="11"/>
        <v>15</v>
      </c>
      <c r="D101" s="35">
        <f t="shared" si="11"/>
        <v>15</v>
      </c>
      <c r="E101" s="36" t="s">
        <v>661</v>
      </c>
      <c r="F101" s="17" t="s">
        <v>660</v>
      </c>
    </row>
    <row r="102" spans="1:6" s="17" customFormat="1" ht="18.5" x14ac:dyDescent="0.45">
      <c r="A102" s="35">
        <v>3</v>
      </c>
      <c r="B102" s="17">
        <v>1</v>
      </c>
      <c r="C102" s="17">
        <v>3</v>
      </c>
      <c r="D102" s="17">
        <v>3</v>
      </c>
      <c r="E102" s="36" t="s">
        <v>662</v>
      </c>
      <c r="F102" s="17" t="s">
        <v>663</v>
      </c>
    </row>
    <row r="103" spans="1:6" s="17" customFormat="1" ht="18.5" x14ac:dyDescent="0.45">
      <c r="A103" s="35">
        <v>1</v>
      </c>
      <c r="B103" s="17">
        <v>0</v>
      </c>
      <c r="C103" s="17">
        <v>1</v>
      </c>
      <c r="D103" s="17">
        <v>1</v>
      </c>
      <c r="E103" s="36" t="s">
        <v>670</v>
      </c>
      <c r="F103" s="17" t="s">
        <v>671</v>
      </c>
    </row>
    <row r="104" spans="1:6" s="17" customFormat="1" ht="18.5" x14ac:dyDescent="0.45">
      <c r="A104" s="35">
        <v>6</v>
      </c>
      <c r="B104" s="17">
        <v>5</v>
      </c>
      <c r="C104" s="17">
        <v>6</v>
      </c>
      <c r="D104" s="17">
        <v>6</v>
      </c>
      <c r="E104" s="36" t="s">
        <v>674</v>
      </c>
      <c r="F104" s="17" t="s">
        <v>675</v>
      </c>
    </row>
    <row r="105" spans="1:6" s="17" customFormat="1" ht="18.5" x14ac:dyDescent="0.45">
      <c r="A105" s="35">
        <v>2</v>
      </c>
      <c r="B105" s="17">
        <v>2</v>
      </c>
      <c r="C105" s="17">
        <v>2</v>
      </c>
      <c r="D105" s="17">
        <v>2</v>
      </c>
      <c r="E105" s="36" t="s">
        <v>819</v>
      </c>
      <c r="F105" s="17" t="s">
        <v>824</v>
      </c>
    </row>
    <row r="106" spans="1:6" s="17" customFormat="1" ht="18.5" x14ac:dyDescent="0.45">
      <c r="A106" s="35">
        <v>2</v>
      </c>
      <c r="B106" s="17">
        <v>2</v>
      </c>
      <c r="C106" s="17">
        <v>2</v>
      </c>
      <c r="D106" s="17">
        <v>2</v>
      </c>
      <c r="E106" s="36" t="s">
        <v>820</v>
      </c>
      <c r="F106" s="17" t="s">
        <v>823</v>
      </c>
    </row>
    <row r="107" spans="1:6" s="17" customFormat="1" ht="18.5" x14ac:dyDescent="0.45">
      <c r="A107" s="35">
        <v>1</v>
      </c>
      <c r="B107" s="17">
        <v>1</v>
      </c>
      <c r="C107" s="17">
        <v>1</v>
      </c>
      <c r="D107" s="17">
        <v>1</v>
      </c>
      <c r="E107" s="36" t="s">
        <v>821</v>
      </c>
      <c r="F107" s="17" t="s">
        <v>822</v>
      </c>
    </row>
    <row r="108" spans="1:6" s="17" customFormat="1" ht="18.5" x14ac:dyDescent="0.45">
      <c r="A108" s="35">
        <v>15</v>
      </c>
      <c r="B108" s="35">
        <f t="shared" ref="B108:D108" si="12">SUM(B109:B112)</f>
        <v>7</v>
      </c>
      <c r="C108" s="35">
        <f t="shared" si="12"/>
        <v>15</v>
      </c>
      <c r="D108" s="35">
        <f t="shared" si="12"/>
        <v>15</v>
      </c>
      <c r="E108" s="36" t="s">
        <v>50</v>
      </c>
      <c r="F108" s="17" t="s">
        <v>689</v>
      </c>
    </row>
    <row r="109" spans="1:6" s="17" customFormat="1" ht="18.5" x14ac:dyDescent="0.45">
      <c r="A109" s="35">
        <v>5</v>
      </c>
      <c r="B109" s="17">
        <v>3</v>
      </c>
      <c r="C109" s="17">
        <v>5</v>
      </c>
      <c r="D109" s="17">
        <v>5</v>
      </c>
      <c r="E109" s="36" t="s">
        <v>690</v>
      </c>
      <c r="F109" s="17" t="s">
        <v>701</v>
      </c>
    </row>
    <row r="110" spans="1:6" s="17" customFormat="1" ht="18.5" x14ac:dyDescent="0.45">
      <c r="A110" s="35">
        <v>6</v>
      </c>
      <c r="B110" s="17">
        <v>3</v>
      </c>
      <c r="C110" s="17">
        <v>6</v>
      </c>
      <c r="D110" s="17">
        <v>6</v>
      </c>
      <c r="E110" s="36" t="s">
        <v>702</v>
      </c>
      <c r="F110" s="17" t="s">
        <v>703</v>
      </c>
    </row>
    <row r="111" spans="1:6" s="17" customFormat="1" ht="18.5" x14ac:dyDescent="0.45">
      <c r="A111" s="35">
        <v>2</v>
      </c>
      <c r="B111" s="17">
        <v>1</v>
      </c>
      <c r="C111" s="17">
        <v>2</v>
      </c>
      <c r="D111" s="17">
        <v>2</v>
      </c>
      <c r="E111" s="36" t="s">
        <v>716</v>
      </c>
      <c r="F111" s="17" t="s">
        <v>717</v>
      </c>
    </row>
    <row r="112" spans="1:6" s="17" customFormat="1" ht="18.5" x14ac:dyDescent="0.45">
      <c r="A112" s="35">
        <v>2</v>
      </c>
      <c r="B112" s="17">
        <v>0</v>
      </c>
      <c r="C112" s="17">
        <v>2</v>
      </c>
      <c r="D112" s="17">
        <v>2</v>
      </c>
      <c r="E112" s="36" t="s">
        <v>722</v>
      </c>
      <c r="F112" s="17" t="s">
        <v>723</v>
      </c>
    </row>
    <row r="113" spans="1:13" s="17" customFormat="1" ht="18.5" x14ac:dyDescent="0.45">
      <c r="A113" s="35">
        <v>25</v>
      </c>
      <c r="B113" s="35">
        <f t="shared" ref="B113:D113" si="13">SUM(B114:B118)</f>
        <v>16</v>
      </c>
      <c r="C113" s="35">
        <f t="shared" si="13"/>
        <v>24</v>
      </c>
      <c r="D113" s="35">
        <f t="shared" si="13"/>
        <v>25</v>
      </c>
      <c r="E113" s="36" t="s">
        <v>731</v>
      </c>
      <c r="F113" s="17" t="s">
        <v>730</v>
      </c>
    </row>
    <row r="114" spans="1:13" s="17" customFormat="1" ht="18.5" x14ac:dyDescent="0.45">
      <c r="A114" s="35">
        <v>5</v>
      </c>
      <c r="B114" s="17">
        <v>0</v>
      </c>
      <c r="C114" s="17">
        <v>4</v>
      </c>
      <c r="D114" s="17">
        <v>5</v>
      </c>
      <c r="E114" s="36" t="s">
        <v>732</v>
      </c>
      <c r="F114" s="17" t="s">
        <v>733</v>
      </c>
    </row>
    <row r="115" spans="1:13" s="17" customFormat="1" ht="18.5" x14ac:dyDescent="0.45">
      <c r="A115" s="35">
        <v>6</v>
      </c>
      <c r="B115" s="17">
        <v>3</v>
      </c>
      <c r="C115" s="17">
        <v>6</v>
      </c>
      <c r="D115" s="17">
        <v>6</v>
      </c>
      <c r="E115" s="36" t="s">
        <v>744</v>
      </c>
      <c r="F115" s="17" t="s">
        <v>745</v>
      </c>
    </row>
    <row r="116" spans="1:13" s="17" customFormat="1" ht="18.5" x14ac:dyDescent="0.45">
      <c r="A116" s="35">
        <v>3</v>
      </c>
      <c r="B116" s="17">
        <v>3</v>
      </c>
      <c r="C116" s="17">
        <v>3</v>
      </c>
      <c r="D116" s="17">
        <v>3</v>
      </c>
      <c r="E116" s="36" t="s">
        <v>758</v>
      </c>
      <c r="F116" s="17" t="s">
        <v>759</v>
      </c>
    </row>
    <row r="117" spans="1:13" s="17" customFormat="1" ht="18.5" x14ac:dyDescent="0.45">
      <c r="A117" s="35">
        <v>7</v>
      </c>
      <c r="B117" s="17">
        <v>7</v>
      </c>
      <c r="C117" s="17">
        <v>7</v>
      </c>
      <c r="D117" s="17">
        <v>7</v>
      </c>
      <c r="E117" s="36" t="s">
        <v>765</v>
      </c>
      <c r="F117" s="17" t="s">
        <v>766</v>
      </c>
    </row>
    <row r="118" spans="1:13" s="17" customFormat="1" ht="18.5" x14ac:dyDescent="0.45">
      <c r="A118" s="35">
        <v>4</v>
      </c>
      <c r="B118" s="17">
        <v>3</v>
      </c>
      <c r="C118" s="17">
        <v>4</v>
      </c>
      <c r="D118" s="17">
        <v>4</v>
      </c>
      <c r="E118" s="36" t="s">
        <v>780</v>
      </c>
      <c r="F118" s="17" t="s">
        <v>781</v>
      </c>
    </row>
    <row r="121" spans="1:13" s="13" customFormat="1" ht="19" thickBot="1" x14ac:dyDescent="0.5">
      <c r="A121" s="8" t="s">
        <v>855</v>
      </c>
      <c r="B121" s="8"/>
      <c r="C121" s="8"/>
      <c r="D121" s="8"/>
      <c r="E121" s="8"/>
      <c r="F121" s="8"/>
      <c r="G121" s="8"/>
      <c r="H121" s="8"/>
      <c r="I121" s="8"/>
      <c r="J121" s="8"/>
      <c r="K121" s="8"/>
      <c r="L121" s="8"/>
      <c r="M121" s="8"/>
    </row>
    <row r="122" spans="1:13" ht="19" thickTop="1" x14ac:dyDescent="0.45">
      <c r="A122" s="9" t="s">
        <v>852</v>
      </c>
    </row>
    <row r="123" spans="1:13" ht="18.5" x14ac:dyDescent="0.45">
      <c r="A123" s="9" t="s">
        <v>853</v>
      </c>
    </row>
    <row r="125" spans="1:13" s="13" customFormat="1" ht="19" thickBot="1" x14ac:dyDescent="0.5">
      <c r="A125" s="8" t="s">
        <v>856</v>
      </c>
      <c r="B125" s="8"/>
      <c r="C125" s="8"/>
      <c r="D125" s="8"/>
      <c r="E125" s="8"/>
      <c r="F125" s="8"/>
      <c r="G125" s="8"/>
      <c r="H125" s="8"/>
      <c r="I125" s="8"/>
      <c r="J125" s="8"/>
      <c r="K125" s="8"/>
      <c r="L125" s="8"/>
      <c r="M125" s="8"/>
    </row>
    <row r="126" spans="1:13" ht="19" thickTop="1" x14ac:dyDescent="0.45">
      <c r="A126" s="9" t="s">
        <v>857</v>
      </c>
    </row>
    <row r="127" spans="1:13" ht="18.5" x14ac:dyDescent="0.45">
      <c r="A127" s="9" t="s">
        <v>858</v>
      </c>
    </row>
    <row r="128" spans="1:13" ht="18.5" x14ac:dyDescent="0.45">
      <c r="A128" s="9" t="s">
        <v>859</v>
      </c>
    </row>
    <row r="129" spans="1:1" ht="18.5" x14ac:dyDescent="0.45">
      <c r="A129" s="9" t="s">
        <v>860</v>
      </c>
    </row>
    <row r="130" spans="1:1" ht="18.5" x14ac:dyDescent="0.45">
      <c r="A130" s="9" t="s">
        <v>861</v>
      </c>
    </row>
    <row r="131" spans="1:1" ht="18.5" x14ac:dyDescent="0.45">
      <c r="A131" s="9" t="s">
        <v>862</v>
      </c>
    </row>
    <row r="132" spans="1:1" ht="18.5" x14ac:dyDescent="0.45">
      <c r="A132" s="9" t="s">
        <v>863</v>
      </c>
    </row>
    <row r="133" spans="1:1" ht="18.5" x14ac:dyDescent="0.45">
      <c r="A133" s="9" t="s">
        <v>864</v>
      </c>
    </row>
    <row r="134" spans="1:1" ht="18.5" x14ac:dyDescent="0.45">
      <c r="A134" s="9" t="s">
        <v>865</v>
      </c>
    </row>
    <row r="135" spans="1:1" ht="18.5" x14ac:dyDescent="0.45">
      <c r="A135" s="9" t="s">
        <v>866</v>
      </c>
    </row>
    <row r="136" spans="1:1" ht="18.5" x14ac:dyDescent="0.45">
      <c r="A136" s="9" t="s">
        <v>867</v>
      </c>
    </row>
    <row r="137" spans="1:1" ht="18.5" x14ac:dyDescent="0.45">
      <c r="A137" s="9" t="s">
        <v>868</v>
      </c>
    </row>
    <row r="138" spans="1:1" ht="18.5" x14ac:dyDescent="0.45">
      <c r="A138" s="9" t="s">
        <v>869</v>
      </c>
    </row>
    <row r="139" spans="1:1" ht="18.5" x14ac:dyDescent="0.45">
      <c r="A139" s="9" t="s">
        <v>870</v>
      </c>
    </row>
    <row r="140" spans="1:1" ht="18.5" x14ac:dyDescent="0.45">
      <c r="A140" s="9" t="s">
        <v>871</v>
      </c>
    </row>
    <row r="141" spans="1:1" ht="18.5" x14ac:dyDescent="0.45">
      <c r="A141" s="9" t="s">
        <v>872</v>
      </c>
    </row>
    <row r="142" spans="1:1" ht="18.5" x14ac:dyDescent="0.45">
      <c r="A142" s="9" t="s">
        <v>873</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649</vt:i4>
      </vt:variant>
    </vt:vector>
  </HeadingPairs>
  <TitlesOfParts>
    <vt:vector size="668" baseType="lpstr">
      <vt:lpstr>Intro</vt:lpstr>
      <vt:lpstr>Score Card 4.0</vt:lpstr>
      <vt:lpstr>V1</vt:lpstr>
      <vt:lpstr>V2</vt:lpstr>
      <vt:lpstr>V3</vt:lpstr>
      <vt:lpstr>V4</vt:lpstr>
      <vt:lpstr>V5</vt:lpstr>
      <vt:lpstr>V6</vt:lpstr>
      <vt:lpstr>V7</vt:lpstr>
      <vt:lpstr>V8</vt:lpstr>
      <vt:lpstr>V9</vt:lpstr>
      <vt:lpstr>V10</vt:lpstr>
      <vt:lpstr>V11</vt:lpstr>
      <vt:lpstr>V12</vt:lpstr>
      <vt:lpstr>V13</vt:lpstr>
      <vt:lpstr>V14</vt:lpstr>
      <vt:lpstr>EXPORT</vt:lpstr>
      <vt:lpstr>References</vt:lpstr>
      <vt:lpstr>Config</vt:lpstr>
      <vt:lpstr>ASSESSMENT_LEVEL</vt:lpstr>
      <vt:lpstr>ASVS_ANSWERS_V1</vt:lpstr>
      <vt:lpstr>ASVS_ANSWERS_V10</vt:lpstr>
      <vt:lpstr>ASVS_ANSWERS_V11</vt:lpstr>
      <vt:lpstr>ASVS_ANSWERS_V12</vt:lpstr>
      <vt:lpstr>ASVS_ANSWERS_V13</vt:lpstr>
      <vt:lpstr>ASVS_ANSWERS_V14</vt:lpstr>
      <vt:lpstr>ASVS_ANSWERS_V2</vt:lpstr>
      <vt:lpstr>ASVS_ANSWERS_V3</vt:lpstr>
      <vt:lpstr>ASVS_ANSWERS_V4</vt:lpstr>
      <vt:lpstr>ASVS_ANSWERS_V5</vt:lpstr>
      <vt:lpstr>ASVS_ANSWERS_V6</vt:lpstr>
      <vt:lpstr>ASVS_ANSWERS_V7</vt:lpstr>
      <vt:lpstr>ASVS_ANSWERS_V8</vt:lpstr>
      <vt:lpstr>ASVS_ANSWERS_V9</vt:lpstr>
      <vt:lpstr>ASVS_CAT1</vt:lpstr>
      <vt:lpstr>ASVS_CAT1.1</vt:lpstr>
      <vt:lpstr>ASVS_CAT1.10</vt:lpstr>
      <vt:lpstr>ASVS_CAT1.11</vt:lpstr>
      <vt:lpstr>ASVS_CAT1.12</vt:lpstr>
      <vt:lpstr>ASVS_CAT1.14</vt:lpstr>
      <vt:lpstr>ASVS_CAT1.2</vt:lpstr>
      <vt:lpstr>ASVS_CAT1.4</vt:lpstr>
      <vt:lpstr>ASVS_CAT1.5</vt:lpstr>
      <vt:lpstr>ASVS_CAT1.6</vt:lpstr>
      <vt:lpstr>ASVS_CAT1.7</vt:lpstr>
      <vt:lpstr>ASVS_CAT1.8</vt:lpstr>
      <vt:lpstr>ASVS_CAT1.9</vt:lpstr>
      <vt:lpstr>ASVS_CAT10</vt:lpstr>
      <vt:lpstr>ASVS_CAT10.1</vt:lpstr>
      <vt:lpstr>ASVS_CAT10.2</vt:lpstr>
      <vt:lpstr>ASVS_CAT10.3</vt:lpstr>
      <vt:lpstr>ASVS_CAT11</vt:lpstr>
      <vt:lpstr>ASVS_CAT11.1</vt:lpstr>
      <vt:lpstr>ASVS_CAT12</vt:lpstr>
      <vt:lpstr>ASVS_CAT12.1</vt:lpstr>
      <vt:lpstr>ASVS_CAT12.2</vt:lpstr>
      <vt:lpstr>ASVS_CAT12.3</vt:lpstr>
      <vt:lpstr>ASVS_CAT12.4</vt:lpstr>
      <vt:lpstr>ASVS_CAT12.5</vt:lpstr>
      <vt:lpstr>ASVS_CAT12.6</vt:lpstr>
      <vt:lpstr>ASVS_CAT13</vt:lpstr>
      <vt:lpstr>ASVS_CAT13.1</vt:lpstr>
      <vt:lpstr>ASVS_CAT13.2</vt:lpstr>
      <vt:lpstr>ASVS_CAT13.3</vt:lpstr>
      <vt:lpstr>ASVS_CAT13.4</vt:lpstr>
      <vt:lpstr>ASVS_CAT14</vt:lpstr>
      <vt:lpstr>ASVS_CAT14.1</vt:lpstr>
      <vt:lpstr>ASVS_CAT14.2</vt:lpstr>
      <vt:lpstr>ASVS_CAT14.3</vt:lpstr>
      <vt:lpstr>ASVS_CAT14.4</vt:lpstr>
      <vt:lpstr>ASVS_CAT14.5</vt:lpstr>
      <vt:lpstr>ASVS_CAT2</vt:lpstr>
      <vt:lpstr>ASVS_CAT2.1</vt:lpstr>
      <vt:lpstr>ASVS_CAT2.10</vt:lpstr>
      <vt:lpstr>ASVS_CAT2.2</vt:lpstr>
      <vt:lpstr>ASVS_CAT2.3</vt:lpstr>
      <vt:lpstr>ASVS_CAT2.4</vt:lpstr>
      <vt:lpstr>ASVS_CAT2.5</vt:lpstr>
      <vt:lpstr>ASVS_CAT2.6</vt:lpstr>
      <vt:lpstr>ASVS_CAT2.7</vt:lpstr>
      <vt:lpstr>ASVS_CAT2.8</vt:lpstr>
      <vt:lpstr>ASVS_CAT2.9</vt:lpstr>
      <vt:lpstr>ASVS_CAT3</vt:lpstr>
      <vt:lpstr>ASVS_CAT3.1</vt:lpstr>
      <vt:lpstr>ASVS_CAT3.2</vt:lpstr>
      <vt:lpstr>ASVS_CAT3.3</vt:lpstr>
      <vt:lpstr>ASVS_CAT3.4</vt:lpstr>
      <vt:lpstr>ASVS_CAT3.5</vt:lpstr>
      <vt:lpstr>ASVS_CAT3.6</vt:lpstr>
      <vt:lpstr>ASVS_CAT3.7</vt:lpstr>
      <vt:lpstr>ASVS_CAT4</vt:lpstr>
      <vt:lpstr>ASVS_CAT4.1</vt:lpstr>
      <vt:lpstr>ASVS_CAT4.2</vt:lpstr>
      <vt:lpstr>ASVS_CAT4.3</vt:lpstr>
      <vt:lpstr>ASVS_CAT5</vt:lpstr>
      <vt:lpstr>ASVS_CAT5.1</vt:lpstr>
      <vt:lpstr>ASVS_CAT5.2</vt:lpstr>
      <vt:lpstr>ASVS_CAT5.3</vt:lpstr>
      <vt:lpstr>ASVS_CAT5.4</vt:lpstr>
      <vt:lpstr>ASVS_CAT5.5</vt:lpstr>
      <vt:lpstr>ASVS_CAT6</vt:lpstr>
      <vt:lpstr>ASVS_CAT6.1</vt:lpstr>
      <vt:lpstr>ASVS_CAT6.2</vt:lpstr>
      <vt:lpstr>ASVS_CAT6.3</vt:lpstr>
      <vt:lpstr>ASVS_CAT6.4</vt:lpstr>
      <vt:lpstr>ASVS_CAT7</vt:lpstr>
      <vt:lpstr>ASVS_CAT7.1</vt:lpstr>
      <vt:lpstr>ASVS_CAT7.2</vt:lpstr>
      <vt:lpstr>ASVS_CAT7.3</vt:lpstr>
      <vt:lpstr>ASVS_CAT7.4</vt:lpstr>
      <vt:lpstr>ASVS_CAT8</vt:lpstr>
      <vt:lpstr>ASVS_CAT8.1</vt:lpstr>
      <vt:lpstr>ASVS_CAT8.2</vt:lpstr>
      <vt:lpstr>ASVS_CAT8.3</vt:lpstr>
      <vt:lpstr>ASVS_CAT9</vt:lpstr>
      <vt:lpstr>ASVS_CAT9.1</vt:lpstr>
      <vt:lpstr>ASVS_CAT9.2</vt:lpstr>
      <vt:lpstr>EXPHEADER1</vt:lpstr>
      <vt:lpstr>EXPHEADER2</vt:lpstr>
      <vt:lpstr>formatGreen</vt:lpstr>
      <vt:lpstr>formatRed</vt:lpstr>
      <vt:lpstr>INCLUDE_NA</vt:lpstr>
      <vt:lpstr>INCLUDE_NA_ANSWER</vt:lpstr>
      <vt:lpstr>INTROHEADER1</vt:lpstr>
      <vt:lpstr>INTROHEADER2</vt:lpstr>
      <vt:lpstr>L1_V1</vt:lpstr>
      <vt:lpstr>L1_V10</vt:lpstr>
      <vt:lpstr>L1_V11</vt:lpstr>
      <vt:lpstr>L1_V12</vt:lpstr>
      <vt:lpstr>L1_V13</vt:lpstr>
      <vt:lpstr>L1_V14</vt:lpstr>
      <vt:lpstr>L1_V2</vt:lpstr>
      <vt:lpstr>L1_V3</vt:lpstr>
      <vt:lpstr>L1_V4</vt:lpstr>
      <vt:lpstr>L1_V5</vt:lpstr>
      <vt:lpstr>L1_V6</vt:lpstr>
      <vt:lpstr>L1_V7</vt:lpstr>
      <vt:lpstr>L1_V8</vt:lpstr>
      <vt:lpstr>L1_V9</vt:lpstr>
      <vt:lpstr>L2_V1</vt:lpstr>
      <vt:lpstr>L2_V10</vt:lpstr>
      <vt:lpstr>L2_V11</vt:lpstr>
      <vt:lpstr>L2_V12</vt:lpstr>
      <vt:lpstr>L2_V13</vt:lpstr>
      <vt:lpstr>L2_V14</vt:lpstr>
      <vt:lpstr>L2_V2</vt:lpstr>
      <vt:lpstr>L2_V3</vt:lpstr>
      <vt:lpstr>L2_V4</vt:lpstr>
      <vt:lpstr>L2_V5</vt:lpstr>
      <vt:lpstr>L2_V6</vt:lpstr>
      <vt:lpstr>L2_V7</vt:lpstr>
      <vt:lpstr>L2_V8</vt:lpstr>
      <vt:lpstr>L2_V9</vt:lpstr>
      <vt:lpstr>L3_V1</vt:lpstr>
      <vt:lpstr>L3_V10</vt:lpstr>
      <vt:lpstr>L3_V11</vt:lpstr>
      <vt:lpstr>L3_V12</vt:lpstr>
      <vt:lpstr>L3_V13</vt:lpstr>
      <vt:lpstr>L3_V14</vt:lpstr>
      <vt:lpstr>L3_V2</vt:lpstr>
      <vt:lpstr>L3_V3</vt:lpstr>
      <vt:lpstr>L3_V4</vt:lpstr>
      <vt:lpstr>L3_V5</vt:lpstr>
      <vt:lpstr>L3_V6</vt:lpstr>
      <vt:lpstr>L3_V7</vt:lpstr>
      <vt:lpstr>L3_V8</vt:lpstr>
      <vt:lpstr>L3_V9</vt:lpstr>
      <vt:lpstr>LEVEL1</vt:lpstr>
      <vt:lpstr>LEVEL2</vt:lpstr>
      <vt:lpstr>LEVEL3</vt:lpstr>
      <vt:lpstr>NO</vt:lpstr>
      <vt:lpstr>REFHEADER</vt:lpstr>
      <vt:lpstr>SCORE_FAIL</vt:lpstr>
      <vt:lpstr>SCORE_NA</vt:lpstr>
      <vt:lpstr>SCORE_PASS</vt:lpstr>
      <vt:lpstr>SCR_HEADER</vt:lpstr>
      <vt:lpstr>SELECTED_ASSESSMENT_LEVEL</vt:lpstr>
      <vt:lpstr>SELECTED_THEME</vt:lpstr>
      <vt:lpstr>testResult</vt:lpstr>
      <vt:lpstr>THEMES</vt:lpstr>
      <vt:lpstr>TOTAL_ASVS_CONTROLS</vt:lpstr>
      <vt:lpstr>TOTAL_ASVS_CONTROLS_L1</vt:lpstr>
      <vt:lpstr>TOTAL_ASVS_CONTROLS_L2</vt:lpstr>
      <vt:lpstr>TOTAL_ASVS_CONTROLS_L3</vt:lpstr>
      <vt:lpstr>TOTAL_ASVS_V1</vt:lpstr>
      <vt:lpstr>TOTAL_ASVS_V1.1</vt:lpstr>
      <vt:lpstr>TOTAL_ASVS_V1.10</vt:lpstr>
      <vt:lpstr>TOTAL_ASVS_V1.11</vt:lpstr>
      <vt:lpstr>TOTAL_ASVS_V1.12</vt:lpstr>
      <vt:lpstr>TOTAL_ASVS_V1.14</vt:lpstr>
      <vt:lpstr>TOTAL_ASVS_V1.2</vt:lpstr>
      <vt:lpstr>TOTAL_ASVS_V1.4</vt:lpstr>
      <vt:lpstr>TOTAL_ASVS_V1.5</vt:lpstr>
      <vt:lpstr>TOTAL_ASVS_V1.6</vt:lpstr>
      <vt:lpstr>TOTAL_ASVS_V1.7</vt:lpstr>
      <vt:lpstr>TOTAL_ASVS_V1.8</vt:lpstr>
      <vt:lpstr>TOTAL_ASVS_V1.9</vt:lpstr>
      <vt:lpstr>TOTAL_ASVS_V10</vt:lpstr>
      <vt:lpstr>TOTAL_ASVS_V10.1</vt:lpstr>
      <vt:lpstr>TOTAL_ASVS_V10.2</vt:lpstr>
      <vt:lpstr>TOTAL_ASVS_V10.3</vt:lpstr>
      <vt:lpstr>TOTAL_ASVS_V11</vt:lpstr>
      <vt:lpstr>TOTAL_ASVS_V11.1</vt:lpstr>
      <vt:lpstr>TOTAL_ASVS_V12</vt:lpstr>
      <vt:lpstr>TOTAL_ASVS_V12.1</vt:lpstr>
      <vt:lpstr>TOTAL_ASVS_V12.2</vt:lpstr>
      <vt:lpstr>TOTAL_ASVS_V12.3</vt:lpstr>
      <vt:lpstr>TOTAL_ASVS_V12.4</vt:lpstr>
      <vt:lpstr>TOTAL_ASVS_V12.5</vt:lpstr>
      <vt:lpstr>TOTAL_ASVS_V12.6</vt:lpstr>
      <vt:lpstr>TOTAL_ASVS_V13</vt:lpstr>
      <vt:lpstr>TOTAL_ASVS_V13.1</vt:lpstr>
      <vt:lpstr>TOTAL_ASVS_V13.2</vt:lpstr>
      <vt:lpstr>TOTAL_ASVS_V13.3</vt:lpstr>
      <vt:lpstr>TOTAL_ASVS_V13.4</vt:lpstr>
      <vt:lpstr>TOTAL_ASVS_V14</vt:lpstr>
      <vt:lpstr>TOTAL_ASVS_V14.1</vt:lpstr>
      <vt:lpstr>TOTAL_ASVS_V14.2</vt:lpstr>
      <vt:lpstr>TOTAL_ASVS_V14.3</vt:lpstr>
      <vt:lpstr>TOTAL_ASVS_V14.4</vt:lpstr>
      <vt:lpstr>TOTAL_ASVS_V14.5</vt:lpstr>
      <vt:lpstr>TOTAL_ASVS_V2</vt:lpstr>
      <vt:lpstr>TOTAL_ASVS_V2.1</vt:lpstr>
      <vt:lpstr>TOTAL_ASVS_V2.10</vt:lpstr>
      <vt:lpstr>TOTAL_ASVS_V2.2</vt:lpstr>
      <vt:lpstr>TOTAL_ASVS_V2.3</vt:lpstr>
      <vt:lpstr>TOTAL_ASVS_V2.4</vt:lpstr>
      <vt:lpstr>TOTAL_ASVS_V2.5</vt:lpstr>
      <vt:lpstr>TOTAL_ASVS_V2.6</vt:lpstr>
      <vt:lpstr>TOTAL_ASVS_V2.7</vt:lpstr>
      <vt:lpstr>TOTAL_ASVS_V2.8</vt:lpstr>
      <vt:lpstr>TOTAL_ASVS_V2.9</vt:lpstr>
      <vt:lpstr>TOTAL_ASVS_V3</vt:lpstr>
      <vt:lpstr>TOTAL_ASVS_V3.1</vt:lpstr>
      <vt:lpstr>TOTAL_ASVS_V3.2</vt:lpstr>
      <vt:lpstr>TOTAL_ASVS_V3.3</vt:lpstr>
      <vt:lpstr>TOTAL_ASVS_V3.4</vt:lpstr>
      <vt:lpstr>TOTAL_ASVS_V3.5</vt:lpstr>
      <vt:lpstr>TOTAL_ASVS_V3.6</vt:lpstr>
      <vt:lpstr>TOTAL_ASVS_V3.7</vt:lpstr>
      <vt:lpstr>TOTAL_ASVS_V4</vt:lpstr>
      <vt:lpstr>TOTAL_ASVS_V4.1</vt:lpstr>
      <vt:lpstr>TOTAL_ASVS_V4.2</vt:lpstr>
      <vt:lpstr>TOTAL_ASVS_V4.3</vt:lpstr>
      <vt:lpstr>TOTAL_ASVS_V5</vt:lpstr>
      <vt:lpstr>TOTAL_ASVS_V5.1</vt:lpstr>
      <vt:lpstr>TOTAL_ASVS_V5.2</vt:lpstr>
      <vt:lpstr>TOTAL_ASVS_V5.3</vt:lpstr>
      <vt:lpstr>TOTAL_ASVS_V5.4</vt:lpstr>
      <vt:lpstr>TOTAL_ASVS_V5.5</vt:lpstr>
      <vt:lpstr>TOTAL_ASVS_V6</vt:lpstr>
      <vt:lpstr>TOTAL_ASVS_V6.1</vt:lpstr>
      <vt:lpstr>TOTAL_ASVS_V6.2</vt:lpstr>
      <vt:lpstr>TOTAL_ASVS_V6.3</vt:lpstr>
      <vt:lpstr>TOTAL_ASVS_V6.4</vt:lpstr>
      <vt:lpstr>TOTAL_ASVS_V7</vt:lpstr>
      <vt:lpstr>TOTAL_ASVS_V7.1</vt:lpstr>
      <vt:lpstr>TOTAL_ASVS_V7.2</vt:lpstr>
      <vt:lpstr>TOTAL_ASVS_V7.3</vt:lpstr>
      <vt:lpstr>TOTAL_ASVS_V7.4</vt:lpstr>
      <vt:lpstr>TOTAL_ASVS_V8</vt:lpstr>
      <vt:lpstr>TOTAL_ASVS_V8.1</vt:lpstr>
      <vt:lpstr>TOTAL_ASVS_V8.2</vt:lpstr>
      <vt:lpstr>TOTAL_ASVS_V8.3</vt:lpstr>
      <vt:lpstr>TOTAL_ASVS_V9</vt:lpstr>
      <vt:lpstr>TOTAL_ASVS_V9.1</vt:lpstr>
      <vt:lpstr>TOTAL_ASVS_V9.2</vt:lpstr>
      <vt:lpstr>TOTAL_V1</vt:lpstr>
      <vt:lpstr>TOTAL_V10</vt:lpstr>
      <vt:lpstr>TOTAL_V11</vt:lpstr>
      <vt:lpstr>TOTAL_V13</vt:lpstr>
      <vt:lpstr>TOTAL_V15</vt:lpstr>
      <vt:lpstr>TOTAL_V16</vt:lpstr>
      <vt:lpstr>TOTAL_V17</vt:lpstr>
      <vt:lpstr>TOTAL_V18</vt:lpstr>
      <vt:lpstr>TOTAL_V19</vt:lpstr>
      <vt:lpstr>TOTAL_V2</vt:lpstr>
      <vt:lpstr>TOTAL_V3</vt:lpstr>
      <vt:lpstr>TOTAL_V4</vt:lpstr>
      <vt:lpstr>TOTAL_V5</vt:lpstr>
      <vt:lpstr>TOTAL_V7</vt:lpstr>
      <vt:lpstr>TOTAL_V8</vt:lpstr>
      <vt:lpstr>TOTAL_V9</vt:lpstr>
      <vt:lpstr>V10HEADER1</vt:lpstr>
      <vt:lpstr>V10HEADER2</vt:lpstr>
      <vt:lpstr>V11HEADER1</vt:lpstr>
      <vt:lpstr>V11HEADER2</vt:lpstr>
      <vt:lpstr>V12HEADER1</vt:lpstr>
      <vt:lpstr>V12HEADER2</vt:lpstr>
      <vt:lpstr>V13HEADER1</vt:lpstr>
      <vt:lpstr>V13HEADER2</vt:lpstr>
      <vt:lpstr>V14HEADER1</vt:lpstr>
      <vt:lpstr>V14HEADER2</vt:lpstr>
      <vt:lpstr>V1HEADER1</vt:lpstr>
      <vt:lpstr>V1HEADER2</vt:lpstr>
      <vt:lpstr>V2HEADER1</vt:lpstr>
      <vt:lpstr>V2HEADER2</vt:lpstr>
      <vt:lpstr>V3HEADER1</vt:lpstr>
      <vt:lpstr>V3HEADER2</vt:lpstr>
      <vt:lpstr>V4HEADER1</vt:lpstr>
      <vt:lpstr>V4HEADER2</vt:lpstr>
      <vt:lpstr>V5HEADER1</vt:lpstr>
      <vt:lpstr>V5HEADER2</vt:lpstr>
      <vt:lpstr>V6HEADER1</vt:lpstr>
      <vt:lpstr>V6HEADER2</vt:lpstr>
      <vt:lpstr>V7HEADER1</vt:lpstr>
      <vt:lpstr>V7HEADER2</vt:lpstr>
      <vt:lpstr>V8HEADER1</vt:lpstr>
      <vt:lpstr>V8HEADER2</vt:lpstr>
      <vt:lpstr>V9HEADER1</vt:lpstr>
      <vt:lpstr>V9HEADER2</vt:lpstr>
      <vt:lpstr>VERIFY1.1</vt:lpstr>
      <vt:lpstr>VERIFY1.10</vt:lpstr>
      <vt:lpstr>VERIFY1.11</vt:lpstr>
      <vt:lpstr>VERIFY1.12</vt:lpstr>
      <vt:lpstr>VERIFY1.14</vt:lpstr>
      <vt:lpstr>VERIFY1.2</vt:lpstr>
      <vt:lpstr>VERIFY1.4</vt:lpstr>
      <vt:lpstr>VERIFY1.5</vt:lpstr>
      <vt:lpstr>VERIFY1.6</vt:lpstr>
      <vt:lpstr>VERIFY1.7</vt:lpstr>
      <vt:lpstr>VERIFY1.8</vt:lpstr>
      <vt:lpstr>VERIFY1.9</vt:lpstr>
      <vt:lpstr>VERIFY10.1</vt:lpstr>
      <vt:lpstr>VERIFY10.2</vt:lpstr>
      <vt:lpstr>VERIFY10.3</vt:lpstr>
      <vt:lpstr>VERIFY11.1</vt:lpstr>
      <vt:lpstr>VERIFY12.1</vt:lpstr>
      <vt:lpstr>VERIFY12.2</vt:lpstr>
      <vt:lpstr>VERIFY12.3</vt:lpstr>
      <vt:lpstr>VERIFY12.4</vt:lpstr>
      <vt:lpstr>VERIFY12.5</vt:lpstr>
      <vt:lpstr>VERIFY12.6</vt:lpstr>
      <vt:lpstr>VERIFY13.1</vt:lpstr>
      <vt:lpstr>VERIFY13.2</vt:lpstr>
      <vt:lpstr>VERIFY13.3</vt:lpstr>
      <vt:lpstr>VERIFY13.4</vt:lpstr>
      <vt:lpstr>VERIFY14.1</vt:lpstr>
      <vt:lpstr>VERIFY14.2</vt:lpstr>
      <vt:lpstr>VERIFY14.3</vt:lpstr>
      <vt:lpstr>VERIFY14.4</vt:lpstr>
      <vt:lpstr>VERIFY14.5</vt:lpstr>
      <vt:lpstr>VERIFY2.1</vt:lpstr>
      <vt:lpstr>VERIFY2.10</vt:lpstr>
      <vt:lpstr>VERIFY2.2</vt:lpstr>
      <vt:lpstr>VERIFY2.3</vt:lpstr>
      <vt:lpstr>VERIFY2.4</vt:lpstr>
      <vt:lpstr>VERIFY2.5</vt:lpstr>
      <vt:lpstr>VERIFY2.6</vt:lpstr>
      <vt:lpstr>VERIFY2.7</vt:lpstr>
      <vt:lpstr>VERIFY2.8</vt:lpstr>
      <vt:lpstr>VERIFY2.9</vt:lpstr>
      <vt:lpstr>VERIFY3.1</vt:lpstr>
      <vt:lpstr>VERIFY3.2</vt:lpstr>
      <vt:lpstr>VERIFY3.3</vt:lpstr>
      <vt:lpstr>VERIFY3.4</vt:lpstr>
      <vt:lpstr>VERIFY3.5</vt:lpstr>
      <vt:lpstr>VERIFY3.6</vt:lpstr>
      <vt:lpstr>VERIFY3.7</vt:lpstr>
      <vt:lpstr>VERIFY4.1</vt:lpstr>
      <vt:lpstr>VERIFY4.2</vt:lpstr>
      <vt:lpstr>VERIFY4.3</vt:lpstr>
      <vt:lpstr>VERIFY5.1</vt:lpstr>
      <vt:lpstr>VERIFY5.2</vt:lpstr>
      <vt:lpstr>VERIFY5.3</vt:lpstr>
      <vt:lpstr>VERIFY5.4</vt:lpstr>
      <vt:lpstr>VERIFY5.5</vt:lpstr>
      <vt:lpstr>VERIFY6.1</vt:lpstr>
      <vt:lpstr>VERIFY6.2</vt:lpstr>
      <vt:lpstr>VERIFY6.3</vt:lpstr>
      <vt:lpstr>VERIFY6.4</vt:lpstr>
      <vt:lpstr>VERIFY7.1</vt:lpstr>
      <vt:lpstr>VERIFY7.2</vt:lpstr>
      <vt:lpstr>VERIFY7.3</vt:lpstr>
      <vt:lpstr>VERIFY7.4</vt:lpstr>
      <vt:lpstr>VERIFY8.1</vt:lpstr>
      <vt:lpstr>VERIFY8.2</vt:lpstr>
      <vt:lpstr>VERIFY8.3</vt:lpstr>
      <vt:lpstr>VERIFY9.1</vt:lpstr>
      <vt:lpstr>VERIFY9.2</vt:lpstr>
      <vt:lpstr>YES</vt:lpstr>
      <vt:lpstr>zANS1.1.1</vt:lpstr>
      <vt:lpstr>zANS1.1.2</vt:lpstr>
      <vt:lpstr>zANS1.1.3</vt:lpstr>
      <vt:lpstr>zANS1.1.4</vt:lpstr>
      <vt:lpstr>zANS1.1.5</vt:lpstr>
      <vt:lpstr>zANS1.1.6</vt:lpstr>
      <vt:lpstr>zANS1.1.7</vt:lpstr>
      <vt:lpstr>zANS1.10.1</vt:lpstr>
      <vt:lpstr>zANS1.11.1</vt:lpstr>
      <vt:lpstr>zANS1.11.2</vt:lpstr>
      <vt:lpstr>zANS1.11.3</vt:lpstr>
      <vt:lpstr>zANS1.12.1</vt:lpstr>
      <vt:lpstr>zANS1.12.2</vt:lpstr>
      <vt:lpstr>zANS1.14.1</vt:lpstr>
      <vt:lpstr>zANS1.14.2</vt:lpstr>
      <vt:lpstr>zANS1.14.3</vt:lpstr>
      <vt:lpstr>zANS1.14.4</vt:lpstr>
      <vt:lpstr>zANS1.14.5</vt:lpstr>
      <vt:lpstr>zANS1.14.6</vt:lpstr>
      <vt:lpstr>zANS1.2.1</vt:lpstr>
      <vt:lpstr>zANS1.2.2</vt:lpstr>
      <vt:lpstr>zANS1.2.3</vt:lpstr>
      <vt:lpstr>zANS1.2.4</vt:lpstr>
      <vt:lpstr>zANS1.4.1</vt:lpstr>
      <vt:lpstr>zANS1.4.2</vt:lpstr>
      <vt:lpstr>zANS1.4.3</vt:lpstr>
      <vt:lpstr>zANS1.4.4</vt:lpstr>
      <vt:lpstr>zANS1.4.5</vt:lpstr>
      <vt:lpstr>zANS1.5.1</vt:lpstr>
      <vt:lpstr>zANS1.5.2</vt:lpstr>
      <vt:lpstr>zANS1.5.3</vt:lpstr>
      <vt:lpstr>zANS1.5.4</vt:lpstr>
      <vt:lpstr>zANS1.6.1</vt:lpstr>
      <vt:lpstr>zANS1.6.2</vt:lpstr>
      <vt:lpstr>zANS1.6.3</vt:lpstr>
      <vt:lpstr>zANS1.6.4</vt:lpstr>
      <vt:lpstr>zANS1.7.1</vt:lpstr>
      <vt:lpstr>zANS1.7.2</vt:lpstr>
      <vt:lpstr>zANS1.8.1</vt:lpstr>
      <vt:lpstr>zANS1.8.2</vt:lpstr>
      <vt:lpstr>zANS1.9.1</vt:lpstr>
      <vt:lpstr>zANS1.9.2</vt:lpstr>
      <vt:lpstr>zANS10.1.1</vt:lpstr>
      <vt:lpstr>zANS10.2.1</vt:lpstr>
      <vt:lpstr>zANS10.2.2</vt:lpstr>
      <vt:lpstr>zANS10.2.3</vt:lpstr>
      <vt:lpstr>zANS10.2.4</vt:lpstr>
      <vt:lpstr>zANS10.2.5</vt:lpstr>
      <vt:lpstr>zANS10.2.6</vt:lpstr>
      <vt:lpstr>zANS10.3.1</vt:lpstr>
      <vt:lpstr>zANS10.3.2</vt:lpstr>
      <vt:lpstr>zANS10.3.3</vt:lpstr>
      <vt:lpstr>zANS11.1.1</vt:lpstr>
      <vt:lpstr>zANS11.1.2</vt:lpstr>
      <vt:lpstr>zANS11.1.3</vt:lpstr>
      <vt:lpstr>zANS11.1.4</vt:lpstr>
      <vt:lpstr>zANS11.1.5</vt:lpstr>
      <vt:lpstr>zANS11.1.6</vt:lpstr>
      <vt:lpstr>zANS11.1.7</vt:lpstr>
      <vt:lpstr>zANS11.1.8</vt:lpstr>
      <vt:lpstr>zANS12.1.1</vt:lpstr>
      <vt:lpstr>zANS12.1.2</vt:lpstr>
      <vt:lpstr>zANS12.1.3</vt:lpstr>
      <vt:lpstr>zANS12.2.1</vt:lpstr>
      <vt:lpstr>zANS12.3.1</vt:lpstr>
      <vt:lpstr>zANS12.3.2</vt:lpstr>
      <vt:lpstr>zANS12.3.3</vt:lpstr>
      <vt:lpstr>zANS12.3.4</vt:lpstr>
      <vt:lpstr>zANS12.3.5</vt:lpstr>
      <vt:lpstr>zANS12.3.6</vt:lpstr>
      <vt:lpstr>zANS12.4.1</vt:lpstr>
      <vt:lpstr>zANS12.4.2</vt:lpstr>
      <vt:lpstr>zANS12.5.1</vt:lpstr>
      <vt:lpstr>zANS12.5.2</vt:lpstr>
      <vt:lpstr>zANS12.6.1</vt:lpstr>
      <vt:lpstr>zANS13.1.1</vt:lpstr>
      <vt:lpstr>zANS13.1.2</vt:lpstr>
      <vt:lpstr>zANS13.1.3</vt:lpstr>
      <vt:lpstr>zANS13.1.4</vt:lpstr>
      <vt:lpstr>zANS13.1.5</vt:lpstr>
      <vt:lpstr>zANS13.2.1</vt:lpstr>
      <vt:lpstr>zANS13.2.2</vt:lpstr>
      <vt:lpstr>zANS13.2.3</vt:lpstr>
      <vt:lpstr>zANS13.2.4</vt:lpstr>
      <vt:lpstr>zANS13.2.5</vt:lpstr>
      <vt:lpstr>zANS13.2.6</vt:lpstr>
      <vt:lpstr>zANS13.3.1</vt:lpstr>
      <vt:lpstr>zANS13.3.2</vt:lpstr>
      <vt:lpstr>zANS13.4.1</vt:lpstr>
      <vt:lpstr>zANS13.4.2</vt:lpstr>
      <vt:lpstr>zANS14.1.1</vt:lpstr>
      <vt:lpstr>zANS14.1.2</vt:lpstr>
      <vt:lpstr>zANS14.1.3</vt:lpstr>
      <vt:lpstr>zANS14.1.4</vt:lpstr>
      <vt:lpstr>zANS14.1.5</vt:lpstr>
      <vt:lpstr>zANS14.2.1</vt:lpstr>
      <vt:lpstr>zANS14.2.2</vt:lpstr>
      <vt:lpstr>zANS14.2.3</vt:lpstr>
      <vt:lpstr>zANS14.2.4</vt:lpstr>
      <vt:lpstr>zANS14.2.5</vt:lpstr>
      <vt:lpstr>zANS14.2.6</vt:lpstr>
      <vt:lpstr>zANS14.3.1</vt:lpstr>
      <vt:lpstr>zANS14.3.2</vt:lpstr>
      <vt:lpstr>zANS14.3.3</vt:lpstr>
      <vt:lpstr>zANS14.4.1</vt:lpstr>
      <vt:lpstr>zANS14.4.2</vt:lpstr>
      <vt:lpstr>zANS14.4.3</vt:lpstr>
      <vt:lpstr>zANS14.4.4</vt:lpstr>
      <vt:lpstr>zANS14.4.5</vt:lpstr>
      <vt:lpstr>zANS14.4.6</vt:lpstr>
      <vt:lpstr>zANS14.4.7</vt:lpstr>
      <vt:lpstr>zANS14.5.1</vt:lpstr>
      <vt:lpstr>zANS14.5.2</vt:lpstr>
      <vt:lpstr>zANS14.5.3</vt:lpstr>
      <vt:lpstr>zANS14.5.4</vt:lpstr>
      <vt:lpstr>zANS2.1.1</vt:lpstr>
      <vt:lpstr>zANS2.1.10</vt:lpstr>
      <vt:lpstr>zANS2.1.11</vt:lpstr>
      <vt:lpstr>zANS2.1.12</vt:lpstr>
      <vt:lpstr>zANS2.1.2</vt:lpstr>
      <vt:lpstr>zANS2.1.3</vt:lpstr>
      <vt:lpstr>zANS2.1.4</vt:lpstr>
      <vt:lpstr>zANS2.1.5</vt:lpstr>
      <vt:lpstr>zANS2.1.6</vt:lpstr>
      <vt:lpstr>zANS2.1.7</vt:lpstr>
      <vt:lpstr>zANS2.1.8</vt:lpstr>
      <vt:lpstr>zANS2.1.9</vt:lpstr>
      <vt:lpstr>zANS2.10.1</vt:lpstr>
      <vt:lpstr>zANS2.10.2</vt:lpstr>
      <vt:lpstr>zANS2.10.3</vt:lpstr>
      <vt:lpstr>zANS2.10.4</vt:lpstr>
      <vt:lpstr>zANS2.2.1</vt:lpstr>
      <vt:lpstr>zANS2.2.2</vt:lpstr>
      <vt:lpstr>zANS2.2.3</vt:lpstr>
      <vt:lpstr>zANS2.2.4</vt:lpstr>
      <vt:lpstr>zANS2.2.5</vt:lpstr>
      <vt:lpstr>zANS2.2.6</vt:lpstr>
      <vt:lpstr>zANS2.2.7</vt:lpstr>
      <vt:lpstr>zANS2.3.1</vt:lpstr>
      <vt:lpstr>zANS2.3.2</vt:lpstr>
      <vt:lpstr>zANS2.3.3</vt:lpstr>
      <vt:lpstr>zANS2.4.1</vt:lpstr>
      <vt:lpstr>zANS2.4.2</vt:lpstr>
      <vt:lpstr>zANS2.4.3</vt:lpstr>
      <vt:lpstr>zANS2.4.4</vt:lpstr>
      <vt:lpstr>zANS2.4.5</vt:lpstr>
      <vt:lpstr>zANS2.5.1</vt:lpstr>
      <vt:lpstr>zANS2.5.2</vt:lpstr>
      <vt:lpstr>zANS2.5.3</vt:lpstr>
      <vt:lpstr>zANS2.5.4</vt:lpstr>
      <vt:lpstr>zANS2.5.5</vt:lpstr>
      <vt:lpstr>zANS2.5.6</vt:lpstr>
      <vt:lpstr>zANS2.5.7</vt:lpstr>
      <vt:lpstr>zANS2.6.1</vt:lpstr>
      <vt:lpstr>zANS2.6.2</vt:lpstr>
      <vt:lpstr>zANS2.6.3</vt:lpstr>
      <vt:lpstr>zANS2.7.1</vt:lpstr>
      <vt:lpstr>zANS2.7.2</vt:lpstr>
      <vt:lpstr>zANS2.7.3</vt:lpstr>
      <vt:lpstr>zANS2.7.4</vt:lpstr>
      <vt:lpstr>zANS2.7.5</vt:lpstr>
      <vt:lpstr>zANS2.7.6</vt:lpstr>
      <vt:lpstr>zANS2.8.1</vt:lpstr>
      <vt:lpstr>zANS2.8.2</vt:lpstr>
      <vt:lpstr>zANS2.8.3</vt:lpstr>
      <vt:lpstr>zANS2.8.4</vt:lpstr>
      <vt:lpstr>zANS2.8.5</vt:lpstr>
      <vt:lpstr>zANS2.8.6</vt:lpstr>
      <vt:lpstr>zANS2.8.7</vt:lpstr>
      <vt:lpstr>zANS2.9.1</vt:lpstr>
      <vt:lpstr>zANS2.9.2</vt:lpstr>
      <vt:lpstr>zANS2.9.3</vt:lpstr>
      <vt:lpstr>zANS3.1.1</vt:lpstr>
      <vt:lpstr>zANS3.2.1</vt:lpstr>
      <vt:lpstr>zANS3.2.2</vt:lpstr>
      <vt:lpstr>zANS3.2.3</vt:lpstr>
      <vt:lpstr>zANS3.2.4</vt:lpstr>
      <vt:lpstr>zANS3.3.1</vt:lpstr>
      <vt:lpstr>zANS3.3.2</vt:lpstr>
      <vt:lpstr>zANS3.3.3</vt:lpstr>
      <vt:lpstr>zANS3.3.4</vt:lpstr>
      <vt:lpstr>zANS3.4.1</vt:lpstr>
      <vt:lpstr>zANS3.4.2</vt:lpstr>
      <vt:lpstr>zANS3.4.3</vt:lpstr>
      <vt:lpstr>zANS3.4.4</vt:lpstr>
      <vt:lpstr>zANS3.4.5</vt:lpstr>
      <vt:lpstr>zANS3.5.1</vt:lpstr>
      <vt:lpstr>zANS3.5.2</vt:lpstr>
      <vt:lpstr>zANS3.5.3</vt:lpstr>
      <vt:lpstr>zANS3.6.1</vt:lpstr>
      <vt:lpstr>zANS3.6.2</vt:lpstr>
      <vt:lpstr>zANS3.7.1</vt:lpstr>
      <vt:lpstr>zANS4.1.1</vt:lpstr>
      <vt:lpstr>zANS4.1.2</vt:lpstr>
      <vt:lpstr>zANS4.1.3</vt:lpstr>
      <vt:lpstr>zANS4.1.4</vt:lpstr>
      <vt:lpstr>zANS4.1.5</vt:lpstr>
      <vt:lpstr>zANS4.2.1</vt:lpstr>
      <vt:lpstr>zANS4.2.2</vt:lpstr>
      <vt:lpstr>zANS4.3.1</vt:lpstr>
      <vt:lpstr>zANS4.3.2</vt:lpstr>
      <vt:lpstr>zANS4.3.3</vt:lpstr>
      <vt:lpstr>zANS5.1.1</vt:lpstr>
      <vt:lpstr>zANS5.1.2</vt:lpstr>
      <vt:lpstr>zANS5.1.3</vt:lpstr>
      <vt:lpstr>zANS5.1.4</vt:lpstr>
      <vt:lpstr>zANS5.1.5</vt:lpstr>
      <vt:lpstr>zANS5.2.1</vt:lpstr>
      <vt:lpstr>zANS5.2.2</vt:lpstr>
      <vt:lpstr>zANS5.2.3</vt:lpstr>
      <vt:lpstr>zANS5.2.4</vt:lpstr>
      <vt:lpstr>zANS5.2.5</vt:lpstr>
      <vt:lpstr>zANS5.2.6</vt:lpstr>
      <vt:lpstr>zANS5.2.7</vt:lpstr>
      <vt:lpstr>zANS5.2.8</vt:lpstr>
      <vt:lpstr>zANS5.3.1</vt:lpstr>
      <vt:lpstr>zANS5.3.10</vt:lpstr>
      <vt:lpstr>zANS5.3.2</vt:lpstr>
      <vt:lpstr>zANS5.3.3</vt:lpstr>
      <vt:lpstr>zANS5.3.4</vt:lpstr>
      <vt:lpstr>zANS5.3.5</vt:lpstr>
      <vt:lpstr>zANS5.3.6</vt:lpstr>
      <vt:lpstr>zANS5.3.7</vt:lpstr>
      <vt:lpstr>zANS5.3.8</vt:lpstr>
      <vt:lpstr>zANS5.3.9</vt:lpstr>
      <vt:lpstr>zANS5.4.1</vt:lpstr>
      <vt:lpstr>zANS5.4.2</vt:lpstr>
      <vt:lpstr>zANS5.4.3</vt:lpstr>
      <vt:lpstr>zANS5.5.1</vt:lpstr>
      <vt:lpstr>zANS5.5.2</vt:lpstr>
      <vt:lpstr>zANS5.5.3</vt:lpstr>
      <vt:lpstr>zANS5.5.4</vt:lpstr>
      <vt:lpstr>zANS6.1.1</vt:lpstr>
      <vt:lpstr>zANS6.1.2</vt:lpstr>
      <vt:lpstr>zANS6.1.3</vt:lpstr>
      <vt:lpstr>zANS6.2.1</vt:lpstr>
      <vt:lpstr>zANS6.2.2</vt:lpstr>
      <vt:lpstr>zANS6.2.3</vt:lpstr>
      <vt:lpstr>zANS6.2.4</vt:lpstr>
      <vt:lpstr>zANS6.2.5</vt:lpstr>
      <vt:lpstr>zANS6.2.6</vt:lpstr>
      <vt:lpstr>zANS6.2.7</vt:lpstr>
      <vt:lpstr>zANS6.2.8</vt:lpstr>
      <vt:lpstr>zANS6.3.1</vt:lpstr>
      <vt:lpstr>zANS6.3.2</vt:lpstr>
      <vt:lpstr>zANS6.3.3</vt:lpstr>
      <vt:lpstr>zANS6.3.4</vt:lpstr>
      <vt:lpstr>zANS6.4.1</vt:lpstr>
      <vt:lpstr>zANS6.4.2</vt:lpstr>
      <vt:lpstr>zANS7.1.1</vt:lpstr>
      <vt:lpstr>zANS7.1.2</vt:lpstr>
      <vt:lpstr>zANS7.1.3</vt:lpstr>
      <vt:lpstr>zANS7.1.4</vt:lpstr>
      <vt:lpstr>zANS7.2.1</vt:lpstr>
      <vt:lpstr>zANS7.2.2</vt:lpstr>
      <vt:lpstr>zANS7.3.1</vt:lpstr>
      <vt:lpstr>zANS7.3.2</vt:lpstr>
      <vt:lpstr>zANS7.3.3</vt:lpstr>
      <vt:lpstr>zANS7.3.4</vt:lpstr>
      <vt:lpstr>zANS7.4.1</vt:lpstr>
      <vt:lpstr>zANS7.4.2</vt:lpstr>
      <vt:lpstr>zANS7.4.3</vt:lpstr>
      <vt:lpstr>zANS8.1.1</vt:lpstr>
      <vt:lpstr>zANS8.1.2</vt:lpstr>
      <vt:lpstr>zANS8.1.3</vt:lpstr>
      <vt:lpstr>zANS8.1.4</vt:lpstr>
      <vt:lpstr>zANS8.1.5</vt:lpstr>
      <vt:lpstr>zANS8.1.6</vt:lpstr>
      <vt:lpstr>zANS8.2.1</vt:lpstr>
      <vt:lpstr>zANS8.2.2</vt:lpstr>
      <vt:lpstr>zANS8.2.3</vt:lpstr>
      <vt:lpstr>zANS8.3.1</vt:lpstr>
      <vt:lpstr>zANS8.3.2</vt:lpstr>
      <vt:lpstr>zANS8.3.3</vt:lpstr>
      <vt:lpstr>zANS8.3.4</vt:lpstr>
      <vt:lpstr>zANS8.3.5</vt:lpstr>
      <vt:lpstr>zANS8.3.6</vt:lpstr>
      <vt:lpstr>zANS8.3.7</vt:lpstr>
      <vt:lpstr>zANS8.3.8</vt:lpstr>
      <vt:lpstr>zANS9.1.1</vt:lpstr>
      <vt:lpstr>zANS9.1.2</vt:lpstr>
      <vt:lpstr>zANS9.1.3</vt:lpstr>
      <vt:lpstr>zANS9.2.1</vt:lpstr>
      <vt:lpstr>zANS9.2.2</vt:lpstr>
      <vt:lpstr>zANS9.2.3</vt:lpstr>
      <vt:lpstr>zANS9.2.4</vt:lpstr>
      <vt:lpstr>zANS9.2.5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ASVS</dc:subject>
  <dc:creator>Jay, Durga</dc:creator>
  <cp:keywords>OWASP</cp:keywords>
  <cp:lastModifiedBy>Jay Durga</cp:lastModifiedBy>
  <dcterms:created xsi:type="dcterms:W3CDTF">2019-01-23T16:49:49Z</dcterms:created>
  <dcterms:modified xsi:type="dcterms:W3CDTF">2019-08-25T05:24:55Z</dcterms:modified>
</cp:coreProperties>
</file>